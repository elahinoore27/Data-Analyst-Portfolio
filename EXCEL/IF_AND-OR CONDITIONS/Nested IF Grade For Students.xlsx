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f_and_or/"/>
    </mc:Choice>
  </mc:AlternateContent>
  <xr:revisionPtr revIDLastSave="0" documentId="8_{C98930BA-3C32-4BFC-B0D9-4FDAA1237C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5" i="1"/>
  <c r="G3" i="1"/>
</calcChain>
</file>

<file path=xl/sharedStrings.xml><?xml version="1.0" encoding="utf-8"?>
<sst xmlns="http://schemas.openxmlformats.org/spreadsheetml/2006/main" count="43" uniqueCount="43">
  <si>
    <t>Student Name</t>
  </si>
  <si>
    <t>English</t>
  </si>
  <si>
    <t>Maths</t>
  </si>
  <si>
    <t>Chemistry</t>
  </si>
  <si>
    <t>Physics</t>
  </si>
  <si>
    <t>History</t>
  </si>
  <si>
    <t>%</t>
  </si>
  <si>
    <t>Result/Grade</t>
  </si>
  <si>
    <t>Arif</t>
  </si>
  <si>
    <t>Ateef</t>
  </si>
  <si>
    <t>Akib</t>
  </si>
  <si>
    <t>Ajay</t>
  </si>
  <si>
    <t>Ashfaque</t>
  </si>
  <si>
    <t>Anand</t>
  </si>
  <si>
    <t>Asif</t>
  </si>
  <si>
    <t>Afroz</t>
  </si>
  <si>
    <t>Heera</t>
  </si>
  <si>
    <t>Karan</t>
  </si>
  <si>
    <t>Arjun</t>
  </si>
  <si>
    <t>Anjali</t>
  </si>
  <si>
    <t>kareem</t>
  </si>
  <si>
    <t>Mustafa</t>
  </si>
  <si>
    <t>Percentage</t>
  </si>
  <si>
    <t>Each Subject Marks</t>
  </si>
  <si>
    <t>Obtained Marks</t>
  </si>
  <si>
    <t>Grade Conditions</t>
  </si>
  <si>
    <t>Grade</t>
  </si>
  <si>
    <t>D</t>
  </si>
  <si>
    <t>C</t>
  </si>
  <si>
    <t>B</t>
  </si>
  <si>
    <t>B1</t>
  </si>
  <si>
    <t>B2</t>
  </si>
  <si>
    <t>A</t>
  </si>
  <si>
    <t>A2</t>
  </si>
  <si>
    <t>A1</t>
  </si>
  <si>
    <t>&gt;=96</t>
  </si>
  <si>
    <t>&lt;=40</t>
  </si>
  <si>
    <t>&lt;=50</t>
  </si>
  <si>
    <t>&lt;=60</t>
  </si>
  <si>
    <t>&lt;=70</t>
  </si>
  <si>
    <t>&lt;=80</t>
  </si>
  <si>
    <t>&lt;=90</t>
  </si>
  <si>
    <t>&lt;=95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</si>
</sst>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9" fontId="1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8"/>
  <sheetViews>
    <sheetView tabSelected="1" topLeftCell="A4" workbookViewId="0">
      <selection activeCell="I6" sqref="I6"/>
    </sheetView>
  </sheetViews>
  <sheetFormatPr defaultColWidth="9.109375" defaultRowHeight="15.6" x14ac:dyDescent="0.3"/>
  <cols>
    <col min="1" max="1" width="19.21875" style="4" bestFit="1" customWidth="1"/>
    <col min="2" max="3" width="9.109375" style="4"/>
    <col min="4" max="4" width="10" style="4" bestFit="1" customWidth="1"/>
    <col min="5" max="6" width="9.109375" style="4"/>
    <col min="7" max="7" width="16.88671875" style="4" bestFit="1" customWidth="1"/>
    <col min="8" max="8" width="12" style="4" bestFit="1" customWidth="1"/>
    <col min="9" max="9" width="14" style="4" bestFit="1" customWidth="1"/>
    <col min="10" max="16384" width="9.109375" style="4"/>
  </cols>
  <sheetData>
    <row r="3" spans="1:12" x14ac:dyDescent="0.3">
      <c r="A3" s="1" t="s">
        <v>23</v>
      </c>
      <c r="B3" s="2">
        <v>100</v>
      </c>
      <c r="C3" s="2">
        <v>100</v>
      </c>
      <c r="D3" s="2">
        <v>100</v>
      </c>
      <c r="E3" s="2">
        <v>100</v>
      </c>
      <c r="F3" s="2">
        <v>100</v>
      </c>
      <c r="G3" s="3">
        <f>SUM(B3:F3)</f>
        <v>500</v>
      </c>
    </row>
    <row r="4" spans="1:12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24</v>
      </c>
      <c r="H4" s="5" t="s">
        <v>22</v>
      </c>
      <c r="I4" s="5" t="s">
        <v>7</v>
      </c>
    </row>
    <row r="5" spans="1:12" x14ac:dyDescent="0.3">
      <c r="A5" s="4" t="s">
        <v>8</v>
      </c>
      <c r="B5" s="4">
        <v>99</v>
      </c>
      <c r="C5" s="4">
        <v>95</v>
      </c>
      <c r="D5" s="4">
        <v>99</v>
      </c>
      <c r="E5" s="4">
        <v>99</v>
      </c>
      <c r="F5" s="4">
        <v>88</v>
      </c>
      <c r="G5" s="4">
        <f>SUM(B5:F5)</f>
        <v>480</v>
      </c>
      <c r="H5" s="7">
        <f>G5/500</f>
        <v>0.96</v>
      </c>
      <c r="I5" s="4" t="str">
        <f>IF(H5&lt;=40%,I16,IF(H5&lt;=50%,"C",IF(H5&lt;=60%,"B",IF(H5&lt;=70%,"B2",IF(H5&lt;=80%,"B1",IF(H5&lt;=90%,"A2",IF(H5&lt;=95%,"A","A1")))))))</f>
        <v>A1</v>
      </c>
      <c r="K5" s="9" t="s">
        <v>25</v>
      </c>
      <c r="L5" s="9"/>
    </row>
    <row r="6" spans="1:12" x14ac:dyDescent="0.3">
      <c r="A6" s="4" t="s">
        <v>9</v>
      </c>
      <c r="B6" s="4">
        <v>99</v>
      </c>
      <c r="C6" s="4">
        <v>88</v>
      </c>
      <c r="D6" s="4">
        <v>95</v>
      </c>
      <c r="E6" s="4">
        <v>90</v>
      </c>
      <c r="F6" s="4">
        <v>75</v>
      </c>
      <c r="G6" s="4">
        <f t="shared" ref="G6:G18" si="0">SUM(B6:F6)</f>
        <v>447</v>
      </c>
      <c r="H6" s="7">
        <f t="shared" ref="H6:H18" si="1">G6/500</f>
        <v>0.89400000000000002</v>
      </c>
      <c r="I6" s="4" t="str">
        <f t="shared" ref="I6:I18" si="2">IF(H6&lt;=40%,"D",IF(H6&lt;=50%,"C",IF(H6&lt;=60%,"B",IF(H6&lt;=70%,"B2",IF(H6&lt;=80%,"B1",IF(H6&lt;=90%,"A2",IF(H6&lt;=95%,"A","A1")))))))</f>
        <v>A2</v>
      </c>
      <c r="K6" s="8" t="s">
        <v>6</v>
      </c>
      <c r="L6" s="8" t="s">
        <v>26</v>
      </c>
    </row>
    <row r="7" spans="1:12" x14ac:dyDescent="0.3">
      <c r="A7" s="4" t="s">
        <v>10</v>
      </c>
      <c r="B7" s="4">
        <v>88</v>
      </c>
      <c r="C7" s="4">
        <v>89</v>
      </c>
      <c r="D7" s="4">
        <v>79</v>
      </c>
      <c r="E7" s="4">
        <v>85</v>
      </c>
      <c r="F7" s="4">
        <v>75</v>
      </c>
      <c r="G7" s="4">
        <f t="shared" si="0"/>
        <v>416</v>
      </c>
      <c r="H7" s="7">
        <f t="shared" si="1"/>
        <v>0.83199999999999996</v>
      </c>
      <c r="I7" s="4" t="str">
        <f t="shared" si="2"/>
        <v>A2</v>
      </c>
      <c r="K7" s="8" t="s">
        <v>36</v>
      </c>
      <c r="L7" s="8" t="s">
        <v>27</v>
      </c>
    </row>
    <row r="8" spans="1:12" x14ac:dyDescent="0.3">
      <c r="A8" s="4" t="s">
        <v>11</v>
      </c>
      <c r="B8" s="4">
        <v>87</v>
      </c>
      <c r="C8" s="4">
        <v>99</v>
      </c>
      <c r="D8" s="4">
        <v>86</v>
      </c>
      <c r="E8" s="4">
        <v>90</v>
      </c>
      <c r="F8" s="4">
        <v>90</v>
      </c>
      <c r="G8" s="4">
        <f t="shared" si="0"/>
        <v>452</v>
      </c>
      <c r="H8" s="7">
        <f t="shared" si="1"/>
        <v>0.90400000000000003</v>
      </c>
      <c r="I8" s="4" t="str">
        <f t="shared" si="2"/>
        <v>A</v>
      </c>
      <c r="K8" s="8" t="s">
        <v>37</v>
      </c>
      <c r="L8" s="8" t="s">
        <v>28</v>
      </c>
    </row>
    <row r="9" spans="1:12" x14ac:dyDescent="0.3">
      <c r="A9" s="4" t="s">
        <v>12</v>
      </c>
      <c r="B9" s="4">
        <v>94</v>
      </c>
      <c r="C9" s="4">
        <v>40</v>
      </c>
      <c r="D9" s="4">
        <v>93</v>
      </c>
      <c r="E9" s="4">
        <v>85</v>
      </c>
      <c r="F9" s="4">
        <v>75</v>
      </c>
      <c r="G9" s="4">
        <f t="shared" si="0"/>
        <v>387</v>
      </c>
      <c r="H9" s="7">
        <f t="shared" si="1"/>
        <v>0.77400000000000002</v>
      </c>
      <c r="I9" s="4" t="str">
        <f t="shared" si="2"/>
        <v>B1</v>
      </c>
      <c r="K9" s="8" t="s">
        <v>38</v>
      </c>
      <c r="L9" s="8" t="s">
        <v>29</v>
      </c>
    </row>
    <row r="10" spans="1:12" x14ac:dyDescent="0.3">
      <c r="A10" s="4" t="s">
        <v>13</v>
      </c>
      <c r="B10" s="4">
        <v>82</v>
      </c>
      <c r="C10" s="4">
        <v>35</v>
      </c>
      <c r="D10" s="4">
        <v>100</v>
      </c>
      <c r="E10" s="4">
        <v>75</v>
      </c>
      <c r="F10" s="4">
        <v>85</v>
      </c>
      <c r="G10" s="4">
        <f t="shared" si="0"/>
        <v>377</v>
      </c>
      <c r="H10" s="7">
        <f t="shared" si="1"/>
        <v>0.754</v>
      </c>
      <c r="I10" s="4" t="str">
        <f t="shared" si="2"/>
        <v>B1</v>
      </c>
      <c r="K10" s="8" t="s">
        <v>39</v>
      </c>
      <c r="L10" s="8" t="s">
        <v>31</v>
      </c>
    </row>
    <row r="11" spans="1:12" x14ac:dyDescent="0.3">
      <c r="A11" s="4" t="s">
        <v>14</v>
      </c>
      <c r="B11" s="4">
        <v>83</v>
      </c>
      <c r="C11" s="4">
        <v>55</v>
      </c>
      <c r="D11" s="4">
        <v>90</v>
      </c>
      <c r="E11" s="4">
        <v>95</v>
      </c>
      <c r="F11" s="4">
        <v>95</v>
      </c>
      <c r="G11" s="4">
        <f t="shared" si="0"/>
        <v>418</v>
      </c>
      <c r="H11" s="7">
        <f t="shared" si="1"/>
        <v>0.83599999999999997</v>
      </c>
      <c r="I11" s="4" t="str">
        <f t="shared" si="2"/>
        <v>A2</v>
      </c>
      <c r="K11" s="8" t="s">
        <v>40</v>
      </c>
      <c r="L11" s="8" t="s">
        <v>30</v>
      </c>
    </row>
    <row r="12" spans="1:12" x14ac:dyDescent="0.3">
      <c r="A12" s="4" t="s">
        <v>15</v>
      </c>
      <c r="B12" s="4">
        <v>90</v>
      </c>
      <c r="C12" s="4">
        <v>25</v>
      </c>
      <c r="D12" s="4">
        <v>90</v>
      </c>
      <c r="E12" s="4">
        <v>90</v>
      </c>
      <c r="F12" s="4">
        <v>90</v>
      </c>
      <c r="G12" s="4">
        <f t="shared" si="0"/>
        <v>385</v>
      </c>
      <c r="H12" s="7">
        <f t="shared" si="1"/>
        <v>0.77</v>
      </c>
      <c r="I12" s="4" t="str">
        <f t="shared" si="2"/>
        <v>B1</v>
      </c>
      <c r="K12" s="8" t="s">
        <v>41</v>
      </c>
      <c r="L12" s="8" t="s">
        <v>33</v>
      </c>
    </row>
    <row r="13" spans="1:12" x14ac:dyDescent="0.3">
      <c r="A13" s="4" t="s">
        <v>16</v>
      </c>
      <c r="B13" s="4">
        <v>75</v>
      </c>
      <c r="C13" s="4">
        <v>20</v>
      </c>
      <c r="D13" s="4">
        <v>85</v>
      </c>
      <c r="E13" s="4">
        <v>85</v>
      </c>
      <c r="F13" s="4">
        <v>85</v>
      </c>
      <c r="G13" s="4">
        <f t="shared" si="0"/>
        <v>350</v>
      </c>
      <c r="H13" s="7">
        <f t="shared" si="1"/>
        <v>0.7</v>
      </c>
      <c r="I13" s="4" t="str">
        <f t="shared" si="2"/>
        <v>B2</v>
      </c>
      <c r="K13" s="8" t="s">
        <v>42</v>
      </c>
      <c r="L13" s="8" t="s">
        <v>32</v>
      </c>
    </row>
    <row r="14" spans="1:12" x14ac:dyDescent="0.3">
      <c r="A14" s="4" t="s">
        <v>17</v>
      </c>
      <c r="B14" s="4">
        <v>70</v>
      </c>
      <c r="C14" s="4">
        <v>20</v>
      </c>
      <c r="D14" s="4">
        <v>75</v>
      </c>
      <c r="E14" s="4">
        <v>75</v>
      </c>
      <c r="F14" s="4">
        <v>75</v>
      </c>
      <c r="G14" s="4">
        <f t="shared" si="0"/>
        <v>315</v>
      </c>
      <c r="H14" s="7">
        <f t="shared" si="1"/>
        <v>0.63</v>
      </c>
      <c r="I14" s="4" t="str">
        <f t="shared" si="2"/>
        <v>B2</v>
      </c>
      <c r="K14" s="8" t="s">
        <v>35</v>
      </c>
      <c r="L14" s="8" t="s">
        <v>34</v>
      </c>
    </row>
    <row r="15" spans="1:12" x14ac:dyDescent="0.3">
      <c r="A15" s="4" t="s">
        <v>18</v>
      </c>
      <c r="B15" s="4">
        <v>70</v>
      </c>
      <c r="C15" s="4">
        <v>20</v>
      </c>
      <c r="D15" s="4">
        <v>95</v>
      </c>
      <c r="E15" s="4">
        <v>95</v>
      </c>
      <c r="F15" s="4">
        <v>95</v>
      </c>
      <c r="G15" s="4">
        <f t="shared" si="0"/>
        <v>375</v>
      </c>
      <c r="H15" s="7">
        <f t="shared" si="1"/>
        <v>0.75</v>
      </c>
      <c r="I15" s="4" t="str">
        <f t="shared" si="2"/>
        <v>B1</v>
      </c>
    </row>
    <row r="16" spans="1:12" x14ac:dyDescent="0.3">
      <c r="A16" s="4" t="s">
        <v>19</v>
      </c>
      <c r="B16" s="4">
        <v>70</v>
      </c>
      <c r="C16" s="4">
        <v>20</v>
      </c>
      <c r="D16" s="4">
        <v>75</v>
      </c>
      <c r="E16" s="4">
        <v>75</v>
      </c>
      <c r="F16" s="4">
        <v>75</v>
      </c>
      <c r="G16" s="4">
        <f t="shared" si="0"/>
        <v>315</v>
      </c>
      <c r="H16" s="7">
        <f t="shared" si="1"/>
        <v>0.63</v>
      </c>
      <c r="I16" s="4" t="str">
        <f t="shared" si="2"/>
        <v>B2</v>
      </c>
    </row>
    <row r="17" spans="1:9" x14ac:dyDescent="0.3">
      <c r="A17" s="4" t="s">
        <v>20</v>
      </c>
      <c r="B17" s="4">
        <v>70</v>
      </c>
      <c r="C17" s="4">
        <v>20</v>
      </c>
      <c r="D17" s="4">
        <v>98</v>
      </c>
      <c r="E17" s="4">
        <v>98</v>
      </c>
      <c r="F17" s="4">
        <v>98</v>
      </c>
      <c r="G17" s="4">
        <f t="shared" si="0"/>
        <v>384</v>
      </c>
      <c r="H17" s="7">
        <f t="shared" si="1"/>
        <v>0.76800000000000002</v>
      </c>
      <c r="I17" s="4" t="str">
        <f t="shared" si="2"/>
        <v>B1</v>
      </c>
    </row>
    <row r="18" spans="1:9" x14ac:dyDescent="0.3">
      <c r="A18" s="4" t="s">
        <v>21</v>
      </c>
      <c r="B18" s="4">
        <v>45</v>
      </c>
      <c r="C18" s="4">
        <v>55</v>
      </c>
      <c r="D18" s="4">
        <v>72</v>
      </c>
      <c r="E18" s="4">
        <v>90</v>
      </c>
      <c r="F18" s="4">
        <v>45</v>
      </c>
      <c r="G18" s="4">
        <f t="shared" si="0"/>
        <v>307</v>
      </c>
      <c r="H18" s="7">
        <f t="shared" si="1"/>
        <v>0.61399999999999999</v>
      </c>
      <c r="I18" s="4" t="str">
        <f t="shared" si="2"/>
        <v>B2</v>
      </c>
    </row>
  </sheetData>
  <mergeCells count="1">
    <mergeCell ref="K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2023-05-18T08:44:41Z</dcterms:created>
  <dcterms:modified xsi:type="dcterms:W3CDTF">2026-08-25T12:08:18Z</dcterms:modified>
</cp:coreProperties>
</file>