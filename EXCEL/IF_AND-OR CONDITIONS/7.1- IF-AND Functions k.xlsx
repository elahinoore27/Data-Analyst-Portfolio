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if_and_or/"/>
    </mc:Choice>
  </mc:AlternateContent>
  <xr:revisionPtr revIDLastSave="47" documentId="11_81D6DC22DF63EAEAD8BEAB27BE64E268C56DBFFA" xr6:coauthVersionLast="47" xr6:coauthVersionMax="47" xr10:uidLastSave="{9A3044C7-8D70-4E24-8DC4-85571FD89B74}"/>
  <bookViews>
    <workbookView xWindow="-108" yWindow="-108" windowWidth="23256" windowHeight="13896" activeTab="1" xr2:uid="{00000000-000D-0000-FFFF-FFFF00000000}"/>
  </bookViews>
  <sheets>
    <sheet name="IF-AND EX-1" sheetId="1" r:id="rId1"/>
    <sheet name="IF-AND EX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4" i="2"/>
  <c r="H8" i="1"/>
  <c r="G8" i="1"/>
  <c r="C18" i="1" a="1"/>
  <c r="C18" i="1" s="1"/>
  <c r="C17" i="1" a="1"/>
  <c r="C17" i="1" s="1"/>
  <c r="E9" i="1"/>
  <c r="E10" i="1"/>
  <c r="E11" i="1"/>
  <c r="E12" i="1"/>
  <c r="E13" i="1"/>
  <c r="E14" i="1"/>
  <c r="E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<sst xmlns="http://schemas.openxmlformats.org/spreadsheetml/2006/main" count="33" uniqueCount="32">
  <si>
    <t>EmpCode</t>
  </si>
  <si>
    <t>Designation</t>
  </si>
  <si>
    <t>Salary</t>
  </si>
  <si>
    <t>Salesman</t>
  </si>
  <si>
    <t>Accountant</t>
  </si>
  <si>
    <t>Manager</t>
  </si>
  <si>
    <t>Cordinator</t>
  </si>
  <si>
    <t>HR</t>
  </si>
  <si>
    <t>Supervisor</t>
  </si>
  <si>
    <t xml:space="preserve">IF AND </t>
  </si>
  <si>
    <t>Conditions</t>
  </si>
  <si>
    <r>
      <t xml:space="preserve">use </t>
    </r>
    <r>
      <rPr>
        <b/>
        <sz val="11"/>
        <color theme="1"/>
        <rFont val="Calibri"/>
        <family val="2"/>
        <scheme val="minor"/>
      </rPr>
      <t>IF AND</t>
    </r>
  </si>
  <si>
    <t>Logical Formula IF(AND)</t>
  </si>
  <si>
    <t>Designation must be "Manager" and Salary 60000</t>
  </si>
  <si>
    <t>Comission Table</t>
  </si>
  <si>
    <t>Salesperson's Name</t>
  </si>
  <si>
    <t>Silver Credit Card</t>
  </si>
  <si>
    <t>Gold Credit Card</t>
  </si>
  <si>
    <t>Platinum Credit Card</t>
  </si>
  <si>
    <t>Salaries</t>
  </si>
  <si>
    <t>Aman Gupta</t>
  </si>
  <si>
    <t>Supriya Shinde</t>
  </si>
  <si>
    <t>Roshan Sharma</t>
  </si>
  <si>
    <t>Ananya Salunke</t>
  </si>
  <si>
    <t>Deepak Chopra</t>
  </si>
  <si>
    <t>Rekha Kasaat</t>
  </si>
  <si>
    <t>Nirmal Desai</t>
  </si>
  <si>
    <t>Komal Nanavare</t>
  </si>
  <si>
    <t>Sunil Bhede</t>
  </si>
  <si>
    <t>Mohini Patel</t>
  </si>
  <si>
    <t xml:space="preserve">Note: Commission of 3% will be given to employees who sell all three credit cards more than 100 per month.3% commission on Salaries. </t>
  </si>
  <si>
    <t xml:space="preserve">Comission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</si>
</sst>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FFFFFF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2" fillId="2" borderId="0" xfId="0" applyFont="1" applyFill="1"/>
    <xf numFmtId="0" fontId="1" fillId="0" borderId="1" xfId="0" applyFont="1" applyBorder="1"/>
    <xf numFmtId="0" fontId="4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2" zoomScale="150" zoomScaleNormal="150" workbookViewId="0">
      <selection activeCell="H8" sqref="H8"/>
    </sheetView>
  </sheetViews>
  <sheetFormatPr defaultRowHeight="20.100000000000001" customHeight="1" x14ac:dyDescent="0.3"/>
  <cols>
    <col min="2" max="2" width="8.88671875" bestFit="1" customWidth="1"/>
    <col min="3" max="3" width="11.5546875" bestFit="1" customWidth="1"/>
    <col min="8" max="8" width="63.5546875" bestFit="1" customWidth="1"/>
  </cols>
  <sheetData>
    <row r="1" spans="2:8" ht="14.4" x14ac:dyDescent="0.3"/>
    <row r="2" spans="2:8" ht="14.4" x14ac:dyDescent="0.3"/>
    <row r="3" spans="2:8" ht="18" x14ac:dyDescent="0.35">
      <c r="B3" t="s">
        <v>12</v>
      </c>
      <c r="H3" s="6" t="s">
        <v>10</v>
      </c>
    </row>
    <row r="4" spans="2:8" ht="14.4" x14ac:dyDescent="0.3">
      <c r="G4" s="1"/>
    </row>
    <row r="5" spans="2:8" ht="14.4" x14ac:dyDescent="0.3">
      <c r="G5" s="1">
        <v>1</v>
      </c>
      <c r="H5" t="s">
        <v>13</v>
      </c>
    </row>
    <row r="6" spans="2:8" ht="14.4" x14ac:dyDescent="0.3">
      <c r="E6" s="7" t="s">
        <v>9</v>
      </c>
      <c r="H6" t="s">
        <v>11</v>
      </c>
    </row>
    <row r="7" spans="2:8" ht="14.4" x14ac:dyDescent="0.3">
      <c r="B7" s="2" t="s">
        <v>0</v>
      </c>
      <c r="C7" s="2" t="s">
        <v>1</v>
      </c>
      <c r="D7" s="3" t="s">
        <v>2</v>
      </c>
      <c r="E7" s="4"/>
    </row>
    <row r="8" spans="2:8" ht="14.4" x14ac:dyDescent="0.3">
      <c r="B8" s="4">
        <v>1001</v>
      </c>
      <c r="C8" s="4" t="s">
        <v>3</v>
      </c>
      <c r="D8" s="5">
        <v>50000</v>
      </c>
      <c r="E8" s="4" t="str">
        <f>+IF(AND(C8="Manager",D8&gt;=70000),"Yes","No")</f>
        <v>No</v>
      </c>
      <c r="G8" t="str">
        <f>IF(AND(C8="Manager",D8=60000),"Yes","No")</f>
        <v>No</v>
      </c>
      <c r="H8" t="str">
        <f>IF(AND(C8="Manager",D8=60000),"Yes","No")</f>
        <v>No</v>
      </c>
    </row>
    <row r="9" spans="2:8" ht="14.4" x14ac:dyDescent="0.3">
      <c r="B9" s="4">
        <v>1002</v>
      </c>
      <c r="C9" s="4" t="s">
        <v>4</v>
      </c>
      <c r="D9" s="5">
        <v>60000</v>
      </c>
      <c r="E9" s="4" t="str">
        <f t="shared" ref="E9:E14" si="0">+IF(AND(C9="Manager",D9&gt;=70000),"Yes","No")</f>
        <v>No</v>
      </c>
      <c r="H9">
        <v>2</v>
      </c>
    </row>
    <row r="10" spans="2:8" ht="14.4" x14ac:dyDescent="0.3">
      <c r="B10" s="4">
        <v>1003</v>
      </c>
      <c r="C10" s="4" t="s">
        <v>5</v>
      </c>
      <c r="D10" s="5">
        <v>70000</v>
      </c>
      <c r="E10" s="4" t="str">
        <f t="shared" si="0"/>
        <v>Yes</v>
      </c>
      <c r="H10">
        <v>2</v>
      </c>
    </row>
    <row r="11" spans="2:8" ht="14.4" x14ac:dyDescent="0.3">
      <c r="B11" s="4">
        <v>1004</v>
      </c>
      <c r="C11" s="4" t="s">
        <v>6</v>
      </c>
      <c r="D11" s="5">
        <v>50000</v>
      </c>
      <c r="E11" s="4" t="str">
        <f t="shared" si="0"/>
        <v>No</v>
      </c>
      <c r="H11">
        <v>2</v>
      </c>
    </row>
    <row r="12" spans="2:8" ht="14.4" x14ac:dyDescent="0.3">
      <c r="B12" s="4">
        <v>1005</v>
      </c>
      <c r="C12" s="4" t="s">
        <v>7</v>
      </c>
      <c r="D12" s="5">
        <v>10000</v>
      </c>
      <c r="E12" s="4" t="str">
        <f t="shared" si="0"/>
        <v>No</v>
      </c>
      <c r="H12">
        <v>2</v>
      </c>
    </row>
    <row r="13" spans="2:8" ht="14.4" x14ac:dyDescent="0.3">
      <c r="B13" s="4">
        <v>1006</v>
      </c>
      <c r="C13" s="4" t="s">
        <v>8</v>
      </c>
      <c r="D13" s="5">
        <v>10000</v>
      </c>
      <c r="E13" s="4" t="str">
        <f t="shared" si="0"/>
        <v>No</v>
      </c>
      <c r="H13">
        <v>2</v>
      </c>
    </row>
    <row r="14" spans="2:8" ht="14.4" x14ac:dyDescent="0.3">
      <c r="B14" s="4">
        <v>1007</v>
      </c>
      <c r="C14" s="4" t="s">
        <v>5</v>
      </c>
      <c r="D14" s="5">
        <v>60000</v>
      </c>
      <c r="E14" s="4" t="str">
        <f t="shared" si="0"/>
        <v>No</v>
      </c>
      <c r="H14">
        <v>2</v>
      </c>
    </row>
    <row r="15" spans="2:8" ht="14.4" x14ac:dyDescent="0.3">
      <c r="H15">
        <v>2</v>
      </c>
    </row>
    <row r="16" spans="2:8" ht="14.4" x14ac:dyDescent="0.3">
      <c r="B16">
        <v>1</v>
      </c>
    </row>
    <row r="17" spans="2:3" ht="14.4" x14ac:dyDescent="0.3">
      <c r="B17">
        <v>2</v>
      </c>
      <c r="C17" t="e" cm="1" vm="1">
        <f t="array" ref="C17">_xlfn.SEQUENCE(0,1,10)</f>
        <v>#VALUE!</v>
      </c>
    </row>
    <row r="18" spans="2:3" ht="14.4" x14ac:dyDescent="0.3">
      <c r="B18">
        <v>3</v>
      </c>
      <c r="C18" cm="1">
        <f t="array" ref="C18">_xlfn.SEQUENCE(1,1,1,12)</f>
        <v>1</v>
      </c>
    </row>
    <row r="19" spans="2:3" ht="14.4" x14ac:dyDescent="0.3">
      <c r="B19">
        <v>4</v>
      </c>
    </row>
    <row r="20" spans="2:3" ht="14.4" x14ac:dyDescent="0.3">
      <c r="B20">
        <v>5</v>
      </c>
    </row>
    <row r="21" spans="2:3" ht="14.4" x14ac:dyDescent="0.3">
      <c r="B21">
        <v>6</v>
      </c>
    </row>
    <row r="22" spans="2:3" ht="14.4" x14ac:dyDescent="0.3"/>
    <row r="23" spans="2:3" ht="14.4" x14ac:dyDescent="0.3"/>
    <row r="24" spans="2:3" ht="14.4" x14ac:dyDescent="0.3"/>
    <row r="25" spans="2:3" ht="14.4" x14ac:dyDescent="0.3"/>
    <row r="26" spans="2:3" ht="14.4" x14ac:dyDescent="0.3"/>
    <row r="27" spans="2:3" ht="14.4" x14ac:dyDescent="0.3"/>
    <row r="28" spans="2:3" ht="14.4" x14ac:dyDescent="0.3"/>
    <row r="29" spans="2:3" ht="14.4" x14ac:dyDescent="0.3"/>
    <row r="30" spans="2:3" ht="14.4" x14ac:dyDescent="0.3"/>
    <row r="31" spans="2:3" ht="14.4" x14ac:dyDescent="0.3"/>
    <row r="32" spans="2:3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ht="14.4" x14ac:dyDescent="0.3"/>
    <row r="818" ht="14.4" x14ac:dyDescent="0.3"/>
    <row r="819" ht="14.4" x14ac:dyDescent="0.3"/>
    <row r="820" ht="14.4" x14ac:dyDescent="0.3"/>
    <row r="821" ht="14.4" x14ac:dyDescent="0.3"/>
    <row r="822" ht="14.4" x14ac:dyDescent="0.3"/>
    <row r="823" ht="14.4" x14ac:dyDescent="0.3"/>
    <row r="824" ht="14.4" x14ac:dyDescent="0.3"/>
    <row r="825" ht="14.4" x14ac:dyDescent="0.3"/>
    <row r="826" ht="14.4" x14ac:dyDescent="0.3"/>
    <row r="827" ht="14.4" x14ac:dyDescent="0.3"/>
    <row r="828" ht="14.4" x14ac:dyDescent="0.3"/>
    <row r="829" ht="14.4" x14ac:dyDescent="0.3"/>
    <row r="830" ht="14.4" x14ac:dyDescent="0.3"/>
    <row r="831" ht="14.4" x14ac:dyDescent="0.3"/>
    <row r="832" ht="14.4" x14ac:dyDescent="0.3"/>
    <row r="833" ht="14.4" x14ac:dyDescent="0.3"/>
    <row r="834" ht="14.4" x14ac:dyDescent="0.3"/>
    <row r="835" ht="14.4" x14ac:dyDescent="0.3"/>
    <row r="836" ht="14.4" x14ac:dyDescent="0.3"/>
    <row r="837" ht="14.4" x14ac:dyDescent="0.3"/>
    <row r="838" ht="14.4" x14ac:dyDescent="0.3"/>
    <row r="839" ht="14.4" x14ac:dyDescent="0.3"/>
    <row r="840" ht="14.4" x14ac:dyDescent="0.3"/>
    <row r="841" ht="14.4" x14ac:dyDescent="0.3"/>
    <row r="842" ht="14.4" x14ac:dyDescent="0.3"/>
    <row r="843" ht="14.4" x14ac:dyDescent="0.3"/>
    <row r="844" ht="14.4" x14ac:dyDescent="0.3"/>
    <row r="845" ht="14.4" x14ac:dyDescent="0.3"/>
    <row r="846" ht="14.4" x14ac:dyDescent="0.3"/>
    <row r="847" ht="14.4" x14ac:dyDescent="0.3"/>
    <row r="848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ht="14.4" x14ac:dyDescent="0.3"/>
    <row r="882" ht="14.4" x14ac:dyDescent="0.3"/>
    <row r="883" ht="14.4" x14ac:dyDescent="0.3"/>
    <row r="884" ht="14.4" x14ac:dyDescent="0.3"/>
    <row r="885" ht="14.4" x14ac:dyDescent="0.3"/>
    <row r="886" ht="14.4" x14ac:dyDescent="0.3"/>
    <row r="887" ht="14.4" x14ac:dyDescent="0.3"/>
    <row r="888" ht="14.4" x14ac:dyDescent="0.3"/>
    <row r="889" ht="14.4" x14ac:dyDescent="0.3"/>
    <row r="890" ht="14.4" x14ac:dyDescent="0.3"/>
    <row r="891" ht="14.4" x14ac:dyDescent="0.3"/>
    <row r="892" ht="14.4" x14ac:dyDescent="0.3"/>
    <row r="893" ht="14.4" x14ac:dyDescent="0.3"/>
    <row r="894" ht="14.4" x14ac:dyDescent="0.3"/>
    <row r="895" ht="14.4" x14ac:dyDescent="0.3"/>
    <row r="896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ht="14.4" x14ac:dyDescent="0.3"/>
    <row r="946" ht="14.4" x14ac:dyDescent="0.3"/>
    <row r="947" ht="14.4" x14ac:dyDescent="0.3"/>
    <row r="948" ht="14.4" x14ac:dyDescent="0.3"/>
    <row r="949" ht="14.4" x14ac:dyDescent="0.3"/>
    <row r="950" ht="14.4" x14ac:dyDescent="0.3"/>
    <row r="951" ht="14.4" x14ac:dyDescent="0.3"/>
    <row r="952" ht="14.4" x14ac:dyDescent="0.3"/>
    <row r="953" ht="14.4" x14ac:dyDescent="0.3"/>
    <row r="954" ht="14.4" x14ac:dyDescent="0.3"/>
    <row r="955" ht="14.4" x14ac:dyDescent="0.3"/>
    <row r="956" ht="14.4" x14ac:dyDescent="0.3"/>
    <row r="957" ht="14.4" x14ac:dyDescent="0.3"/>
    <row r="958" ht="14.4" x14ac:dyDescent="0.3"/>
    <row r="959" ht="14.4" x14ac:dyDescent="0.3"/>
    <row r="960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tabSelected="1" workbookViewId="0">
      <selection activeCell="G4" sqref="G4:G13"/>
    </sheetView>
  </sheetViews>
  <sheetFormatPr defaultRowHeight="14.4" x14ac:dyDescent="0.3"/>
  <cols>
    <col min="2" max="2" width="26" customWidth="1"/>
    <col min="3" max="3" width="19.88671875" customWidth="1"/>
    <col min="4" max="5" width="19.5546875" customWidth="1"/>
    <col min="7" max="7" width="16.6640625" customWidth="1"/>
  </cols>
  <sheetData>
    <row r="1" spans="2:7" ht="15" thickBot="1" x14ac:dyDescent="0.35"/>
    <row r="2" spans="2:7" ht="16.2" thickBot="1" x14ac:dyDescent="0.35">
      <c r="B2" s="17" t="s">
        <v>14</v>
      </c>
      <c r="C2" s="18"/>
      <c r="D2" s="18"/>
      <c r="E2" s="18"/>
      <c r="F2" s="18"/>
      <c r="G2" s="19"/>
    </row>
    <row r="3" spans="2:7" ht="28.8" thickBot="1" x14ac:dyDescent="0.35">
      <c r="B3" s="8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G3" s="9" t="s">
        <v>31</v>
      </c>
    </row>
    <row r="4" spans="2:7" ht="15" thickBot="1" x14ac:dyDescent="0.35">
      <c r="B4" s="10" t="s">
        <v>20</v>
      </c>
      <c r="C4" s="11">
        <v>106</v>
      </c>
      <c r="D4" s="11">
        <v>89</v>
      </c>
      <c r="E4" s="11">
        <v>98</v>
      </c>
      <c r="F4" s="12">
        <v>30000</v>
      </c>
      <c r="G4" s="13" t="str">
        <f>IF(AND(C4&gt;100,D4&gt;100,E4&gt;100),F4*3%,"No")</f>
        <v>No</v>
      </c>
    </row>
    <row r="5" spans="2:7" ht="15" thickBot="1" x14ac:dyDescent="0.35">
      <c r="B5" s="10" t="s">
        <v>21</v>
      </c>
      <c r="C5" s="11">
        <v>110</v>
      </c>
      <c r="D5" s="11">
        <v>102</v>
      </c>
      <c r="E5" s="11">
        <v>100</v>
      </c>
      <c r="F5" s="14">
        <v>35000</v>
      </c>
      <c r="G5" s="13" t="str">
        <f t="shared" ref="G5:G13" si="0">IF(AND(C5&gt;100,D5&gt;100,E5&gt;100),F5*3%,"No")</f>
        <v>No</v>
      </c>
    </row>
    <row r="6" spans="2:7" ht="15" thickBot="1" x14ac:dyDescent="0.35">
      <c r="B6" s="10" t="s">
        <v>22</v>
      </c>
      <c r="C6" s="11">
        <v>105</v>
      </c>
      <c r="D6" s="11">
        <v>111</v>
      </c>
      <c r="E6" s="11">
        <v>103</v>
      </c>
      <c r="F6" s="14">
        <v>55000</v>
      </c>
      <c r="G6" s="13">
        <f t="shared" si="0"/>
        <v>1650</v>
      </c>
    </row>
    <row r="7" spans="2:7" ht="15" thickBot="1" x14ac:dyDescent="0.35">
      <c r="B7" s="10" t="s">
        <v>23</v>
      </c>
      <c r="C7" s="11">
        <v>108</v>
      </c>
      <c r="D7" s="11">
        <v>99</v>
      </c>
      <c r="E7" s="11">
        <v>108</v>
      </c>
      <c r="F7" s="14">
        <v>89000</v>
      </c>
      <c r="G7" s="13" t="str">
        <f t="shared" si="0"/>
        <v>No</v>
      </c>
    </row>
    <row r="8" spans="2:7" ht="15" thickBot="1" x14ac:dyDescent="0.35">
      <c r="B8" s="10" t="s">
        <v>24</v>
      </c>
      <c r="C8" s="11">
        <v>114</v>
      </c>
      <c r="D8" s="11">
        <v>102</v>
      </c>
      <c r="E8" s="11">
        <v>88</v>
      </c>
      <c r="F8" s="14">
        <v>25000</v>
      </c>
      <c r="G8" s="13" t="str">
        <f t="shared" si="0"/>
        <v>No</v>
      </c>
    </row>
    <row r="9" spans="2:7" ht="15" thickBot="1" x14ac:dyDescent="0.35">
      <c r="B9" s="10" t="s">
        <v>25</v>
      </c>
      <c r="C9" s="11">
        <v>77</v>
      </c>
      <c r="D9" s="11">
        <v>100</v>
      </c>
      <c r="E9" s="11">
        <v>80</v>
      </c>
      <c r="F9" s="14">
        <v>30000</v>
      </c>
      <c r="G9" s="13" t="str">
        <f t="shared" si="0"/>
        <v>No</v>
      </c>
    </row>
    <row r="10" spans="2:7" ht="15" thickBot="1" x14ac:dyDescent="0.35">
      <c r="B10" s="10" t="s">
        <v>26</v>
      </c>
      <c r="C10" s="11">
        <v>116</v>
      </c>
      <c r="D10" s="11">
        <v>95</v>
      </c>
      <c r="E10" s="11">
        <v>95</v>
      </c>
      <c r="F10" s="14">
        <v>60000</v>
      </c>
      <c r="G10" s="13" t="str">
        <f t="shared" si="0"/>
        <v>No</v>
      </c>
    </row>
    <row r="11" spans="2:7" ht="15" thickBot="1" x14ac:dyDescent="0.35">
      <c r="B11" s="10" t="s">
        <v>27</v>
      </c>
      <c r="C11" s="11">
        <v>103</v>
      </c>
      <c r="D11" s="11">
        <v>78</v>
      </c>
      <c r="E11" s="11">
        <v>100</v>
      </c>
      <c r="F11" s="14">
        <v>66000</v>
      </c>
      <c r="G11" s="13" t="str">
        <f t="shared" si="0"/>
        <v>No</v>
      </c>
    </row>
    <row r="12" spans="2:7" ht="15" thickBot="1" x14ac:dyDescent="0.35">
      <c r="B12" s="10" t="s">
        <v>28</v>
      </c>
      <c r="C12" s="11">
        <v>115</v>
      </c>
      <c r="D12" s="11">
        <v>107</v>
      </c>
      <c r="E12" s="11">
        <v>110</v>
      </c>
      <c r="F12" s="14">
        <v>58000</v>
      </c>
      <c r="G12" s="13">
        <f t="shared" si="0"/>
        <v>1740</v>
      </c>
    </row>
    <row r="13" spans="2:7" ht="15" thickBot="1" x14ac:dyDescent="0.35">
      <c r="B13" s="10" t="s">
        <v>29</v>
      </c>
      <c r="C13" s="11">
        <v>100</v>
      </c>
      <c r="D13" s="11">
        <v>111</v>
      </c>
      <c r="E13" s="11">
        <v>99</v>
      </c>
      <c r="F13" s="14">
        <v>35000</v>
      </c>
      <c r="G13" s="13" t="str">
        <f t="shared" si="0"/>
        <v>No</v>
      </c>
    </row>
    <row r="14" spans="2:7" ht="15" thickBot="1" x14ac:dyDescent="0.35">
      <c r="B14" s="15"/>
      <c r="C14" s="15"/>
      <c r="D14" s="15"/>
      <c r="E14" s="15"/>
      <c r="F14" s="16"/>
      <c r="G14" s="13"/>
    </row>
    <row r="15" spans="2:7" ht="34.5" customHeight="1" thickBot="1" x14ac:dyDescent="0.35">
      <c r="B15" s="20" t="s">
        <v>30</v>
      </c>
      <c r="C15" s="21"/>
      <c r="D15" s="21"/>
      <c r="E15" s="21"/>
      <c r="F15" s="21"/>
      <c r="G15" s="22"/>
    </row>
  </sheetData>
  <mergeCells count="2">
    <mergeCell ref="B2:G2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IF-AND EX-1</vt:lpstr>
      <vt:lpstr>IF-AND EX-2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2026-08-25T11:52:02Z</dcterms:modified>
</cp:coreProperties>
</file>