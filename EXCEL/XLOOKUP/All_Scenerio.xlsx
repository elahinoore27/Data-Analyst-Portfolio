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XLOOKUP/"/>
    </mc:Choice>
  </mc:AlternateContent>
  <xr:revisionPtr revIDLastSave="251" documentId="8_{A789FC10-7FAE-4CE3-A89F-494B67FFF628}" xr6:coauthVersionLast="47" xr6:coauthVersionMax="47" xr10:uidLastSave="{441CF675-FFC6-4CBE-9687-B27F26A1C7AC}"/>
  <bookViews>
    <workbookView xWindow="-108" yWindow="-108" windowWidth="23256" windowHeight="13896" activeTab="8" xr2:uid="{684343CC-5150-4B50-A3A9-D6EDC59D2672}"/>
  </bookViews>
  <sheets>
    <sheet name="1" sheetId="1" r:id="rId1"/>
    <sheet name="2" sheetId="4" r:id="rId2"/>
    <sheet name="3" sheetId="5" r:id="rId3"/>
    <sheet name="4" sheetId="3" r:id="rId4"/>
    <sheet name="5" sheetId="6" r:id="rId5"/>
    <sheet name="6" sheetId="7" r:id="rId6"/>
    <sheet name="7" sheetId="8" r:id="rId7"/>
    <sheet name="8" sheetId="9" r:id="rId8"/>
    <sheet name="9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0" l="1" a="1"/>
  <c r="C14" i="10" s="1"/>
  <c r="D20" i="10" a="1"/>
  <c r="D20" i="10" s="1"/>
  <c r="F21" i="9" a="1"/>
  <c r="F21" i="9" s="1"/>
  <c r="C19" i="9" a="1"/>
  <c r="C19" i="9" s="1"/>
  <c r="C14" i="9" a="1"/>
  <c r="C14" i="9" s="1"/>
  <c r="D17" i="7" a="1"/>
  <c r="D17" i="7" s="1"/>
  <c r="I21" i="6" a="1"/>
  <c r="I21" i="6" s="1"/>
  <c r="E21" i="3" a="1"/>
  <c r="E21" i="3" s="1"/>
  <c r="I24" i="5" a="1"/>
  <c r="I24" i="5" s="1"/>
  <c r="C26" i="4" a="1"/>
  <c r="C26" i="4" s="1"/>
  <c r="G21" i="1"/>
  <c r="G21" i="6" a="1"/>
  <c r="G21" i="6" s="1"/>
  <c r="C13" i="6" a="1"/>
  <c r="C13" i="6" s="1"/>
  <c r="D19" i="3" a="1"/>
  <c r="D19" i="3" s="1"/>
  <c r="D22" i="5" a="1"/>
  <c r="D22" i="5" s="1"/>
  <c r="C24" i="4" a="1"/>
  <c r="C24" i="4" s="1"/>
  <c r="C16" i="4" a="1"/>
  <c r="C16" i="4" s="1"/>
  <c r="C22" i="1"/>
  <c r="D19" i="8"/>
  <c r="C14" i="8"/>
  <c r="C15" i="3" a="1"/>
  <c r="C15" i="3" s="1"/>
  <c r="C15" i="10" a="1"/>
  <c r="C15" i="10" s="1"/>
  <c r="D18" i="9" a="1"/>
  <c r="D18" i="9" s="1"/>
  <c r="D13" i="9" a="1"/>
  <c r="D13" i="9" s="1"/>
  <c r="C15" i="8"/>
  <c r="C15" i="7" a="1"/>
  <c r="C15" i="7" s="1"/>
  <c r="D13" i="6" a="1"/>
  <c r="D13" i="6" s="1"/>
  <c r="C19" i="5" a="1"/>
  <c r="C19" i="5" s="1"/>
  <c r="C15" i="5" a="1"/>
  <c r="C15" i="5" s="1"/>
  <c r="C22" i="4" a="1"/>
  <c r="C22" i="4" s="1"/>
  <c r="C17" i="4" a="1"/>
  <c r="C17" i="4" s="1"/>
  <c r="D17" i="1"/>
  <c r="D13" i="1"/>
  <c r="D14" i="3" a="1"/>
  <c r="D14" i="3" s="1"/>
  <c r="C18" i="5" a="1"/>
  <c r="C18" i="5" s="1"/>
  <c r="I6" i="10"/>
  <c r="I7" i="10"/>
  <c r="I8" i="10"/>
  <c r="I9" i="10"/>
  <c r="I10" i="10"/>
  <c r="I5" i="10"/>
  <c r="D11" i="9"/>
  <c r="E11" i="9"/>
  <c r="F11" i="9"/>
  <c r="G11" i="9"/>
  <c r="H11" i="9"/>
  <c r="C11" i="9"/>
  <c r="I6" i="9"/>
  <c r="I7" i="9"/>
  <c r="I8" i="9"/>
  <c r="I9" i="9"/>
  <c r="I10" i="9"/>
  <c r="I5" i="9"/>
  <c r="D14" i="7" a="1"/>
  <c r="D14" i="7" s="1"/>
  <c r="J6" i="6"/>
  <c r="J7" i="6"/>
  <c r="J8" i="6"/>
  <c r="J9" i="6"/>
  <c r="J10" i="6"/>
  <c r="J5" i="6"/>
  <c r="J6" i="3"/>
  <c r="J7" i="3"/>
  <c r="J8" i="3"/>
  <c r="J9" i="3"/>
  <c r="J10" i="3"/>
  <c r="J5" i="3"/>
  <c r="J6" i="5"/>
  <c r="J7" i="5"/>
  <c r="J8" i="5"/>
  <c r="J9" i="5"/>
  <c r="J10" i="5"/>
  <c r="J5" i="5"/>
  <c r="C14" i="5" a="1"/>
  <c r="C14" i="5" s="1"/>
  <c r="C21" i="4" a="1"/>
  <c r="C21" i="4" s="1"/>
  <c r="J6" i="4"/>
  <c r="J7" i="4"/>
  <c r="J8" i="4"/>
  <c r="J9" i="4"/>
  <c r="J10" i="4"/>
  <c r="J5" i="4"/>
  <c r="C18" i="1"/>
  <c r="J6" i="1"/>
  <c r="C14" i="1" s="1"/>
  <c r="J7" i="1"/>
  <c r="J8" i="1"/>
  <c r="J9" i="1"/>
  <c r="J10" i="1"/>
  <c r="J5" i="1"/>
  <c r="I11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<sst xmlns="http://schemas.openxmlformats.org/spreadsheetml/2006/main" count="272" uniqueCount="35">
  <si>
    <t>Product</t>
  </si>
  <si>
    <t>Jan</t>
  </si>
  <si>
    <t>Feb</t>
  </si>
  <si>
    <t>Mar</t>
  </si>
  <si>
    <t>Apr</t>
  </si>
  <si>
    <t>May</t>
  </si>
  <si>
    <t>Jun</t>
  </si>
  <si>
    <t>Microwave</t>
  </si>
  <si>
    <t>Phone</t>
  </si>
  <si>
    <t>Laptop</t>
  </si>
  <si>
    <t>Speaker</t>
  </si>
  <si>
    <t>HSN Code</t>
  </si>
  <si>
    <t>XYZ001</t>
  </si>
  <si>
    <t>XYZ002</t>
  </si>
  <si>
    <t>XYZ003</t>
  </si>
  <si>
    <t>XYZ004</t>
  </si>
  <si>
    <t>XYZ005</t>
  </si>
  <si>
    <t>XYZ006</t>
  </si>
  <si>
    <t>AC</t>
  </si>
  <si>
    <t>Oven</t>
  </si>
  <si>
    <t>Total Sale</t>
  </si>
  <si>
    <t>Month</t>
  </si>
  <si>
    <t>Total</t>
  </si>
  <si>
    <t>Amount</t>
  </si>
  <si>
    <t>=XLOOKUP(lookup_value,lookup_array,return_array,if_not_found,match_mode,search_mode)</t>
  </si>
  <si>
    <t>Do it here</t>
  </si>
  <si>
    <t>Simple Xlookup</t>
  </si>
  <si>
    <t>Xlooup Multiple Column Data Fetching</t>
  </si>
  <si>
    <t>Xlookup with Choose Function</t>
  </si>
  <si>
    <t>Xlookup with Join String output (Specific Category Fetching)</t>
  </si>
  <si>
    <t>Xlookup with Transpose Function</t>
  </si>
  <si>
    <t>Double Xlookup</t>
  </si>
  <si>
    <t>SUM Function with Xlookup</t>
  </si>
  <si>
    <t>Multiple Lookup Value Record Fetching</t>
  </si>
  <si>
    <t>Index Match Concept 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</si>
</sst>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0" borderId="0" xfId="0" applyFont="1"/>
    <xf numFmtId="0" fontId="0" fillId="0" borderId="0" xfId="0" quotePrefix="1"/>
    <xf numFmtId="0" fontId="0" fillId="3" borderId="2" xfId="0" applyFill="1" applyBorder="1"/>
    <xf numFmtId="0" fontId="4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303530</xdr:colOff>
      <xdr:row>12</xdr:row>
      <xdr:rowOff>165100</xdr:rowOff>
    </xdr:from>
    <xdr:to>
      <xdr:col>8</xdr:col>
      <xdr:colOff>128634</xdr:colOff>
      <xdr:row>14</xdr:row>
      <xdr:rowOff>15919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9E67C6-B8F1-94E4-60A0-249440D7C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6310" y="2519680"/>
          <a:ext cx="2659744" cy="308019"/>
        </a:xfrm>
        <a:prstGeom prst="rect">
          <a:avLst/>
        </a:prstGeom>
      </xdr:spPr>
    </xdr:pic>
    <xdr:clientData/>
  </xdr:twoCellAnchor>
  <xdr:twoCellAnchor editAs="oneCell">
    <xdr:from>
      <xdr:col>4</xdr:col>
      <xdr:colOff>347980</xdr:colOff>
      <xdr:row>16</xdr:row>
      <xdr:rowOff>173990</xdr:rowOff>
    </xdr:from>
    <xdr:to>
      <xdr:col>8</xdr:col>
      <xdr:colOff>351542</xdr:colOff>
      <xdr:row>18</xdr:row>
      <xdr:rowOff>91493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094BB4-FF79-8648-DD1E-ECAA354DD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0760" y="3511550"/>
          <a:ext cx="2838202" cy="3747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12</xdr:row>
      <xdr:rowOff>25400</xdr:rowOff>
    </xdr:from>
    <xdr:to>
      <xdr:col>5</xdr:col>
      <xdr:colOff>498862</xdr:colOff>
      <xdr:row>13</xdr:row>
      <xdr:rowOff>219135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25FA1-DBDE-1C52-AC5C-82B158A15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7650" y="2139950"/>
          <a:ext cx="2772162" cy="428685"/>
        </a:xfrm>
        <a:prstGeom prst="rect">
          <a:avLst/>
        </a:prstGeom>
      </xdr:spPr>
    </xdr:pic>
    <xdr:clientData/>
  </xdr:twoCellAnchor>
  <xdr:twoCellAnchor editAs="oneCell">
    <xdr:from>
      <xdr:col>1</xdr:col>
      <xdr:colOff>901700</xdr:colOff>
      <xdr:row>17</xdr:row>
      <xdr:rowOff>101600</xdr:rowOff>
    </xdr:from>
    <xdr:to>
      <xdr:col>5</xdr:col>
      <xdr:colOff>511567</xdr:colOff>
      <xdr:row>18</xdr:row>
      <xdr:rowOff>190545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DEB7CF-3731-6941-584E-DD98C35B3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50" y="3390900"/>
          <a:ext cx="2810267" cy="323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660400</xdr:colOff>
      <xdr:row>11</xdr:row>
      <xdr:rowOff>196850</xdr:rowOff>
    </xdr:from>
    <xdr:to>
      <xdr:col>11</xdr:col>
      <xdr:colOff>410204</xdr:colOff>
      <xdr:row>13</xdr:row>
      <xdr:rowOff>98477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485D0C-9C49-1D5C-AE85-8FD06CAE4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9200" y="2311400"/>
          <a:ext cx="4505954" cy="37152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11</xdr:col>
      <xdr:colOff>470533</xdr:colOff>
      <xdr:row>17</xdr:row>
      <xdr:rowOff>88945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8CA177-5978-C658-2E8E-1E79977A7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0950" y="3289300"/>
          <a:ext cx="4534533" cy="323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10</xdr:col>
      <xdr:colOff>213255</xdr:colOff>
      <xdr:row>13</xdr:row>
      <xdr:rowOff>117524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C753B-E406-376B-44DA-4EF899F62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0650" y="2349500"/>
          <a:ext cx="3801005" cy="3524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10</xdr:col>
      <xdr:colOff>298992</xdr:colOff>
      <xdr:row>12</xdr:row>
      <xdr:rowOff>107998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69A84-80F2-B1EF-74DF-CB7887B2F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0" y="2114550"/>
          <a:ext cx="3886742" cy="342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11</xdr:col>
      <xdr:colOff>133999</xdr:colOff>
      <xdr:row>13</xdr:row>
      <xdr:rowOff>98472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C85823-009B-A2F8-53EE-6CE023703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5050" y="2349500"/>
          <a:ext cx="4648849" cy="3334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0</xdr:rowOff>
    </xdr:from>
    <xdr:to>
      <xdr:col>8</xdr:col>
      <xdr:colOff>549720</xdr:colOff>
      <xdr:row>13</xdr:row>
      <xdr:rowOff>88945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83258F-CAD8-0E4B-BAC0-9292C3DF9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400" y="2349500"/>
          <a:ext cx="3191320" cy="3238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0</xdr:rowOff>
    </xdr:from>
    <xdr:to>
      <xdr:col>8</xdr:col>
      <xdr:colOff>476659</xdr:colOff>
      <xdr:row>14</xdr:row>
      <xdr:rowOff>88945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E22B5-545E-3D1D-7B4D-9E0DB0BF3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6050" y="2584450"/>
          <a:ext cx="2934109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8</xdr:col>
      <xdr:colOff>733870</xdr:colOff>
      <xdr:row>18</xdr:row>
      <xdr:rowOff>117524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45AD29-5522-7C10-9A65-10E5C1A7C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6050" y="3524250"/>
          <a:ext cx="3191320" cy="3524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12</xdr:row>
      <xdr:rowOff>0</xdr:rowOff>
    </xdr:from>
    <xdr:to>
      <xdr:col>12</xdr:col>
      <xdr:colOff>35612</xdr:colOff>
      <xdr:row>13</xdr:row>
      <xdr:rowOff>136577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B7157-A4BC-0914-0115-86C820FD7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5200" y="2349500"/>
          <a:ext cx="4925112" cy="37152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8E26-8783-43BA-80EA-6903AA713A6F}">
  <dimension ref="B2:J22"/>
  <sheetViews>
    <sheetView zoomScaleNormal="100" workbookViewId="0">
      <selection activeCell="F21" sqref="F21"/>
    </sheetView>
  </sheetViews>
  <sheetFormatPr defaultRowHeight="18" x14ac:dyDescent="0.35"/>
  <cols>
    <col min="1" max="1" width="6.6640625" customWidth="1"/>
    <col min="2" max="3" width="10.25" customWidth="1"/>
    <col min="4" max="9" width="7.75" customWidth="1"/>
    <col min="10" max="10" width="9.25" customWidth="1"/>
    <col min="11" max="11" width="5.33203125" customWidth="1"/>
  </cols>
  <sheetData>
    <row r="2" spans="2:10" x14ac:dyDescent="0.35">
      <c r="B2" s="6" t="s">
        <v>26</v>
      </c>
    </row>
    <row r="4" spans="2:10" x14ac:dyDescent="0.35">
      <c r="B4" s="1" t="s">
        <v>11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20</v>
      </c>
    </row>
    <row r="5" spans="2:10" x14ac:dyDescent="0.35">
      <c r="B5" s="2" t="s">
        <v>12</v>
      </c>
      <c r="C5" s="2" t="s">
        <v>7</v>
      </c>
      <c r="D5" s="3">
        <v>1200</v>
      </c>
      <c r="E5" s="3">
        <v>4500</v>
      </c>
      <c r="F5" s="3">
        <v>760040</v>
      </c>
      <c r="G5" s="3">
        <v>980000</v>
      </c>
      <c r="H5" s="3">
        <v>2300</v>
      </c>
      <c r="I5" s="3">
        <v>210500</v>
      </c>
      <c r="J5" s="3">
        <f>SUM(D5:I5)</f>
        <v>1958540</v>
      </c>
    </row>
    <row r="6" spans="2:10" x14ac:dyDescent="0.35">
      <c r="B6" s="2" t="s">
        <v>13</v>
      </c>
      <c r="C6" s="2" t="s">
        <v>8</v>
      </c>
      <c r="D6" s="3">
        <v>4300</v>
      </c>
      <c r="E6" s="3">
        <v>4000</v>
      </c>
      <c r="F6" s="3">
        <v>66000</v>
      </c>
      <c r="G6" s="3">
        <v>670000</v>
      </c>
      <c r="H6" s="3">
        <v>439800</v>
      </c>
      <c r="I6" s="3">
        <v>43900</v>
      </c>
      <c r="J6" s="3">
        <f t="shared" ref="J6:J10" si="0">SUM(D6:I6)</f>
        <v>1228000</v>
      </c>
    </row>
    <row r="7" spans="2:10" x14ac:dyDescent="0.35">
      <c r="B7" s="2" t="s">
        <v>14</v>
      </c>
      <c r="C7" s="2" t="s">
        <v>9</v>
      </c>
      <c r="D7" s="3">
        <v>10000</v>
      </c>
      <c r="E7" s="3">
        <v>56000</v>
      </c>
      <c r="F7" s="3">
        <v>65000</v>
      </c>
      <c r="G7" s="3">
        <v>870000</v>
      </c>
      <c r="H7" s="3">
        <v>540790</v>
      </c>
      <c r="I7" s="3">
        <v>450000</v>
      </c>
      <c r="J7" s="3">
        <f t="shared" si="0"/>
        <v>1991790</v>
      </c>
    </row>
    <row r="8" spans="2:10" x14ac:dyDescent="0.35">
      <c r="B8" s="2" t="s">
        <v>15</v>
      </c>
      <c r="C8" s="2" t="s">
        <v>10</v>
      </c>
      <c r="D8" s="3">
        <v>43000</v>
      </c>
      <c r="E8" s="3">
        <v>76000</v>
      </c>
      <c r="F8" s="3">
        <v>450000</v>
      </c>
      <c r="G8" s="3">
        <v>3400</v>
      </c>
      <c r="H8" s="3">
        <v>5500</v>
      </c>
      <c r="I8" s="3">
        <v>5400</v>
      </c>
      <c r="J8" s="3">
        <f t="shared" si="0"/>
        <v>583300</v>
      </c>
    </row>
    <row r="9" spans="2:10" x14ac:dyDescent="0.35">
      <c r="B9" s="2" t="s">
        <v>16</v>
      </c>
      <c r="C9" s="2" t="s">
        <v>18</v>
      </c>
      <c r="D9" s="3">
        <v>2300</v>
      </c>
      <c r="E9" s="3">
        <v>5500</v>
      </c>
      <c r="F9" s="3">
        <v>54000</v>
      </c>
      <c r="G9" s="3">
        <v>45230</v>
      </c>
      <c r="H9" s="3">
        <v>340000</v>
      </c>
      <c r="I9" s="3">
        <v>5000</v>
      </c>
      <c r="J9" s="3">
        <f t="shared" si="0"/>
        <v>452030</v>
      </c>
    </row>
    <row r="10" spans="2:10" x14ac:dyDescent="0.35">
      <c r="B10" s="2" t="s">
        <v>17</v>
      </c>
      <c r="C10" s="2" t="s">
        <v>19</v>
      </c>
      <c r="D10" s="3">
        <v>54000</v>
      </c>
      <c r="E10" s="3">
        <v>560000</v>
      </c>
      <c r="F10" s="3">
        <v>34000</v>
      </c>
      <c r="G10" s="3">
        <v>77500</v>
      </c>
      <c r="H10" s="3">
        <v>540000</v>
      </c>
      <c r="I10" s="3">
        <v>340000</v>
      </c>
      <c r="J10" s="3">
        <f t="shared" si="0"/>
        <v>1605500</v>
      </c>
    </row>
    <row r="12" spans="2:10" ht="23.4" x14ac:dyDescent="0.45">
      <c r="D12" s="9" t="s">
        <v>24</v>
      </c>
    </row>
    <row r="13" spans="2:10" x14ac:dyDescent="0.35">
      <c r="B13" s="1" t="s">
        <v>11</v>
      </c>
      <c r="C13" s="1" t="s">
        <v>20</v>
      </c>
      <c r="D13" s="3">
        <f>_xlfn.XLOOKUP(B14,B5:B10,J5:J10,"Not Found")</f>
        <v>1228000</v>
      </c>
    </row>
    <row r="14" spans="2:10" x14ac:dyDescent="0.35">
      <c r="B14" s="2" t="s">
        <v>13</v>
      </c>
      <c r="C14" s="3">
        <f>_xlfn.XLOOKUP(B14,B5:B10,J5:J10)</f>
        <v>1228000</v>
      </c>
      <c r="D14" s="3"/>
    </row>
    <row r="16" spans="2:10" ht="23.4" x14ac:dyDescent="0.45">
      <c r="D16" s="9" t="s">
        <v>24</v>
      </c>
    </row>
    <row r="17" spans="2:7" x14ac:dyDescent="0.35">
      <c r="B17" s="1" t="s">
        <v>0</v>
      </c>
      <c r="C17" s="1" t="s">
        <v>11</v>
      </c>
      <c r="D17" s="3" t="str">
        <f>_xlfn.XLOOKUP(B18,C5:C10,B5:B10,"not found")</f>
        <v>XYZ001</v>
      </c>
    </row>
    <row r="18" spans="2:7" x14ac:dyDescent="0.35">
      <c r="B18" s="2" t="s">
        <v>7</v>
      </c>
      <c r="C18" s="3" t="str">
        <f>_xlfn.XLOOKUP(B18,C5:C10,B5:B10)</f>
        <v>XYZ001</v>
      </c>
      <c r="D18" s="3"/>
    </row>
    <row r="21" spans="2:7" x14ac:dyDescent="0.35">
      <c r="F21" t="s">
        <v>9</v>
      </c>
      <c r="G21">
        <f>_xlfn.XLOOKUP(F21,C5:C10,J5:J10)</f>
        <v>1991790</v>
      </c>
    </row>
    <row r="22" spans="2:7" x14ac:dyDescent="0.35">
      <c r="B22" t="s">
        <v>12</v>
      </c>
      <c r="C22">
        <f>_xlfn.XLOOKUP(B22,B5:B10,J5:J10)</f>
        <v>1958540</v>
      </c>
    </row>
  </sheetData>
  <phoneticPr fontId="2" type="noConversion"/>
  <dataValidations count="2">
    <dataValidation type="list" allowBlank="1" showInputMessage="1" showErrorMessage="1" sqref="B14 B22" xr:uid="{BE7CD969-2A87-4C41-BBC2-276C3C933A73}">
      <formula1>$B$5:$B$10</formula1>
    </dataValidation>
    <dataValidation type="list" allowBlank="1" showInputMessage="1" showErrorMessage="1" sqref="B18 F21" xr:uid="{F28463D2-A2E1-46FE-99CE-A7BD4F74EA11}">
      <formula1>$C$5:$C$10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4E29-E634-421C-933F-F962327BFA48}">
  <dimension ref="B2:J26"/>
  <sheetViews>
    <sheetView topLeftCell="A4" zoomScaleNormal="100" workbookViewId="0">
      <selection activeCell="B27" sqref="B27"/>
    </sheetView>
  </sheetViews>
  <sheetFormatPr defaultRowHeight="18" x14ac:dyDescent="0.35"/>
  <cols>
    <col min="1" max="1" width="6.6640625" customWidth="1"/>
    <col min="2" max="3" width="10.25" customWidth="1"/>
    <col min="4" max="9" width="7.75" customWidth="1"/>
    <col min="10" max="10" width="9.25" customWidth="1"/>
    <col min="11" max="11" width="5.33203125" customWidth="1"/>
  </cols>
  <sheetData>
    <row r="2" spans="2:10" x14ac:dyDescent="0.35">
      <c r="B2" s="6" t="s">
        <v>27</v>
      </c>
    </row>
    <row r="4" spans="2:10" x14ac:dyDescent="0.35">
      <c r="B4" s="1" t="s">
        <v>11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20</v>
      </c>
    </row>
    <row r="5" spans="2:10" x14ac:dyDescent="0.35">
      <c r="B5" s="2" t="s">
        <v>12</v>
      </c>
      <c r="C5" s="2" t="s">
        <v>7</v>
      </c>
      <c r="D5" s="3">
        <v>1200</v>
      </c>
      <c r="E5" s="3">
        <v>4500</v>
      </c>
      <c r="F5" s="3">
        <v>760040</v>
      </c>
      <c r="G5" s="3">
        <v>980000</v>
      </c>
      <c r="H5" s="3">
        <v>2300</v>
      </c>
      <c r="I5" s="3">
        <v>210500</v>
      </c>
      <c r="J5" s="3">
        <f>SUM(D5:I5)</f>
        <v>1958540</v>
      </c>
    </row>
    <row r="6" spans="2:10" x14ac:dyDescent="0.35">
      <c r="B6" s="2" t="s">
        <v>13</v>
      </c>
      <c r="C6" s="2" t="s">
        <v>8</v>
      </c>
      <c r="D6" s="3">
        <v>4300</v>
      </c>
      <c r="E6" s="3">
        <v>4000</v>
      </c>
      <c r="F6" s="3">
        <v>66000</v>
      </c>
      <c r="G6" s="3">
        <v>670000</v>
      </c>
      <c r="H6" s="3">
        <v>439800</v>
      </c>
      <c r="I6" s="3">
        <v>43900</v>
      </c>
      <c r="J6" s="3">
        <f t="shared" ref="J6:J10" si="0">SUM(D6:I6)</f>
        <v>1228000</v>
      </c>
    </row>
    <row r="7" spans="2:10" x14ac:dyDescent="0.35">
      <c r="B7" s="2" t="s">
        <v>14</v>
      </c>
      <c r="C7" s="2" t="s">
        <v>9</v>
      </c>
      <c r="D7" s="3">
        <v>10000</v>
      </c>
      <c r="E7" s="3">
        <v>56000</v>
      </c>
      <c r="F7" s="3">
        <v>65000</v>
      </c>
      <c r="G7" s="3">
        <v>870000</v>
      </c>
      <c r="H7" s="3">
        <v>540790</v>
      </c>
      <c r="I7" s="3">
        <v>450000</v>
      </c>
      <c r="J7" s="3">
        <f t="shared" si="0"/>
        <v>1991790</v>
      </c>
    </row>
    <row r="8" spans="2:10" x14ac:dyDescent="0.35">
      <c r="B8" s="2" t="s">
        <v>15</v>
      </c>
      <c r="C8" s="2" t="s">
        <v>10</v>
      </c>
      <c r="D8" s="3">
        <v>43000</v>
      </c>
      <c r="E8" s="3">
        <v>76000</v>
      </c>
      <c r="F8" s="3">
        <v>450000</v>
      </c>
      <c r="G8" s="3">
        <v>3400</v>
      </c>
      <c r="H8" s="3">
        <v>5500</v>
      </c>
      <c r="I8" s="3">
        <v>5400</v>
      </c>
      <c r="J8" s="3">
        <f t="shared" si="0"/>
        <v>583300</v>
      </c>
    </row>
    <row r="9" spans="2:10" x14ac:dyDescent="0.35">
      <c r="B9" s="2" t="s">
        <v>16</v>
      </c>
      <c r="C9" s="2" t="s">
        <v>18</v>
      </c>
      <c r="D9" s="3">
        <v>2300</v>
      </c>
      <c r="E9" s="3">
        <v>5500</v>
      </c>
      <c r="F9" s="3">
        <v>54000</v>
      </c>
      <c r="G9" s="3">
        <v>45230</v>
      </c>
      <c r="H9" s="3">
        <v>340000</v>
      </c>
      <c r="I9" s="3">
        <v>5000</v>
      </c>
      <c r="J9" s="3">
        <f t="shared" si="0"/>
        <v>452030</v>
      </c>
    </row>
    <row r="10" spans="2:10" x14ac:dyDescent="0.35">
      <c r="B10" s="2" t="s">
        <v>17</v>
      </c>
      <c r="C10" s="2" t="s">
        <v>19</v>
      </c>
      <c r="D10" s="3">
        <v>54000</v>
      </c>
      <c r="E10" s="3">
        <v>560000</v>
      </c>
      <c r="F10" s="3">
        <v>34000</v>
      </c>
      <c r="G10" s="3">
        <v>77500</v>
      </c>
      <c r="H10" s="3">
        <v>540000</v>
      </c>
      <c r="I10" s="3">
        <v>340000</v>
      </c>
      <c r="J10" s="3">
        <f t="shared" si="0"/>
        <v>1605500</v>
      </c>
    </row>
    <row r="11" spans="2:10" x14ac:dyDescent="0.35">
      <c r="C11" s="7" t="s">
        <v>24</v>
      </c>
    </row>
    <row r="12" spans="2:10" x14ac:dyDescent="0.35">
      <c r="C12" s="7"/>
    </row>
    <row r="15" spans="2:10" x14ac:dyDescent="0.35">
      <c r="B15" s="1" t="s">
        <v>11</v>
      </c>
      <c r="C15" s="1" t="s">
        <v>0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I15" s="1" t="s">
        <v>6</v>
      </c>
      <c r="J15" s="1" t="s">
        <v>20</v>
      </c>
    </row>
    <row r="16" spans="2:10" x14ac:dyDescent="0.35">
      <c r="B16" s="2" t="s">
        <v>12</v>
      </c>
      <c r="C16" s="3" t="str" cm="1">
        <f t="array" ref="C16:J16">_xlfn.XLOOKUP(B16,B5:B10,C5:J10)</f>
        <v>Microwave</v>
      </c>
      <c r="D16" s="3">
        <v>1200</v>
      </c>
      <c r="E16" s="3">
        <v>4500</v>
      </c>
      <c r="F16" s="3">
        <v>760040</v>
      </c>
      <c r="G16" s="3">
        <v>980000</v>
      </c>
      <c r="H16" s="3">
        <v>2300</v>
      </c>
      <c r="I16" s="3">
        <v>210500</v>
      </c>
      <c r="J16" s="3">
        <v>1958540</v>
      </c>
    </row>
    <row r="17" spans="2:10" x14ac:dyDescent="0.35">
      <c r="B17" s="5" t="s">
        <v>25</v>
      </c>
      <c r="C17" s="3" t="str" cm="1">
        <f t="array" ref="C17:J17">_xlfn.XLOOKUP(B16,B5:B10,C5:J10)</f>
        <v>Microwave</v>
      </c>
      <c r="D17">
        <v>1200</v>
      </c>
      <c r="E17">
        <v>4500</v>
      </c>
      <c r="F17">
        <v>760040</v>
      </c>
      <c r="G17">
        <v>980000</v>
      </c>
      <c r="H17">
        <v>2300</v>
      </c>
      <c r="I17">
        <v>210500</v>
      </c>
      <c r="J17">
        <v>1958540</v>
      </c>
    </row>
    <row r="20" spans="2:10" x14ac:dyDescent="0.35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20</v>
      </c>
    </row>
    <row r="21" spans="2:10" x14ac:dyDescent="0.35">
      <c r="B21" s="2" t="s">
        <v>7</v>
      </c>
      <c r="C21" s="3" cm="1">
        <f t="array" ref="C21:I21">_xlfn.XLOOKUP(B21,C5:C10,D5:J10)</f>
        <v>1200</v>
      </c>
      <c r="D21" s="3">
        <v>4500</v>
      </c>
      <c r="E21" s="3">
        <v>760040</v>
      </c>
      <c r="F21" s="3">
        <v>980000</v>
      </c>
      <c r="G21" s="3">
        <v>2300</v>
      </c>
      <c r="H21" s="3">
        <v>210500</v>
      </c>
      <c r="I21" s="3">
        <v>1958540</v>
      </c>
    </row>
    <row r="22" spans="2:10" x14ac:dyDescent="0.35">
      <c r="B22" s="5" t="s">
        <v>25</v>
      </c>
      <c r="C22" s="3" cm="1">
        <f t="array" ref="C22:I22">_xlfn.XLOOKUP(B21,C5:C10,D5:J10)</f>
        <v>1200</v>
      </c>
      <c r="D22">
        <v>4500</v>
      </c>
      <c r="E22">
        <v>760040</v>
      </c>
      <c r="F22">
        <v>980000</v>
      </c>
      <c r="G22">
        <v>2300</v>
      </c>
      <c r="H22">
        <v>210500</v>
      </c>
      <c r="I22">
        <v>1958540</v>
      </c>
    </row>
    <row r="24" spans="2:10" x14ac:dyDescent="0.35">
      <c r="B24" t="s">
        <v>12</v>
      </c>
      <c r="C24" t="str" cm="1">
        <f t="array" ref="C24:J24">_xlfn.XLOOKUP(B24,B5:B10,C5:J10)</f>
        <v>Microwave</v>
      </c>
      <c r="D24">
        <v>1200</v>
      </c>
      <c r="E24">
        <v>4500</v>
      </c>
      <c r="F24">
        <v>760040</v>
      </c>
      <c r="G24">
        <v>980000</v>
      </c>
      <c r="H24">
        <v>2300</v>
      </c>
      <c r="I24">
        <v>210500</v>
      </c>
      <c r="J24">
        <v>1958540</v>
      </c>
    </row>
    <row r="26" spans="2:10" x14ac:dyDescent="0.35">
      <c r="B26" t="s">
        <v>12</v>
      </c>
      <c r="C26" t="str" cm="1">
        <f t="array" ref="C26:J26">_xlfn.XLOOKUP(B26,B5:B10,C5:J10)</f>
        <v>Microwave</v>
      </c>
      <c r="D26">
        <v>1200</v>
      </c>
      <c r="E26">
        <v>4500</v>
      </c>
      <c r="F26">
        <v>760040</v>
      </c>
      <c r="G26">
        <v>980000</v>
      </c>
      <c r="H26">
        <v>2300</v>
      </c>
      <c r="I26">
        <v>210500</v>
      </c>
      <c r="J26">
        <v>1958540</v>
      </c>
    </row>
  </sheetData>
  <dataValidations count="2">
    <dataValidation type="list" allowBlank="1" showInputMessage="1" showErrorMessage="1" sqref="B16 B24 B26" xr:uid="{1F32A7D8-548A-4AEE-98F2-4CF9884A9436}">
      <formula1>$B$5:$B$10</formula1>
    </dataValidation>
    <dataValidation type="list" allowBlank="1" showInputMessage="1" showErrorMessage="1" sqref="B21" xr:uid="{0FCF15FD-4449-4308-984E-3685ADC051CA}">
      <formula1>$C$5:$C$10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E564-EF97-49B0-9F5C-693FFB304515}">
  <dimension ref="B2:J24"/>
  <sheetViews>
    <sheetView zoomScaleNormal="100" workbookViewId="0">
      <selection activeCell="B14" sqref="B14:C14"/>
    </sheetView>
  </sheetViews>
  <sheetFormatPr defaultRowHeight="18" x14ac:dyDescent="0.35"/>
  <cols>
    <col min="1" max="1" width="6.6640625" customWidth="1"/>
    <col min="2" max="3" width="10.25" customWidth="1"/>
    <col min="4" max="4" width="9" bestFit="1" customWidth="1"/>
    <col min="5" max="9" width="7.75" customWidth="1"/>
    <col min="10" max="10" width="9.25" customWidth="1"/>
    <col min="11" max="11" width="5.33203125" customWidth="1"/>
  </cols>
  <sheetData>
    <row r="2" spans="2:10" x14ac:dyDescent="0.35">
      <c r="B2" t="s">
        <v>28</v>
      </c>
    </row>
    <row r="4" spans="2:10" x14ac:dyDescent="0.35">
      <c r="B4" s="1" t="s">
        <v>11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20</v>
      </c>
    </row>
    <row r="5" spans="2:10" x14ac:dyDescent="0.35">
      <c r="B5" s="2" t="s">
        <v>12</v>
      </c>
      <c r="C5" s="2" t="s">
        <v>7</v>
      </c>
      <c r="D5" s="3">
        <v>1200</v>
      </c>
      <c r="E5" s="3">
        <v>4500</v>
      </c>
      <c r="F5" s="3">
        <v>760040</v>
      </c>
      <c r="G5" s="3">
        <v>980000</v>
      </c>
      <c r="H5" s="3">
        <v>2300</v>
      </c>
      <c r="I5" s="3">
        <v>210500</v>
      </c>
      <c r="J5" s="3">
        <f>SUM(D5:I5)</f>
        <v>1958540</v>
      </c>
    </row>
    <row r="6" spans="2:10" x14ac:dyDescent="0.35">
      <c r="B6" s="2" t="s">
        <v>13</v>
      </c>
      <c r="C6" s="2" t="s">
        <v>8</v>
      </c>
      <c r="D6" s="3">
        <v>4300</v>
      </c>
      <c r="E6" s="3">
        <v>4000</v>
      </c>
      <c r="F6" s="3">
        <v>66000</v>
      </c>
      <c r="G6" s="3">
        <v>670000</v>
      </c>
      <c r="H6" s="3">
        <v>439800</v>
      </c>
      <c r="I6" s="3">
        <v>43900</v>
      </c>
      <c r="J6" s="3">
        <f t="shared" ref="J6:J10" si="0">SUM(D6:I6)</f>
        <v>1228000</v>
      </c>
    </row>
    <row r="7" spans="2:10" x14ac:dyDescent="0.35">
      <c r="B7" s="2" t="s">
        <v>14</v>
      </c>
      <c r="C7" s="2" t="s">
        <v>9</v>
      </c>
      <c r="D7" s="3">
        <v>10000</v>
      </c>
      <c r="E7" s="3">
        <v>56000</v>
      </c>
      <c r="F7" s="3">
        <v>65000</v>
      </c>
      <c r="G7" s="3">
        <v>870000</v>
      </c>
      <c r="H7" s="3">
        <v>540790</v>
      </c>
      <c r="I7" s="3">
        <v>450000</v>
      </c>
      <c r="J7" s="3">
        <f t="shared" si="0"/>
        <v>1991790</v>
      </c>
    </row>
    <row r="8" spans="2:10" x14ac:dyDescent="0.35">
      <c r="B8" s="2" t="s">
        <v>15</v>
      </c>
      <c r="C8" s="2" t="s">
        <v>10</v>
      </c>
      <c r="D8" s="3">
        <v>43000</v>
      </c>
      <c r="E8" s="3">
        <v>76000</v>
      </c>
      <c r="F8" s="3">
        <v>450000</v>
      </c>
      <c r="G8" s="3">
        <v>3400</v>
      </c>
      <c r="H8" s="3">
        <v>5500</v>
      </c>
      <c r="I8" s="3">
        <v>5400</v>
      </c>
      <c r="J8" s="3">
        <f t="shared" si="0"/>
        <v>583300</v>
      </c>
    </row>
    <row r="9" spans="2:10" x14ac:dyDescent="0.35">
      <c r="B9" s="2" t="s">
        <v>16</v>
      </c>
      <c r="C9" s="2" t="s">
        <v>18</v>
      </c>
      <c r="D9" s="3">
        <v>2300</v>
      </c>
      <c r="E9" s="3">
        <v>5500</v>
      </c>
      <c r="F9" s="3">
        <v>54000</v>
      </c>
      <c r="G9" s="3">
        <v>45230</v>
      </c>
      <c r="H9" s="3">
        <v>340000</v>
      </c>
      <c r="I9" s="3">
        <v>5000</v>
      </c>
      <c r="J9" s="3">
        <f t="shared" si="0"/>
        <v>452030</v>
      </c>
    </row>
    <row r="10" spans="2:10" x14ac:dyDescent="0.35">
      <c r="B10" s="2" t="s">
        <v>17</v>
      </c>
      <c r="C10" s="2" t="s">
        <v>19</v>
      </c>
      <c r="D10" s="3">
        <v>54000</v>
      </c>
      <c r="E10" s="3">
        <v>560000</v>
      </c>
      <c r="F10" s="3">
        <v>34000</v>
      </c>
      <c r="G10" s="3">
        <v>77500</v>
      </c>
      <c r="H10" s="3">
        <v>540000</v>
      </c>
      <c r="I10" s="3">
        <v>340000</v>
      </c>
      <c r="J10" s="3">
        <f t="shared" si="0"/>
        <v>1605500</v>
      </c>
    </row>
    <row r="12" spans="2:10" x14ac:dyDescent="0.35">
      <c r="B12" s="7" t="s">
        <v>24</v>
      </c>
    </row>
    <row r="13" spans="2:10" x14ac:dyDescent="0.35">
      <c r="B13" s="1" t="s">
        <v>11</v>
      </c>
      <c r="C13" s="1" t="s">
        <v>0</v>
      </c>
      <c r="D13" s="1" t="s">
        <v>22</v>
      </c>
    </row>
    <row r="14" spans="2:10" x14ac:dyDescent="0.35">
      <c r="B14" s="2" t="s">
        <v>14</v>
      </c>
      <c r="C14" s="3" t="str" cm="1">
        <f t="array" ref="C14:D14">_xlfn.XLOOKUP(B14,B5:B10,CHOOSE({1,2},C5:C10,J5:J10))</f>
        <v>Laptop</v>
      </c>
      <c r="D14" s="3">
        <v>1991790</v>
      </c>
    </row>
    <row r="15" spans="2:10" x14ac:dyDescent="0.35">
      <c r="B15" s="3" t="s">
        <v>25</v>
      </c>
      <c r="C15" s="3" t="str" cm="1">
        <f t="array" ref="C15:D15">_xlfn.XLOOKUP(B14,B5:B10,CHOOSE({1,2},C5:C10,J5:J10))</f>
        <v>Laptop</v>
      </c>
      <c r="D15">
        <v>1991790</v>
      </c>
    </row>
    <row r="17" spans="2:10" x14ac:dyDescent="0.35">
      <c r="B17" s="1" t="s">
        <v>0</v>
      </c>
      <c r="C17" s="1" t="s">
        <v>11</v>
      </c>
      <c r="D17" s="1" t="s">
        <v>22</v>
      </c>
    </row>
    <row r="18" spans="2:10" x14ac:dyDescent="0.35">
      <c r="B18" s="2" t="s">
        <v>7</v>
      </c>
      <c r="C18" s="3" t="str" cm="1">
        <f t="array" ref="C18:D18">_xlfn.XLOOKUP(B18,C5:C10,CHOOSE({1,2},B5:B10,J5:J10))</f>
        <v>XYZ001</v>
      </c>
      <c r="D18" s="3">
        <v>1958540</v>
      </c>
    </row>
    <row r="19" spans="2:10" x14ac:dyDescent="0.35">
      <c r="B19" s="3" t="s">
        <v>25</v>
      </c>
      <c r="C19" s="3" t="str" cm="1">
        <f t="array" ref="C19:D19">_xlfn.XLOOKUP(B18,C5:C10,CHOOSE({1,2},B5:B10,J5:J10))</f>
        <v>XYZ001</v>
      </c>
      <c r="D19">
        <v>1958540</v>
      </c>
    </row>
    <row r="22" spans="2:10" x14ac:dyDescent="0.35">
      <c r="C22" t="s">
        <v>17</v>
      </c>
      <c r="D22" t="str" cm="1">
        <f t="array" ref="D22:E22">_xlfn.XLOOKUP(C22,B5:B10,CHOOSE({1,2},C5:C10,J5:J10))</f>
        <v>Oven</v>
      </c>
      <c r="E22">
        <v>1605500</v>
      </c>
    </row>
    <row r="24" spans="2:10" x14ac:dyDescent="0.35">
      <c r="H24" t="s">
        <v>12</v>
      </c>
      <c r="I24" cm="1">
        <f t="array" ref="I24:J24">_xlfn.XLOOKUP(H24,B5:B10,CHOOSE({1,2},F5:F10,J5:J10))</f>
        <v>760040</v>
      </c>
      <c r="J24">
        <v>1958540</v>
      </c>
    </row>
  </sheetData>
  <dataValidations count="2">
    <dataValidation type="list" allowBlank="1" showInputMessage="1" showErrorMessage="1" sqref="B18" xr:uid="{C26EF4A8-E97D-4181-8CB0-BE498185528A}">
      <formula1>$C$5:$C$10</formula1>
    </dataValidation>
    <dataValidation type="list" allowBlank="1" showInputMessage="1" showErrorMessage="1" sqref="B14 C22 H24" xr:uid="{FEE7AB48-541D-4DE7-A179-A6281A188BF4}">
      <formula1>$B$5:$B$10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F754-0EC1-47C1-88E1-9272AE22133A}">
  <dimension ref="B2:J21"/>
  <sheetViews>
    <sheetView zoomScaleNormal="100" workbookViewId="0">
      <selection activeCell="C21" sqref="C21:D21"/>
    </sheetView>
  </sheetViews>
  <sheetFormatPr defaultRowHeight="18" x14ac:dyDescent="0.35"/>
  <cols>
    <col min="1" max="1" width="6.6640625" customWidth="1"/>
    <col min="2" max="3" width="10.25" customWidth="1"/>
    <col min="4" max="4" width="8.33203125" bestFit="1" customWidth="1"/>
    <col min="5" max="9" width="7.75" customWidth="1"/>
    <col min="10" max="10" width="9.25" customWidth="1"/>
  </cols>
  <sheetData>
    <row r="2" spans="2:10" x14ac:dyDescent="0.35">
      <c r="B2" t="s">
        <v>29</v>
      </c>
    </row>
    <row r="4" spans="2:10" x14ac:dyDescent="0.35">
      <c r="B4" s="1" t="s">
        <v>11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20</v>
      </c>
    </row>
    <row r="5" spans="2:10" x14ac:dyDescent="0.35">
      <c r="B5" s="2" t="s">
        <v>12</v>
      </c>
      <c r="C5" s="2" t="s">
        <v>7</v>
      </c>
      <c r="D5" s="3">
        <v>1200</v>
      </c>
      <c r="E5" s="3">
        <v>4500</v>
      </c>
      <c r="F5" s="3">
        <v>760040</v>
      </c>
      <c r="G5" s="3">
        <v>980000</v>
      </c>
      <c r="H5" s="3">
        <v>2300</v>
      </c>
      <c r="I5" s="3">
        <v>210500</v>
      </c>
      <c r="J5" s="3">
        <f>SUM(D5:I5)</f>
        <v>1958540</v>
      </c>
    </row>
    <row r="6" spans="2:10" x14ac:dyDescent="0.35">
      <c r="B6" s="2" t="s">
        <v>13</v>
      </c>
      <c r="C6" s="2" t="s">
        <v>8</v>
      </c>
      <c r="D6" s="3">
        <v>4300</v>
      </c>
      <c r="E6" s="3">
        <v>4000</v>
      </c>
      <c r="F6" s="3">
        <v>66000</v>
      </c>
      <c r="G6" s="3">
        <v>670000</v>
      </c>
      <c r="H6" s="3">
        <v>439800</v>
      </c>
      <c r="I6" s="3">
        <v>43900</v>
      </c>
      <c r="J6" s="3">
        <f t="shared" ref="J6:J10" si="0">SUM(D6:I6)</f>
        <v>1228000</v>
      </c>
    </row>
    <row r="7" spans="2:10" x14ac:dyDescent="0.35">
      <c r="B7" s="2" t="s">
        <v>14</v>
      </c>
      <c r="C7" s="2" t="s">
        <v>9</v>
      </c>
      <c r="D7" s="3">
        <v>10000</v>
      </c>
      <c r="E7" s="3">
        <v>56000</v>
      </c>
      <c r="F7" s="3">
        <v>65000</v>
      </c>
      <c r="G7" s="3">
        <v>870000</v>
      </c>
      <c r="H7" s="3">
        <v>540790</v>
      </c>
      <c r="I7" s="3">
        <v>450000</v>
      </c>
      <c r="J7" s="3">
        <f t="shared" si="0"/>
        <v>1991790</v>
      </c>
    </row>
    <row r="8" spans="2:10" x14ac:dyDescent="0.35">
      <c r="B8" s="2" t="s">
        <v>15</v>
      </c>
      <c r="C8" s="2" t="s">
        <v>10</v>
      </c>
      <c r="D8" s="3">
        <v>43000</v>
      </c>
      <c r="E8" s="3">
        <v>76000</v>
      </c>
      <c r="F8" s="3">
        <v>450000</v>
      </c>
      <c r="G8" s="3">
        <v>3400</v>
      </c>
      <c r="H8" s="3">
        <v>5500</v>
      </c>
      <c r="I8" s="3">
        <v>5400</v>
      </c>
      <c r="J8" s="3">
        <f t="shared" si="0"/>
        <v>583300</v>
      </c>
    </row>
    <row r="9" spans="2:10" x14ac:dyDescent="0.35">
      <c r="B9" s="2" t="s">
        <v>16</v>
      </c>
      <c r="C9" s="2" t="s">
        <v>9</v>
      </c>
      <c r="D9" s="3">
        <v>2300</v>
      </c>
      <c r="E9" s="3">
        <v>5500</v>
      </c>
      <c r="F9" s="3">
        <v>54000</v>
      </c>
      <c r="G9" s="3">
        <v>45230</v>
      </c>
      <c r="H9" s="3">
        <v>340000</v>
      </c>
      <c r="I9" s="3">
        <v>5000</v>
      </c>
      <c r="J9" s="3">
        <f t="shared" si="0"/>
        <v>452030</v>
      </c>
    </row>
    <row r="10" spans="2:10" x14ac:dyDescent="0.35">
      <c r="B10" s="2" t="s">
        <v>17</v>
      </c>
      <c r="C10" s="2" t="s">
        <v>8</v>
      </c>
      <c r="D10" s="3">
        <v>54000</v>
      </c>
      <c r="E10" s="3">
        <v>560000</v>
      </c>
      <c r="F10" s="3">
        <v>34000</v>
      </c>
      <c r="G10" s="3">
        <v>77500</v>
      </c>
      <c r="H10" s="3">
        <v>540000</v>
      </c>
      <c r="I10" s="3">
        <v>340000</v>
      </c>
      <c r="J10" s="3">
        <f t="shared" si="0"/>
        <v>1605500</v>
      </c>
    </row>
    <row r="12" spans="2:10" x14ac:dyDescent="0.35">
      <c r="B12" s="7" t="s">
        <v>24</v>
      </c>
    </row>
    <row r="13" spans="2:10" x14ac:dyDescent="0.35">
      <c r="B13" s="1" t="s">
        <v>11</v>
      </c>
      <c r="C13" s="1" t="s">
        <v>0</v>
      </c>
      <c r="D13" s="1" t="s">
        <v>20</v>
      </c>
    </row>
    <row r="14" spans="2:10" x14ac:dyDescent="0.35">
      <c r="B14" s="2" t="s">
        <v>13</v>
      </c>
      <c r="C14" s="8" t="s">
        <v>8</v>
      </c>
      <c r="D14" cm="1">
        <f t="array" ref="D14">_xlfn.XLOOKUP(B14&amp;C14,B5:B10&amp;C5:C10,J5:J10)</f>
        <v>1228000</v>
      </c>
    </row>
    <row r="15" spans="2:10" x14ac:dyDescent="0.35">
      <c r="C15" s="3" cm="1">
        <f t="array" ref="C15">_xlfn.XLOOKUP(B14&amp;C14,B5:B10&amp;C5:C10,J5:J10)</f>
        <v>1228000</v>
      </c>
      <c r="D15" s="3"/>
    </row>
    <row r="19" spans="2:5" x14ac:dyDescent="0.35">
      <c r="B19" t="s">
        <v>13</v>
      </c>
      <c r="C19" t="s">
        <v>8</v>
      </c>
      <c r="D19" cm="1">
        <f t="array" ref="D19">_xlfn.XLOOKUP(B19&amp;C19,B5:B10&amp;C5:C10,J5:J10)</f>
        <v>1228000</v>
      </c>
    </row>
    <row r="21" spans="2:5" x14ac:dyDescent="0.35">
      <c r="C21" t="s">
        <v>14</v>
      </c>
      <c r="D21" t="s">
        <v>9</v>
      </c>
      <c r="E21" cm="1">
        <f t="array" ref="E21">_xlfn.XLOOKUP(C21&amp;D21,B5:B10&amp;C5:C10,J5:J10)</f>
        <v>1991790</v>
      </c>
    </row>
  </sheetData>
  <dataValidations count="2">
    <dataValidation type="list" allowBlank="1" showInputMessage="1" showErrorMessage="1" sqref="B14 B19 C21" xr:uid="{56FC45EE-05D8-4440-B0A2-9FF7324D75B9}">
      <formula1>$B$5:$B$10</formula1>
    </dataValidation>
    <dataValidation type="list" allowBlank="1" showInputMessage="1" showErrorMessage="1" sqref="C14 C19 D21" xr:uid="{C8E587E2-0872-4E9B-90A4-7BEDA3F89AB2}">
      <formula1>$C$5:$C$10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B820-AB0F-452F-8312-41839B5636CE}">
  <dimension ref="B2:J28"/>
  <sheetViews>
    <sheetView zoomScaleNormal="100" workbookViewId="0">
      <selection activeCell="I22" sqref="I22"/>
    </sheetView>
  </sheetViews>
  <sheetFormatPr defaultRowHeight="18" x14ac:dyDescent="0.35"/>
  <cols>
    <col min="1" max="1" width="6.6640625" customWidth="1"/>
    <col min="2" max="3" width="10.25" customWidth="1"/>
    <col min="4" max="9" width="7.75" customWidth="1"/>
    <col min="10" max="10" width="9.25" customWidth="1"/>
  </cols>
  <sheetData>
    <row r="2" spans="2:10" ht="21" x14ac:dyDescent="0.4">
      <c r="B2" s="10" t="s">
        <v>30</v>
      </c>
    </row>
    <row r="4" spans="2:10" x14ac:dyDescent="0.35">
      <c r="B4" s="1" t="s">
        <v>11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20</v>
      </c>
    </row>
    <row r="5" spans="2:10" x14ac:dyDescent="0.35">
      <c r="B5" s="2" t="s">
        <v>12</v>
      </c>
      <c r="C5" s="2" t="s">
        <v>7</v>
      </c>
      <c r="D5" s="3">
        <v>1200</v>
      </c>
      <c r="E5" s="3">
        <v>4500</v>
      </c>
      <c r="F5" s="3">
        <v>760040</v>
      </c>
      <c r="G5" s="3">
        <v>980000</v>
      </c>
      <c r="H5" s="3">
        <v>2300</v>
      </c>
      <c r="I5" s="3">
        <v>210500</v>
      </c>
      <c r="J5" s="3">
        <f>SUM(D5:I5)</f>
        <v>1958540</v>
      </c>
    </row>
    <row r="6" spans="2:10" x14ac:dyDescent="0.35">
      <c r="B6" s="2" t="s">
        <v>13</v>
      </c>
      <c r="C6" s="2" t="s">
        <v>8</v>
      </c>
      <c r="D6" s="3">
        <v>4300</v>
      </c>
      <c r="E6" s="3">
        <v>4000</v>
      </c>
      <c r="F6" s="3">
        <v>66000</v>
      </c>
      <c r="G6" s="3">
        <v>670000</v>
      </c>
      <c r="H6" s="3">
        <v>439800</v>
      </c>
      <c r="I6" s="3">
        <v>43900</v>
      </c>
      <c r="J6" s="3">
        <f t="shared" ref="J6:J10" si="0">SUM(D6:I6)</f>
        <v>1228000</v>
      </c>
    </row>
    <row r="7" spans="2:10" x14ac:dyDescent="0.35">
      <c r="B7" s="2" t="s">
        <v>14</v>
      </c>
      <c r="C7" s="2" t="s">
        <v>9</v>
      </c>
      <c r="D7" s="3">
        <v>10000</v>
      </c>
      <c r="E7" s="3">
        <v>56000</v>
      </c>
      <c r="F7" s="3">
        <v>65000</v>
      </c>
      <c r="G7" s="3">
        <v>870000</v>
      </c>
      <c r="H7" s="3">
        <v>540790</v>
      </c>
      <c r="I7" s="3">
        <v>450000</v>
      </c>
      <c r="J7" s="3">
        <f t="shared" si="0"/>
        <v>1991790</v>
      </c>
    </row>
    <row r="8" spans="2:10" x14ac:dyDescent="0.35">
      <c r="B8" s="2" t="s">
        <v>15</v>
      </c>
      <c r="C8" s="2" t="s">
        <v>10</v>
      </c>
      <c r="D8" s="3">
        <v>43000</v>
      </c>
      <c r="E8" s="3">
        <v>76000</v>
      </c>
      <c r="F8" s="3">
        <v>450000</v>
      </c>
      <c r="G8" s="3">
        <v>3400</v>
      </c>
      <c r="H8" s="3">
        <v>5500</v>
      </c>
      <c r="I8" s="3">
        <v>5400</v>
      </c>
      <c r="J8" s="3">
        <f t="shared" si="0"/>
        <v>583300</v>
      </c>
    </row>
    <row r="9" spans="2:10" x14ac:dyDescent="0.35">
      <c r="B9" s="2" t="s">
        <v>16</v>
      </c>
      <c r="C9" s="2" t="s">
        <v>18</v>
      </c>
      <c r="D9" s="3">
        <v>2300</v>
      </c>
      <c r="E9" s="3">
        <v>5500</v>
      </c>
      <c r="F9" s="3">
        <v>54000</v>
      </c>
      <c r="G9" s="3">
        <v>45230</v>
      </c>
      <c r="H9" s="3">
        <v>340000</v>
      </c>
      <c r="I9" s="3">
        <v>5000</v>
      </c>
      <c r="J9" s="3">
        <f t="shared" si="0"/>
        <v>452030</v>
      </c>
    </row>
    <row r="10" spans="2:10" x14ac:dyDescent="0.35">
      <c r="B10" s="2" t="s">
        <v>17</v>
      </c>
      <c r="C10" s="2" t="s">
        <v>19</v>
      </c>
      <c r="D10" s="3">
        <v>54000</v>
      </c>
      <c r="E10" s="3">
        <v>560000</v>
      </c>
      <c r="F10" s="3">
        <v>34000</v>
      </c>
      <c r="G10" s="3">
        <v>77500</v>
      </c>
      <c r="H10" s="3">
        <v>540000</v>
      </c>
      <c r="I10" s="3">
        <v>340000</v>
      </c>
      <c r="J10" s="3">
        <f t="shared" si="0"/>
        <v>1605500</v>
      </c>
    </row>
    <row r="11" spans="2:10" x14ac:dyDescent="0.35">
      <c r="D11" s="7" t="s">
        <v>24</v>
      </c>
    </row>
    <row r="12" spans="2:10" x14ac:dyDescent="0.35">
      <c r="B12" s="1" t="s">
        <v>11</v>
      </c>
      <c r="C12" s="2" t="s">
        <v>12</v>
      </c>
      <c r="D12" s="3" t="s">
        <v>13</v>
      </c>
    </row>
    <row r="13" spans="2:10" x14ac:dyDescent="0.35">
      <c r="B13" s="1" t="s">
        <v>0</v>
      </c>
      <c r="C13" s="3" t="str" cm="1">
        <f t="array" ref="C13:C20">TRANSPOSE(_xlfn.XLOOKUP(C12,B5:B10,C5:J10))</f>
        <v>Microwave</v>
      </c>
      <c r="D13" s="3" t="str" cm="1">
        <f t="array" ref="D13:D20">TRANSPOSE(_xlfn.XLOOKUP(D12,B5:B10,C5:J10))</f>
        <v>Phone</v>
      </c>
    </row>
    <row r="14" spans="2:10" x14ac:dyDescent="0.35">
      <c r="B14" s="1" t="s">
        <v>1</v>
      </c>
      <c r="C14" s="3">
        <v>1200</v>
      </c>
      <c r="D14" s="3">
        <v>4300</v>
      </c>
    </row>
    <row r="15" spans="2:10" x14ac:dyDescent="0.35">
      <c r="B15" s="1" t="s">
        <v>2</v>
      </c>
      <c r="C15" s="3">
        <v>4500</v>
      </c>
      <c r="D15" s="3">
        <v>4000</v>
      </c>
    </row>
    <row r="16" spans="2:10" x14ac:dyDescent="0.35">
      <c r="B16" s="1" t="s">
        <v>3</v>
      </c>
      <c r="C16" s="3">
        <v>760040</v>
      </c>
      <c r="D16" s="3">
        <v>66000</v>
      </c>
    </row>
    <row r="17" spans="2:9" x14ac:dyDescent="0.35">
      <c r="B17" s="1" t="s">
        <v>4</v>
      </c>
      <c r="C17" s="3">
        <v>980000</v>
      </c>
      <c r="D17" s="3">
        <v>670000</v>
      </c>
    </row>
    <row r="18" spans="2:9" x14ac:dyDescent="0.35">
      <c r="B18" s="1" t="s">
        <v>5</v>
      </c>
      <c r="C18" s="3">
        <v>2300</v>
      </c>
      <c r="D18" s="3">
        <v>439800</v>
      </c>
    </row>
    <row r="19" spans="2:9" x14ac:dyDescent="0.35">
      <c r="B19" s="1" t="s">
        <v>6</v>
      </c>
      <c r="C19" s="3">
        <v>210500</v>
      </c>
      <c r="D19" s="3">
        <v>43900</v>
      </c>
    </row>
    <row r="20" spans="2:9" x14ac:dyDescent="0.35">
      <c r="B20" s="1" t="s">
        <v>20</v>
      </c>
      <c r="C20" s="3">
        <v>1958540</v>
      </c>
      <c r="D20" s="3">
        <v>1228000</v>
      </c>
      <c r="G20" t="s">
        <v>12</v>
      </c>
      <c r="I20" t="s">
        <v>12</v>
      </c>
    </row>
    <row r="21" spans="2:9" x14ac:dyDescent="0.35">
      <c r="G21" t="str" cm="1">
        <f t="array" ref="G21:G28">TRANSPOSE(_xlfn.XLOOKUP(G20,B5:B10,C5:J10))</f>
        <v>Microwave</v>
      </c>
      <c r="I21" t="str" cm="1">
        <f t="array" ref="I21:I28">TRANSPOSE(_xlfn.XLOOKUP(I20,B5:B10,C5:J10))</f>
        <v>Microwave</v>
      </c>
    </row>
    <row r="22" spans="2:9" x14ac:dyDescent="0.35">
      <c r="G22">
        <v>1200</v>
      </c>
      <c r="I22">
        <v>1200</v>
      </c>
    </row>
    <row r="23" spans="2:9" x14ac:dyDescent="0.35">
      <c r="G23">
        <v>4500</v>
      </c>
      <c r="I23">
        <v>4500</v>
      </c>
    </row>
    <row r="24" spans="2:9" x14ac:dyDescent="0.35">
      <c r="G24">
        <v>760040</v>
      </c>
      <c r="I24">
        <v>760040</v>
      </c>
    </row>
    <row r="25" spans="2:9" x14ac:dyDescent="0.35">
      <c r="G25">
        <v>980000</v>
      </c>
      <c r="I25">
        <v>980000</v>
      </c>
    </row>
    <row r="26" spans="2:9" x14ac:dyDescent="0.35">
      <c r="G26">
        <v>2300</v>
      </c>
      <c r="I26">
        <v>2300</v>
      </c>
    </row>
    <row r="27" spans="2:9" x14ac:dyDescent="0.35">
      <c r="G27">
        <v>210500</v>
      </c>
      <c r="I27">
        <v>210500</v>
      </c>
    </row>
    <row r="28" spans="2:9" x14ac:dyDescent="0.35">
      <c r="G28">
        <v>1958540</v>
      </c>
      <c r="I28">
        <v>1958540</v>
      </c>
    </row>
  </sheetData>
  <dataValidations count="1">
    <dataValidation type="list" allowBlank="1" showInputMessage="1" showErrorMessage="1" sqref="C12 D12 G20 I20" xr:uid="{754193B0-5118-4545-AB6E-9CEB5B0FBBEB}">
      <formula1>$B$5:$B$10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4F1A-2248-4DF1-A061-21E86202B756}">
  <dimension ref="B2:H17"/>
  <sheetViews>
    <sheetView zoomScaleNormal="100" workbookViewId="0">
      <selection activeCell="C17" sqref="C17"/>
    </sheetView>
  </sheetViews>
  <sheetFormatPr defaultRowHeight="18" x14ac:dyDescent="0.35"/>
  <cols>
    <col min="1" max="1" width="6.6640625" customWidth="1"/>
    <col min="2" max="2" width="10.25" customWidth="1"/>
    <col min="3" max="8" width="7.75" customWidth="1"/>
  </cols>
  <sheetData>
    <row r="2" spans="2:8" x14ac:dyDescent="0.35">
      <c r="B2" t="s">
        <v>31</v>
      </c>
    </row>
    <row r="4" spans="2:8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x14ac:dyDescent="0.35">
      <c r="B5" s="2" t="s">
        <v>7</v>
      </c>
      <c r="C5" s="3">
        <v>1200</v>
      </c>
      <c r="D5" s="3">
        <v>4500</v>
      </c>
      <c r="E5" s="3">
        <v>760040</v>
      </c>
      <c r="F5" s="3">
        <v>980000</v>
      </c>
      <c r="G5" s="3">
        <v>2300</v>
      </c>
      <c r="H5" s="3">
        <v>210500</v>
      </c>
    </row>
    <row r="6" spans="2:8" x14ac:dyDescent="0.35">
      <c r="B6" s="2" t="s">
        <v>8</v>
      </c>
      <c r="C6" s="3">
        <v>4300</v>
      </c>
      <c r="D6" s="3">
        <v>4000</v>
      </c>
      <c r="E6" s="3">
        <v>66000</v>
      </c>
      <c r="F6" s="3">
        <v>670000</v>
      </c>
      <c r="G6" s="3">
        <v>439800</v>
      </c>
      <c r="H6" s="3">
        <v>43900</v>
      </c>
    </row>
    <row r="7" spans="2:8" x14ac:dyDescent="0.35">
      <c r="B7" s="2" t="s">
        <v>9</v>
      </c>
      <c r="C7" s="3">
        <v>10000</v>
      </c>
      <c r="D7" s="3">
        <v>56000</v>
      </c>
      <c r="E7" s="3">
        <v>65000</v>
      </c>
      <c r="F7" s="3">
        <v>870000</v>
      </c>
      <c r="G7" s="3">
        <v>540790</v>
      </c>
      <c r="H7" s="3">
        <v>450000</v>
      </c>
    </row>
    <row r="8" spans="2:8" x14ac:dyDescent="0.35">
      <c r="B8" s="2" t="s">
        <v>10</v>
      </c>
      <c r="C8" s="3">
        <v>43000</v>
      </c>
      <c r="D8" s="3">
        <v>76000</v>
      </c>
      <c r="E8" s="3">
        <v>450000</v>
      </c>
      <c r="F8" s="3">
        <v>3400</v>
      </c>
      <c r="G8" s="3">
        <v>5500</v>
      </c>
      <c r="H8" s="3">
        <v>5400</v>
      </c>
    </row>
    <row r="9" spans="2:8" x14ac:dyDescent="0.35">
      <c r="B9" s="2" t="s">
        <v>18</v>
      </c>
      <c r="C9" s="3">
        <v>2300</v>
      </c>
      <c r="D9" s="3">
        <v>5500</v>
      </c>
      <c r="E9" s="3">
        <v>54000</v>
      </c>
      <c r="F9" s="3">
        <v>45230</v>
      </c>
      <c r="G9" s="3">
        <v>340000</v>
      </c>
      <c r="H9" s="3">
        <v>5000</v>
      </c>
    </row>
    <row r="10" spans="2:8" x14ac:dyDescent="0.35">
      <c r="B10" s="2" t="s">
        <v>19</v>
      </c>
      <c r="C10" s="3">
        <v>54000</v>
      </c>
      <c r="D10" s="3">
        <v>560000</v>
      </c>
      <c r="E10" s="3">
        <v>34000</v>
      </c>
      <c r="F10" s="3">
        <v>77500</v>
      </c>
      <c r="G10" s="3">
        <v>540000</v>
      </c>
      <c r="H10" s="3">
        <v>340000</v>
      </c>
    </row>
    <row r="12" spans="2:8" x14ac:dyDescent="0.35">
      <c r="B12" s="7" t="s">
        <v>24</v>
      </c>
    </row>
    <row r="13" spans="2:8" x14ac:dyDescent="0.35">
      <c r="B13" s="1" t="s">
        <v>0</v>
      </c>
      <c r="C13" s="1" t="s">
        <v>21</v>
      </c>
      <c r="D13" s="5" t="s">
        <v>23</v>
      </c>
    </row>
    <row r="14" spans="2:8" x14ac:dyDescent="0.35">
      <c r="B14" s="3" t="s">
        <v>8</v>
      </c>
      <c r="C14" s="3" t="s">
        <v>1</v>
      </c>
      <c r="D14" s="3" cm="1">
        <f t="array" ref="D14">_xlfn.XLOOKUP(C14,C4:H4,_xlfn.XLOOKUP(B14,B5:B10,C5:H10))</f>
        <v>4300</v>
      </c>
    </row>
    <row r="15" spans="2:8" x14ac:dyDescent="0.35">
      <c r="C15" s="3" cm="1">
        <f t="array" ref="C15">_xlfn.XLOOKUP(B14,B5:B10,_xlfn.XLOOKUP(C14,C4:H4,C5:H10))</f>
        <v>4300</v>
      </c>
      <c r="D15" s="3"/>
      <c r="F15" s="6"/>
    </row>
    <row r="17" spans="2:4" x14ac:dyDescent="0.35">
      <c r="B17" t="s">
        <v>7</v>
      </c>
      <c r="C17" t="s">
        <v>3</v>
      </c>
      <c r="D17" cm="1">
        <f t="array" ref="D17">_xlfn.XLOOKUP(B17,B5:B10,_xlfn.XLOOKUP(C17,C4:H4,C5:H10))</f>
        <v>760040</v>
      </c>
    </row>
  </sheetData>
  <dataValidations count="2">
    <dataValidation type="list" allowBlank="1" showInputMessage="1" showErrorMessage="1" sqref="B14 B17" xr:uid="{7575E87C-822C-4FE2-B40E-3CF5016C7CD6}">
      <formula1>$B$5:$B$10</formula1>
    </dataValidation>
    <dataValidation type="list" allowBlank="1" showInputMessage="1" showErrorMessage="1" sqref="C14 C17" xr:uid="{42E682E7-0F01-45D3-9FEC-9C3B44107A11}">
      <formula1>$C$4:$H$4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CFC0-8B6B-4211-90BA-A09452391BE0}">
  <dimension ref="B2:H19"/>
  <sheetViews>
    <sheetView zoomScaleNormal="100" workbookViewId="0">
      <selection activeCell="B14" sqref="B14"/>
    </sheetView>
  </sheetViews>
  <sheetFormatPr defaultRowHeight="18" x14ac:dyDescent="0.35"/>
  <cols>
    <col min="1" max="1" width="6.6640625" customWidth="1"/>
    <col min="2" max="2" width="10.25" customWidth="1"/>
    <col min="3" max="3" width="8.83203125" customWidth="1"/>
    <col min="4" max="4" width="7.75" bestFit="1" customWidth="1"/>
    <col min="5" max="8" width="7.4140625" customWidth="1"/>
  </cols>
  <sheetData>
    <row r="2" spans="2:8" x14ac:dyDescent="0.35">
      <c r="B2" t="s">
        <v>32</v>
      </c>
    </row>
    <row r="4" spans="2:8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x14ac:dyDescent="0.35">
      <c r="B5" s="2" t="s">
        <v>7</v>
      </c>
      <c r="C5" s="3">
        <v>1200</v>
      </c>
      <c r="D5" s="3">
        <v>4500</v>
      </c>
      <c r="E5" s="3">
        <v>760040</v>
      </c>
      <c r="F5" s="3">
        <v>980000</v>
      </c>
      <c r="G5" s="3">
        <v>2300</v>
      </c>
      <c r="H5" s="3">
        <v>210500</v>
      </c>
    </row>
    <row r="6" spans="2:8" x14ac:dyDescent="0.35">
      <c r="B6" s="2" t="s">
        <v>8</v>
      </c>
      <c r="C6" s="3">
        <v>4300</v>
      </c>
      <c r="D6" s="3">
        <v>4000</v>
      </c>
      <c r="E6" s="3">
        <v>66000</v>
      </c>
      <c r="F6" s="3">
        <v>670000</v>
      </c>
      <c r="G6" s="3">
        <v>439800</v>
      </c>
      <c r="H6" s="3">
        <v>43900</v>
      </c>
    </row>
    <row r="7" spans="2:8" x14ac:dyDescent="0.35">
      <c r="B7" s="2" t="s">
        <v>9</v>
      </c>
      <c r="C7" s="3">
        <v>10000</v>
      </c>
      <c r="D7" s="3">
        <v>56000</v>
      </c>
      <c r="E7" s="3">
        <v>65000</v>
      </c>
      <c r="F7" s="3">
        <v>870000</v>
      </c>
      <c r="G7" s="3">
        <v>540790</v>
      </c>
      <c r="H7" s="3">
        <v>450000</v>
      </c>
    </row>
    <row r="8" spans="2:8" x14ac:dyDescent="0.35">
      <c r="B8" s="2" t="s">
        <v>10</v>
      </c>
      <c r="C8" s="3">
        <v>43000</v>
      </c>
      <c r="D8" s="3">
        <v>76000</v>
      </c>
      <c r="E8" s="3">
        <v>450000</v>
      </c>
      <c r="F8" s="3">
        <v>3400</v>
      </c>
      <c r="G8" s="3">
        <v>5500</v>
      </c>
      <c r="H8" s="3">
        <v>5400</v>
      </c>
    </row>
    <row r="9" spans="2:8" x14ac:dyDescent="0.35">
      <c r="B9" s="2" t="s">
        <v>18</v>
      </c>
      <c r="C9" s="3">
        <v>2300</v>
      </c>
      <c r="D9" s="3">
        <v>5500</v>
      </c>
      <c r="E9" s="3">
        <v>54000</v>
      </c>
      <c r="F9" s="3">
        <v>45230</v>
      </c>
      <c r="G9" s="3">
        <v>340000</v>
      </c>
      <c r="H9" s="3">
        <v>5000</v>
      </c>
    </row>
    <row r="10" spans="2:8" x14ac:dyDescent="0.35">
      <c r="B10" s="2" t="s">
        <v>19</v>
      </c>
      <c r="C10" s="3">
        <v>54000</v>
      </c>
      <c r="D10" s="3">
        <v>560000</v>
      </c>
      <c r="E10" s="3">
        <v>34000</v>
      </c>
      <c r="F10" s="3">
        <v>77500</v>
      </c>
      <c r="G10" s="3">
        <v>540000</v>
      </c>
      <c r="H10" s="3">
        <v>340000</v>
      </c>
    </row>
    <row r="12" spans="2:8" x14ac:dyDescent="0.35">
      <c r="B12" s="7" t="s">
        <v>24</v>
      </c>
    </row>
    <row r="13" spans="2:8" x14ac:dyDescent="0.35">
      <c r="B13" s="1" t="s">
        <v>0</v>
      </c>
      <c r="C13" s="1" t="s">
        <v>20</v>
      </c>
    </row>
    <row r="14" spans="2:8" x14ac:dyDescent="0.35">
      <c r="B14" s="8" t="s">
        <v>8</v>
      </c>
      <c r="C14">
        <f>SUM(_xlfn.XLOOKUP(B14,B5:B10,C5:H10))</f>
        <v>1228000</v>
      </c>
    </row>
    <row r="15" spans="2:8" x14ac:dyDescent="0.35">
      <c r="B15" s="3"/>
      <c r="C15" s="3">
        <f>SUM(_xlfn.XLOOKUP(B14,B5:B10,C5:H10))</f>
        <v>1228000</v>
      </c>
    </row>
    <row r="19" spans="3:4" x14ac:dyDescent="0.35">
      <c r="C19" t="s">
        <v>19</v>
      </c>
      <c r="D19">
        <f>SUM(_xlfn.XLOOKUP(C19,B5:B10,C5:H10))</f>
        <v>1605500</v>
      </c>
    </row>
  </sheetData>
  <dataValidations count="1">
    <dataValidation type="list" allowBlank="1" showInputMessage="1" showErrorMessage="1" sqref="B14 B15 C19" xr:uid="{D6A3A04F-DF75-40B8-BFEB-F5CD8E61449A}">
      <formula1>$B$5:$B$10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D4E2-81FE-43EB-842D-F046CFD39A50}">
  <dimension ref="B2:I23"/>
  <sheetViews>
    <sheetView zoomScaleNormal="100" workbookViewId="0">
      <selection activeCell="F22" sqref="F22"/>
    </sheetView>
  </sheetViews>
  <sheetFormatPr defaultRowHeight="18" x14ac:dyDescent="0.35"/>
  <cols>
    <col min="1" max="1" width="6.6640625" customWidth="1"/>
    <col min="2" max="2" width="10.25" customWidth="1"/>
    <col min="3" max="8" width="9.25" customWidth="1"/>
  </cols>
  <sheetData>
    <row r="2" spans="2:9" x14ac:dyDescent="0.35">
      <c r="B2" t="s">
        <v>33</v>
      </c>
    </row>
    <row r="4" spans="2:9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22</v>
      </c>
    </row>
    <row r="5" spans="2:9" x14ac:dyDescent="0.35">
      <c r="B5" s="2" t="s">
        <v>7</v>
      </c>
      <c r="C5" s="3">
        <v>1200</v>
      </c>
      <c r="D5" s="3">
        <v>4500</v>
      </c>
      <c r="E5" s="3">
        <v>760040</v>
      </c>
      <c r="F5" s="3">
        <v>980000</v>
      </c>
      <c r="G5" s="3">
        <v>2300</v>
      </c>
      <c r="H5" s="3">
        <v>210500</v>
      </c>
      <c r="I5" s="3">
        <f>SUM(C5:H5)</f>
        <v>1958540</v>
      </c>
    </row>
    <row r="6" spans="2:9" x14ac:dyDescent="0.35">
      <c r="B6" s="2" t="s">
        <v>8</v>
      </c>
      <c r="C6" s="3">
        <v>4300</v>
      </c>
      <c r="D6" s="3">
        <v>4000</v>
      </c>
      <c r="E6" s="3">
        <v>66000</v>
      </c>
      <c r="F6" s="3">
        <v>670000</v>
      </c>
      <c r="G6" s="3">
        <v>439800</v>
      </c>
      <c r="H6" s="3">
        <v>43900</v>
      </c>
      <c r="I6" s="3">
        <f t="shared" ref="I6:I11" si="0">SUM(C6:H6)</f>
        <v>1228000</v>
      </c>
    </row>
    <row r="7" spans="2:9" x14ac:dyDescent="0.35">
      <c r="B7" s="2" t="s">
        <v>9</v>
      </c>
      <c r="C7" s="3">
        <v>10000</v>
      </c>
      <c r="D7" s="3">
        <v>56000</v>
      </c>
      <c r="E7" s="3">
        <v>65000</v>
      </c>
      <c r="F7" s="3">
        <v>870000</v>
      </c>
      <c r="G7" s="3">
        <v>540790</v>
      </c>
      <c r="H7" s="3">
        <v>450000</v>
      </c>
      <c r="I7" s="3">
        <f t="shared" si="0"/>
        <v>1991790</v>
      </c>
    </row>
    <row r="8" spans="2:9" x14ac:dyDescent="0.35">
      <c r="B8" s="2" t="s">
        <v>10</v>
      </c>
      <c r="C8" s="3">
        <v>43000</v>
      </c>
      <c r="D8" s="3">
        <v>76000</v>
      </c>
      <c r="E8" s="3">
        <v>450000</v>
      </c>
      <c r="F8" s="3">
        <v>3400</v>
      </c>
      <c r="G8" s="3">
        <v>5500</v>
      </c>
      <c r="H8" s="3">
        <v>5400</v>
      </c>
      <c r="I8" s="3">
        <f t="shared" si="0"/>
        <v>583300</v>
      </c>
    </row>
    <row r="9" spans="2:9" x14ac:dyDescent="0.35">
      <c r="B9" s="2" t="s">
        <v>18</v>
      </c>
      <c r="C9" s="3">
        <v>2300</v>
      </c>
      <c r="D9" s="3">
        <v>5500</v>
      </c>
      <c r="E9" s="3">
        <v>54000</v>
      </c>
      <c r="F9" s="3">
        <v>45230</v>
      </c>
      <c r="G9" s="3">
        <v>340000</v>
      </c>
      <c r="H9" s="3">
        <v>5000</v>
      </c>
      <c r="I9" s="3">
        <f t="shared" si="0"/>
        <v>452030</v>
      </c>
    </row>
    <row r="10" spans="2:9" x14ac:dyDescent="0.35">
      <c r="B10" s="2" t="s">
        <v>19</v>
      </c>
      <c r="C10" s="3">
        <v>54000</v>
      </c>
      <c r="D10" s="3">
        <v>560000</v>
      </c>
      <c r="E10" s="3">
        <v>34000</v>
      </c>
      <c r="F10" s="3">
        <v>77500</v>
      </c>
      <c r="G10" s="3">
        <v>540000</v>
      </c>
      <c r="H10" s="3">
        <v>340000</v>
      </c>
      <c r="I10" s="3">
        <f t="shared" si="0"/>
        <v>1605500</v>
      </c>
    </row>
    <row r="11" spans="2:9" x14ac:dyDescent="0.35">
      <c r="B11" s="4" t="s">
        <v>22</v>
      </c>
      <c r="C11" s="1">
        <f>SUM(C5:C10)</f>
        <v>114800</v>
      </c>
      <c r="D11" s="1">
        <f t="shared" ref="D11:H11" si="1">SUM(D5:D10)</f>
        <v>706000</v>
      </c>
      <c r="E11" s="1">
        <f t="shared" si="1"/>
        <v>1429040</v>
      </c>
      <c r="F11" s="1">
        <f t="shared" si="1"/>
        <v>2646130</v>
      </c>
      <c r="G11" s="1">
        <f t="shared" si="1"/>
        <v>1868390</v>
      </c>
      <c r="H11" s="1">
        <f t="shared" si="1"/>
        <v>1054800</v>
      </c>
      <c r="I11" s="3">
        <f t="shared" si="0"/>
        <v>7819160</v>
      </c>
    </row>
    <row r="13" spans="2:9" x14ac:dyDescent="0.35">
      <c r="B13" s="1" t="s">
        <v>0</v>
      </c>
      <c r="C13" s="1" t="s">
        <v>22</v>
      </c>
      <c r="D13" s="3" cm="1">
        <f t="array" ref="D13:D15">_xlfn.XLOOKUP(B14:B16,B5:B10,I5:I10)</f>
        <v>1958540</v>
      </c>
      <c r="E13" s="7" t="s">
        <v>24</v>
      </c>
    </row>
    <row r="14" spans="2:9" x14ac:dyDescent="0.35">
      <c r="B14" s="2" t="s">
        <v>7</v>
      </c>
      <c r="C14" s="3" cm="1">
        <f t="array" ref="C14:C16">_xlfn.XLOOKUP(B14:B16,B5:B10,I5:I10)</f>
        <v>1958540</v>
      </c>
      <c r="D14">
        <v>1991790</v>
      </c>
    </row>
    <row r="15" spans="2:9" x14ac:dyDescent="0.35">
      <c r="B15" s="2" t="s">
        <v>9</v>
      </c>
      <c r="C15" s="3">
        <v>1991790</v>
      </c>
      <c r="D15">
        <v>452030</v>
      </c>
    </row>
    <row r="16" spans="2:9" x14ac:dyDescent="0.35">
      <c r="B16" s="2" t="s">
        <v>18</v>
      </c>
      <c r="C16" s="3">
        <v>452030</v>
      </c>
    </row>
    <row r="18" spans="2:6" x14ac:dyDescent="0.35">
      <c r="B18" s="1" t="s">
        <v>21</v>
      </c>
      <c r="C18" s="1" t="s">
        <v>22</v>
      </c>
      <c r="D18" s="3" cm="1">
        <f t="array" ref="D18:D20">_xlfn.XLOOKUP(B19:B21,C4:H4,C11:H11)</f>
        <v>706000</v>
      </c>
    </row>
    <row r="19" spans="2:6" x14ac:dyDescent="0.35">
      <c r="B19" s="3" t="s">
        <v>2</v>
      </c>
      <c r="C19" s="3" cm="1">
        <f t="array" ref="C19:C21">_xlfn.XLOOKUP(B19:B21,C4:H4,C11:H11)</f>
        <v>706000</v>
      </c>
      <c r="D19">
        <v>1054800</v>
      </c>
    </row>
    <row r="20" spans="2:6" x14ac:dyDescent="0.35">
      <c r="B20" s="3" t="s">
        <v>6</v>
      </c>
      <c r="C20" s="3">
        <v>1054800</v>
      </c>
      <c r="D20">
        <v>1429040</v>
      </c>
    </row>
    <row r="21" spans="2:6" x14ac:dyDescent="0.35">
      <c r="B21" s="3" t="s">
        <v>3</v>
      </c>
      <c r="C21" s="3">
        <v>1429040</v>
      </c>
      <c r="F21" cm="1">
        <f t="array" ref="F21:F23">_xlfn.XLOOKUP(B19:B21,C4:H4,C11:H11)</f>
        <v>706000</v>
      </c>
    </row>
    <row r="22" spans="2:6" x14ac:dyDescent="0.35">
      <c r="F22">
        <v>1054800</v>
      </c>
    </row>
    <row r="23" spans="2:6" x14ac:dyDescent="0.35">
      <c r="F23">
        <v>1429040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948A-C504-41BB-BEA1-2D2383AFE323}">
  <dimension ref="B2:I20"/>
  <sheetViews>
    <sheetView tabSelected="1" zoomScaleNormal="100" workbookViewId="0">
      <selection activeCell="C15" sqref="C15"/>
    </sheetView>
  </sheetViews>
  <sheetFormatPr defaultRowHeight="18" x14ac:dyDescent="0.35"/>
  <cols>
    <col min="1" max="1" width="6.6640625" customWidth="1"/>
    <col min="2" max="2" width="10.25" customWidth="1"/>
    <col min="3" max="8" width="9.25" customWidth="1"/>
  </cols>
  <sheetData>
    <row r="2" spans="2:9" x14ac:dyDescent="0.35">
      <c r="B2" t="s">
        <v>34</v>
      </c>
    </row>
    <row r="4" spans="2:9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22</v>
      </c>
    </row>
    <row r="5" spans="2:9" x14ac:dyDescent="0.35">
      <c r="B5" s="2" t="s">
        <v>7</v>
      </c>
      <c r="C5" s="3">
        <v>1200</v>
      </c>
      <c r="D5" s="3">
        <v>4500</v>
      </c>
      <c r="E5" s="3">
        <v>760040</v>
      </c>
      <c r="F5" s="3">
        <v>980000</v>
      </c>
      <c r="G5" s="3">
        <v>2300</v>
      </c>
      <c r="H5" s="3">
        <v>210500</v>
      </c>
      <c r="I5" s="3">
        <f>SUM(C5:H5)</f>
        <v>1958540</v>
      </c>
    </row>
    <row r="6" spans="2:9" x14ac:dyDescent="0.35">
      <c r="B6" s="2" t="s">
        <v>8</v>
      </c>
      <c r="C6" s="3">
        <v>4300</v>
      </c>
      <c r="D6" s="3">
        <v>4000</v>
      </c>
      <c r="E6" s="3">
        <v>66000</v>
      </c>
      <c r="F6" s="3">
        <v>670000</v>
      </c>
      <c r="G6" s="3">
        <v>439800</v>
      </c>
      <c r="H6" s="3">
        <v>43900</v>
      </c>
      <c r="I6" s="3">
        <f t="shared" ref="I6:I10" si="0">SUM(C6:H6)</f>
        <v>1228000</v>
      </c>
    </row>
    <row r="7" spans="2:9" x14ac:dyDescent="0.35">
      <c r="B7" s="2" t="s">
        <v>9</v>
      </c>
      <c r="C7" s="3">
        <v>10000</v>
      </c>
      <c r="D7" s="3">
        <v>56000</v>
      </c>
      <c r="E7" s="3">
        <v>65000</v>
      </c>
      <c r="F7" s="3">
        <v>870000</v>
      </c>
      <c r="G7" s="3">
        <v>540790</v>
      </c>
      <c r="H7" s="3">
        <v>450000</v>
      </c>
      <c r="I7" s="3">
        <f t="shared" si="0"/>
        <v>1991790</v>
      </c>
    </row>
    <row r="8" spans="2:9" x14ac:dyDescent="0.35">
      <c r="B8" s="2" t="s">
        <v>10</v>
      </c>
      <c r="C8" s="3">
        <v>43000</v>
      </c>
      <c r="D8" s="3">
        <v>76000</v>
      </c>
      <c r="E8" s="3">
        <v>450000</v>
      </c>
      <c r="F8" s="3">
        <v>3400</v>
      </c>
      <c r="G8" s="3">
        <v>5500</v>
      </c>
      <c r="H8" s="3">
        <v>5400</v>
      </c>
      <c r="I8" s="3">
        <f t="shared" si="0"/>
        <v>583300</v>
      </c>
    </row>
    <row r="9" spans="2:9" x14ac:dyDescent="0.35">
      <c r="B9" s="2" t="s">
        <v>18</v>
      </c>
      <c r="C9" s="3">
        <v>2300</v>
      </c>
      <c r="D9" s="3">
        <v>5500</v>
      </c>
      <c r="E9" s="3">
        <v>54000</v>
      </c>
      <c r="F9" s="3">
        <v>45230</v>
      </c>
      <c r="G9" s="3">
        <v>340000</v>
      </c>
      <c r="H9" s="3">
        <v>5000</v>
      </c>
      <c r="I9" s="3">
        <f t="shared" si="0"/>
        <v>452030</v>
      </c>
    </row>
    <row r="10" spans="2:9" x14ac:dyDescent="0.35">
      <c r="B10" s="2" t="s">
        <v>19</v>
      </c>
      <c r="C10" s="3">
        <v>54000</v>
      </c>
      <c r="D10" s="3">
        <v>560000</v>
      </c>
      <c r="E10" s="3">
        <v>34000</v>
      </c>
      <c r="F10" s="3">
        <v>77500</v>
      </c>
      <c r="G10" s="3">
        <v>540000</v>
      </c>
      <c r="H10" s="3">
        <v>340000</v>
      </c>
      <c r="I10" s="3">
        <f t="shared" si="0"/>
        <v>1605500</v>
      </c>
    </row>
    <row r="12" spans="2:9" x14ac:dyDescent="0.35">
      <c r="B12" s="7" t="s">
        <v>24</v>
      </c>
    </row>
    <row r="13" spans="2:9" x14ac:dyDescent="0.35">
      <c r="B13" s="1" t="s">
        <v>0</v>
      </c>
      <c r="C13" s="1" t="s">
        <v>4</v>
      </c>
      <c r="D13" s="1" t="s">
        <v>2</v>
      </c>
      <c r="E13" s="1" t="s">
        <v>6</v>
      </c>
    </row>
    <row r="14" spans="2:9" x14ac:dyDescent="0.35">
      <c r="B14" s="8" t="s">
        <v>8</v>
      </c>
      <c r="C14" cm="1">
        <f t="array" ref="C14:E14">_xlfn.XLOOKUP(C13:E13,C4:I4,_xlfn.XLOOKUP(B14,B5:B10,C5:I10))</f>
        <v>670000</v>
      </c>
      <c r="D14">
        <v>4000</v>
      </c>
      <c r="E14">
        <v>43900</v>
      </c>
    </row>
    <row r="15" spans="2:9" x14ac:dyDescent="0.35">
      <c r="B15" s="3" t="s">
        <v>25</v>
      </c>
      <c r="C15" s="3" cm="1">
        <f t="array" ref="C15:E15">_xlfn.XLOOKUP(C13:E13,C4:H4,_xlfn.XLOOKUP(B14,B5:B10,C5:H10))</f>
        <v>670000</v>
      </c>
      <c r="D15" s="3">
        <v>4000</v>
      </c>
      <c r="E15" s="3">
        <v>43900</v>
      </c>
    </row>
    <row r="20" spans="3:6" x14ac:dyDescent="0.35">
      <c r="C20" t="s">
        <v>18</v>
      </c>
      <c r="D20" cm="1">
        <f t="array" ref="D20:F20">_xlfn.XLOOKUP(C13:E13,C4:I4,_xlfn.XLOOKUP(B14,B5:B10,C5:I10))</f>
        <v>670000</v>
      </c>
      <c r="E20">
        <v>4000</v>
      </c>
      <c r="F20">
        <v>43900</v>
      </c>
    </row>
  </sheetData>
  <dataValidations count="1">
    <dataValidation type="list" allowBlank="1" showInputMessage="1" showErrorMessage="1" sqref="B14 C20" xr:uid="{C43FECFE-03D4-4AFE-A4E0-B1FE0364077F}">
      <formula1>$B$5:$B$10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nooreelahi786@outlook.com</cp:lastModifiedBy>
  <dcterms:created xsi:type="dcterms:W3CDTF">2024-03-19T13:00:22Z</dcterms:created>
  <dcterms:modified xsi:type="dcterms:W3CDTF">2026-08-21T15:09:15Z</dcterms:modified>
</cp:coreProperties>
</file>