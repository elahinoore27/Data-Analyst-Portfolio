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sumif_ifs/"/>
    </mc:Choice>
  </mc:AlternateContent>
  <xr:revisionPtr revIDLastSave="61" documentId="13_ncr:1_{019FCE64-4C3A-4E8D-9440-84572455E5CC}" xr6:coauthVersionLast="47" xr6:coauthVersionMax="47" xr10:uidLastSave="{74E580DF-EF02-46BE-9F79-2AC4A273049B}"/>
  <bookViews>
    <workbookView xWindow="-108" yWindow="-108" windowWidth="23256" windowHeight="13896" activeTab="3" xr2:uid="{00000000-000D-0000-FFFF-FFFF00000000}"/>
  </bookViews>
  <sheets>
    <sheet name="SumIF" sheetId="2" r:id="rId1"/>
    <sheet name="Sumifs Simple" sheetId="4" r:id="rId2"/>
    <sheet name="LARGE DATA Practice" sheetId="1" r:id="rId3"/>
    <sheet name="SUMIFS Advance Level" sheetId="3" r:id="rId4"/>
  </sheets>
  <definedNames>
    <definedName name="_xlnm._FilterDatabase" localSheetId="1" hidden="1">'Sumifs Simple'!$B$3:$F$15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F21" i="3"/>
  <c r="S6" i="1"/>
  <c r="S7" i="1"/>
  <c r="K10" i="4"/>
  <c r="F17" i="2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K6" i="4"/>
  <c r="K5" i="4"/>
  <c r="K7" i="4"/>
  <c r="F9" i="2"/>
  <c r="F8" i="2"/>
  <c r="F10" i="2"/>
  <c r="F11" i="2"/>
  <c r="F12" i="2"/>
  <c r="F13" i="2"/>
  <c r="F7" i="2"/>
  <c r="M4" i="4" l="1"/>
  <c r="F15" i="4" l="1"/>
  <c r="L46" i="1"/>
  <c r="M46" i="1"/>
  <c r="H13" i="3"/>
  <c r="G13" i="3"/>
  <c r="H12" i="3"/>
  <c r="G12" i="3"/>
  <c r="H11" i="3"/>
  <c r="G11" i="3"/>
  <c r="H10" i="3"/>
  <c r="K8" i="4" l="1"/>
</calcChain>
</file>

<file path=xl/sharedStrings.xml><?xml version="1.0" encoding="utf-8"?>
<sst xmlns="http://schemas.openxmlformats.org/spreadsheetml/2006/main" count="556" uniqueCount="142">
  <si>
    <t>Date</t>
  </si>
  <si>
    <t>Brand</t>
  </si>
  <si>
    <t>Product</t>
  </si>
  <si>
    <t>Warranty Status</t>
  </si>
  <si>
    <t>Customer Type</t>
  </si>
  <si>
    <t>Location</t>
  </si>
  <si>
    <t>Delivery Date</t>
  </si>
  <si>
    <t>Service Charges</t>
  </si>
  <si>
    <t>Paid</t>
  </si>
  <si>
    <t>Pending</t>
  </si>
  <si>
    <t>Total</t>
  </si>
  <si>
    <t>Status</t>
  </si>
  <si>
    <t>Service Engineer</t>
  </si>
  <si>
    <t>Sandhya Waghmare</t>
  </si>
  <si>
    <t>LG</t>
  </si>
  <si>
    <t>LG Washing Machine</t>
  </si>
  <si>
    <t>Warranty</t>
  </si>
  <si>
    <t>New</t>
  </si>
  <si>
    <t>Swargate</t>
  </si>
  <si>
    <t>Completed</t>
  </si>
  <si>
    <t>Anket</t>
  </si>
  <si>
    <t>Ketan Kanojia</t>
  </si>
  <si>
    <t>Whirlpool</t>
  </si>
  <si>
    <t>Whirpool refrigerator</t>
  </si>
  <si>
    <t>Exisitng</t>
  </si>
  <si>
    <t>Kothrud</t>
  </si>
  <si>
    <t>In Progress</t>
  </si>
  <si>
    <t>Mannu</t>
  </si>
  <si>
    <t>Sanket Gaikwad</t>
  </si>
  <si>
    <t>Samsung</t>
  </si>
  <si>
    <t>Samsung Refrigerator</t>
  </si>
  <si>
    <t>Camp</t>
  </si>
  <si>
    <t>Suchit</t>
  </si>
  <si>
    <t>Vidhya Bhagat</t>
  </si>
  <si>
    <t>Samsung LED</t>
  </si>
  <si>
    <t>Non Warranty</t>
  </si>
  <si>
    <t>Aundh</t>
  </si>
  <si>
    <t>Moha</t>
  </si>
  <si>
    <t>Kavita Gawhale</t>
  </si>
  <si>
    <t>Godrej</t>
  </si>
  <si>
    <t>Godrej Washing Machine</t>
  </si>
  <si>
    <t>Bhavani peth</t>
  </si>
  <si>
    <t>Karan</t>
  </si>
  <si>
    <t>Mru0l Badade</t>
  </si>
  <si>
    <t>Blue star</t>
  </si>
  <si>
    <t>Bluestar AC</t>
  </si>
  <si>
    <t>Katraj</t>
  </si>
  <si>
    <t>Furqan</t>
  </si>
  <si>
    <t>Laxmi Itenwar</t>
  </si>
  <si>
    <t>Mohammad Aryan Kazi</t>
  </si>
  <si>
    <t>Om Karve</t>
  </si>
  <si>
    <t>Viman 0gar</t>
  </si>
  <si>
    <t>DIVYA AMARPRATAP GUPTA</t>
  </si>
  <si>
    <t>ABHISHEK JITENDRA DUMDE</t>
  </si>
  <si>
    <t>Pimple Saudagar</t>
  </si>
  <si>
    <t>JYOTI MACHINDRA DAKE</t>
  </si>
  <si>
    <t>Warje</t>
  </si>
  <si>
    <t>ROHIT DYANDEV RITOND</t>
  </si>
  <si>
    <t>TWINKLE SUNIL KHONDE</t>
  </si>
  <si>
    <t>15/9/2021</t>
  </si>
  <si>
    <t>SHEETAL SHIVA ARAVANTI</t>
  </si>
  <si>
    <t>KIRTI DHA0NJAY KHADE</t>
  </si>
  <si>
    <t>Bhavani Peth</t>
  </si>
  <si>
    <t>ASHWINI BHARAT GAIKWAD</t>
  </si>
  <si>
    <t>16/9/2021</t>
  </si>
  <si>
    <t>14/9/2021</t>
  </si>
  <si>
    <t>OMKAR PRAKASH WALUNJ</t>
  </si>
  <si>
    <t>JYOTI SHIVRAJ TODALGE</t>
  </si>
  <si>
    <t>Hand over to Customer</t>
  </si>
  <si>
    <t>Varsha Sunil Shelar</t>
  </si>
  <si>
    <t>Shameem Ajij Shaikh</t>
  </si>
  <si>
    <t>Swap0li Ramdas Choudhari</t>
  </si>
  <si>
    <t>Parts are not available</t>
  </si>
  <si>
    <t>Amit Bhati</t>
  </si>
  <si>
    <t>Nihal Kisan Kamble</t>
  </si>
  <si>
    <t>18/9/2021</t>
  </si>
  <si>
    <t>Akshata 0resh Shete</t>
  </si>
  <si>
    <t>17/9/2021</t>
  </si>
  <si>
    <t>Abu Ad0n Shaikh</t>
  </si>
  <si>
    <t>Deepak gaikwad</t>
  </si>
  <si>
    <t>Kanchan Gaikwad</t>
  </si>
  <si>
    <t>0ushin Ahmed</t>
  </si>
  <si>
    <t>21/9/2021</t>
  </si>
  <si>
    <t>Zarin khan</t>
  </si>
  <si>
    <t>Sourabh Mhamunkar</t>
  </si>
  <si>
    <t>Mangesh Howai</t>
  </si>
  <si>
    <t>Komal Rasal</t>
  </si>
  <si>
    <t>22/9/2021</t>
  </si>
  <si>
    <t>Ashwini Dhanve</t>
  </si>
  <si>
    <t>23/9/2021</t>
  </si>
  <si>
    <t>Vaishali Mankar</t>
  </si>
  <si>
    <t>Aishwarya Wakode</t>
  </si>
  <si>
    <t>Omkar Ghode</t>
  </si>
  <si>
    <t>25/9/2021</t>
  </si>
  <si>
    <t>Alfiya Bagwan</t>
  </si>
  <si>
    <t>28/9/2021</t>
  </si>
  <si>
    <t>Pratik Modi</t>
  </si>
  <si>
    <t>Afrin 0daf</t>
  </si>
  <si>
    <t>EmpCode</t>
  </si>
  <si>
    <t>Designation</t>
  </si>
  <si>
    <t>Salary</t>
  </si>
  <si>
    <t>Salesman</t>
  </si>
  <si>
    <t>Accountant</t>
  </si>
  <si>
    <t>Manager</t>
  </si>
  <si>
    <t>Cordinator</t>
  </si>
  <si>
    <t>HR</t>
  </si>
  <si>
    <t>Supervisor</t>
  </si>
  <si>
    <t>QC</t>
  </si>
  <si>
    <t>Transaction Type</t>
  </si>
  <si>
    <t>Debit / Credit</t>
  </si>
  <si>
    <t>Amount</t>
  </si>
  <si>
    <t>Online</t>
  </si>
  <si>
    <t>Debit</t>
  </si>
  <si>
    <t>Cash</t>
  </si>
  <si>
    <t>Credit</t>
  </si>
  <si>
    <t>Debit Card</t>
  </si>
  <si>
    <t>If you wanted to know Each Transaction Status</t>
  </si>
  <si>
    <t>TOTAL</t>
  </si>
  <si>
    <t>Credit Card</t>
  </si>
  <si>
    <t>DEBIT</t>
  </si>
  <si>
    <t>CREDIT</t>
  </si>
  <si>
    <t>Debit Credit</t>
  </si>
  <si>
    <t>SUMIFS use for multiple conditions</t>
  </si>
  <si>
    <t>SUMIF USE FOR SINGLE CONDITION</t>
  </si>
  <si>
    <t>Customer Name</t>
  </si>
  <si>
    <t>Single Condition use
SUMIF</t>
  </si>
  <si>
    <t>Cheque</t>
  </si>
  <si>
    <t>Item</t>
  </si>
  <si>
    <t>Price</t>
  </si>
  <si>
    <t>Unit</t>
  </si>
  <si>
    <t>Total Sales</t>
  </si>
  <si>
    <t>Air conditioner</t>
  </si>
  <si>
    <t>HP</t>
  </si>
  <si>
    <t>Computer</t>
  </si>
  <si>
    <t>T.V</t>
  </si>
  <si>
    <t>sony</t>
  </si>
  <si>
    <t>Lenovo</t>
  </si>
  <si>
    <t>Dell</t>
  </si>
  <si>
    <t>ALICO Electronics National Distributor</t>
  </si>
  <si>
    <t>Air Cool Service Center</t>
  </si>
  <si>
    <t>Row ID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</si>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</sst>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222222"/>
      <name val="Roboto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0" fillId="0" borderId="5" xfId="0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6" fillId="0" borderId="0" xfId="0" applyFont="1"/>
    <xf numFmtId="0" fontId="4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0" fillId="0" borderId="6" xfId="0" applyBorder="1"/>
    <xf numFmtId="0" fontId="4" fillId="3" borderId="0" xfId="0" applyFont="1" applyFill="1" applyAlignment="1">
      <alignment horizontal="center"/>
    </xf>
    <xf numFmtId="14" fontId="0" fillId="0" borderId="6" xfId="0" applyNumberForma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3" borderId="9" xfId="0" applyFont="1" applyFill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0" xfId="0" applyNumberFormat="1"/>
    <xf numFmtId="0" fontId="0" fillId="5" borderId="0" xfId="0" applyFill="1"/>
    <xf numFmtId="0" fontId="0" fillId="5" borderId="5" xfId="0" applyFill="1" applyBorder="1" applyAlignment="1">
      <alignment horizontal="center" wrapText="1"/>
    </xf>
    <xf numFmtId="0" fontId="0" fillId="5" borderId="3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5" borderId="13" xfId="0" applyFill="1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0" fillId="0" borderId="6" xfId="0" applyBorder="1" applyAlignment="1">
      <alignment horizontal="right" wrapText="1"/>
    </xf>
    <xf numFmtId="0" fontId="0" fillId="0" borderId="6" xfId="0" applyBorder="1" applyAlignment="1">
      <alignment wrapText="1"/>
    </xf>
    <xf numFmtId="0" fontId="8" fillId="0" borderId="0" xfId="0" applyFont="1"/>
    <xf numFmtId="0" fontId="9" fillId="6" borderId="1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0" borderId="20" xfId="0" applyBorder="1"/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5" fillId="4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"/>
  <sheetViews>
    <sheetView showGridLines="0" topLeftCell="A2" zoomScale="150" zoomScaleNormal="150" workbookViewId="0">
      <selection activeCell="E17" sqref="E17:F17"/>
    </sheetView>
  </sheetViews>
  <sheetFormatPr defaultRowHeight="14.4" x14ac:dyDescent="0.3"/>
  <cols>
    <col min="1" max="1" width="9.44140625" bestFit="1" customWidth="1"/>
    <col min="2" max="2" width="10.5546875" bestFit="1" customWidth="1"/>
    <col min="5" max="5" width="10.88671875" bestFit="1" customWidth="1"/>
    <col min="6" max="6" width="8" customWidth="1"/>
    <col min="8" max="8" width="10.88671875" bestFit="1" customWidth="1"/>
  </cols>
  <sheetData>
    <row r="2" spans="1:9" x14ac:dyDescent="0.3">
      <c r="A2" s="58" t="s">
        <v>123</v>
      </c>
      <c r="B2" s="58"/>
      <c r="C2" s="58"/>
      <c r="D2" s="58"/>
    </row>
    <row r="4" spans="1:9" x14ac:dyDescent="0.3">
      <c r="E4" s="11"/>
    </row>
    <row r="5" spans="1:9" x14ac:dyDescent="0.3">
      <c r="E5" s="11"/>
    </row>
    <row r="6" spans="1:9" x14ac:dyDescent="0.3">
      <c r="A6" s="12" t="s">
        <v>98</v>
      </c>
      <c r="B6" s="12" t="s">
        <v>99</v>
      </c>
      <c r="C6" s="12" t="s">
        <v>100</v>
      </c>
      <c r="E6" s="13" t="s">
        <v>99</v>
      </c>
      <c r="F6" s="13" t="s">
        <v>100</v>
      </c>
      <c r="H6" s="14"/>
      <c r="I6" s="14"/>
    </row>
    <row r="7" spans="1:9" x14ac:dyDescent="0.3">
      <c r="A7" s="15">
        <v>1001</v>
      </c>
      <c r="B7" s="15" t="s">
        <v>101</v>
      </c>
      <c r="C7" s="15">
        <v>50000</v>
      </c>
      <c r="E7" s="15" t="s">
        <v>101</v>
      </c>
      <c r="F7">
        <f>SUMIF(B7:B13,E7,C7:C13)</f>
        <v>50000</v>
      </c>
    </row>
    <row r="8" spans="1:9" x14ac:dyDescent="0.3">
      <c r="A8" s="15">
        <v>1002</v>
      </c>
      <c r="B8" s="15" t="s">
        <v>102</v>
      </c>
      <c r="C8" s="15">
        <v>60000</v>
      </c>
      <c r="E8" s="15" t="s">
        <v>102</v>
      </c>
      <c r="F8">
        <f>SUMIF(B8:B14,E8,C8:C14)</f>
        <v>60000</v>
      </c>
    </row>
    <row r="9" spans="1:9" x14ac:dyDescent="0.3">
      <c r="A9" s="15">
        <v>1003</v>
      </c>
      <c r="B9" s="15" t="s">
        <v>103</v>
      </c>
      <c r="C9" s="15">
        <v>70000</v>
      </c>
      <c r="E9" s="15" t="s">
        <v>103</v>
      </c>
      <c r="F9">
        <f t="shared" ref="F9:F13" si="0">SUMIF(B9:B15,E9,C9:C15)</f>
        <v>70000</v>
      </c>
    </row>
    <row r="10" spans="1:9" x14ac:dyDescent="0.3">
      <c r="A10" s="15">
        <v>1004</v>
      </c>
      <c r="B10" s="15" t="s">
        <v>104</v>
      </c>
      <c r="C10" s="15">
        <v>50000</v>
      </c>
      <c r="E10" s="15" t="s">
        <v>104</v>
      </c>
      <c r="F10">
        <f t="shared" si="0"/>
        <v>50000</v>
      </c>
    </row>
    <row r="11" spans="1:9" x14ac:dyDescent="0.3">
      <c r="A11" s="15">
        <v>1005</v>
      </c>
      <c r="B11" s="15" t="s">
        <v>105</v>
      </c>
      <c r="C11" s="15">
        <v>10000</v>
      </c>
      <c r="E11" s="15" t="s">
        <v>105</v>
      </c>
      <c r="F11">
        <f t="shared" si="0"/>
        <v>10000</v>
      </c>
    </row>
    <row r="12" spans="1:9" x14ac:dyDescent="0.3">
      <c r="A12" s="15">
        <v>1006</v>
      </c>
      <c r="B12" s="15" t="s">
        <v>106</v>
      </c>
      <c r="C12" s="15">
        <v>10000</v>
      </c>
      <c r="E12" s="15" t="s">
        <v>106</v>
      </c>
      <c r="F12">
        <f t="shared" si="0"/>
        <v>10000</v>
      </c>
    </row>
    <row r="13" spans="1:9" x14ac:dyDescent="0.3">
      <c r="A13" s="15">
        <v>1007</v>
      </c>
      <c r="B13" s="15" t="s">
        <v>107</v>
      </c>
      <c r="C13" s="15">
        <v>30000</v>
      </c>
      <c r="E13" s="15" t="s">
        <v>107</v>
      </c>
      <c r="F13">
        <f t="shared" si="0"/>
        <v>30000</v>
      </c>
    </row>
    <row r="14" spans="1:9" x14ac:dyDescent="0.3">
      <c r="C14" s="55"/>
    </row>
    <row r="17" spans="5:6" x14ac:dyDescent="0.3">
      <c r="E17" t="s">
        <v>101</v>
      </c>
      <c r="F17">
        <f>SUMIF(B7:B13,E17,C7:C13)</f>
        <v>50000</v>
      </c>
    </row>
  </sheetData>
  <mergeCells count="1">
    <mergeCell ref="A2:D2"/>
  </mergeCells>
  <dataValidations count="1">
    <dataValidation type="list" allowBlank="1" showInputMessage="1" showErrorMessage="1" sqref="E17" xr:uid="{92297058-67A1-4C61-ADE5-CFF1F1603D55}">
      <formula1>$B$7:$B$13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zoomScale="130" zoomScaleNormal="130" workbookViewId="0">
      <selection activeCell="I14" sqref="I14"/>
    </sheetView>
  </sheetViews>
  <sheetFormatPr defaultColWidth="9.109375" defaultRowHeight="14.4" x14ac:dyDescent="0.3"/>
  <cols>
    <col min="3" max="3" width="18.109375" customWidth="1"/>
    <col min="6" max="6" width="10.44140625" bestFit="1" customWidth="1"/>
    <col min="10" max="10" width="21.44140625" customWidth="1"/>
    <col min="11" max="11" width="10.44140625" bestFit="1" customWidth="1"/>
  </cols>
  <sheetData>
    <row r="1" spans="1:20" ht="20.100000000000001" customHeight="1" x14ac:dyDescent="0.4">
      <c r="A1" s="43"/>
      <c r="B1" s="59" t="s">
        <v>138</v>
      </c>
      <c r="C1" s="59"/>
      <c r="D1" s="59"/>
      <c r="E1" s="59"/>
      <c r="F1" s="59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0.100000000000001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20.100000000000001" customHeight="1" x14ac:dyDescent="0.3">
      <c r="A3" s="43"/>
      <c r="B3" s="44" t="s">
        <v>1</v>
      </c>
      <c r="C3" s="45" t="s">
        <v>127</v>
      </c>
      <c r="D3" s="45" t="s">
        <v>128</v>
      </c>
      <c r="E3" s="45" t="s">
        <v>129</v>
      </c>
      <c r="F3" s="45" t="s">
        <v>130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20.100000000000001" customHeight="1" x14ac:dyDescent="0.3">
      <c r="A4" s="43"/>
      <c r="B4" s="44" t="s">
        <v>29</v>
      </c>
      <c r="C4" s="47" t="s">
        <v>131</v>
      </c>
      <c r="D4" s="46">
        <v>45020</v>
      </c>
      <c r="E4" s="46">
        <v>10</v>
      </c>
      <c r="F4" s="46">
        <v>450200</v>
      </c>
      <c r="G4" s="43"/>
      <c r="H4" s="43"/>
      <c r="I4" s="44" t="s">
        <v>1</v>
      </c>
      <c r="J4" s="44" t="s">
        <v>127</v>
      </c>
      <c r="K4" s="45" t="s">
        <v>130</v>
      </c>
      <c r="L4" s="43"/>
      <c r="M4" s="43">
        <f>SUMIFS(F4:F14,B4:B14,I5,C4:C14,J5)</f>
        <v>1308200</v>
      </c>
      <c r="N4" s="43"/>
      <c r="O4" s="43"/>
      <c r="P4" s="43"/>
      <c r="Q4" s="43"/>
      <c r="R4" s="43"/>
      <c r="S4" s="43"/>
      <c r="T4" s="43"/>
    </row>
    <row r="5" spans="1:20" ht="20.100000000000001" customHeight="1" x14ac:dyDescent="0.3">
      <c r="A5" s="43"/>
      <c r="B5" s="44" t="s">
        <v>132</v>
      </c>
      <c r="C5" s="47" t="s">
        <v>133</v>
      </c>
      <c r="D5" s="46">
        <v>40000</v>
      </c>
      <c r="E5" s="46">
        <v>6</v>
      </c>
      <c r="F5" s="46">
        <v>240000</v>
      </c>
      <c r="G5" s="43"/>
      <c r="H5" s="43"/>
      <c r="I5" s="44" t="s">
        <v>29</v>
      </c>
      <c r="J5" s="47" t="s">
        <v>131</v>
      </c>
      <c r="K5" s="47">
        <f>SUMIFS(F4:F14,B4:B14,I5,C4:C14,J5)</f>
        <v>1308200</v>
      </c>
      <c r="L5" s="43"/>
      <c r="M5" s="43"/>
      <c r="N5" s="43"/>
      <c r="O5" s="43"/>
      <c r="P5" s="43"/>
      <c r="Q5" s="43"/>
      <c r="R5" s="43"/>
      <c r="S5" s="43"/>
      <c r="T5" s="43"/>
    </row>
    <row r="6" spans="1:20" ht="20.100000000000001" customHeight="1" x14ac:dyDescent="0.3">
      <c r="A6" s="43"/>
      <c r="B6" s="44" t="s">
        <v>29</v>
      </c>
      <c r="C6" s="47" t="s">
        <v>134</v>
      </c>
      <c r="D6" s="46">
        <v>60000</v>
      </c>
      <c r="E6" s="46">
        <v>7</v>
      </c>
      <c r="F6" s="46">
        <v>420000</v>
      </c>
      <c r="G6" s="43"/>
      <c r="H6" s="43"/>
      <c r="I6" s="44" t="s">
        <v>132</v>
      </c>
      <c r="J6" s="47" t="s">
        <v>133</v>
      </c>
      <c r="K6" s="47">
        <f>SUMIFS(F5:F15,B5:B15,I6,C5:C15,J6)</f>
        <v>690000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ht="20.100000000000001" customHeight="1" x14ac:dyDescent="0.3">
      <c r="A7" s="43"/>
      <c r="B7" s="44" t="s">
        <v>135</v>
      </c>
      <c r="C7" s="47" t="s">
        <v>131</v>
      </c>
      <c r="D7" s="46">
        <v>78000</v>
      </c>
      <c r="E7" s="46">
        <v>8</v>
      </c>
      <c r="F7" s="46">
        <v>624000</v>
      </c>
      <c r="G7" s="43"/>
      <c r="H7" s="43"/>
      <c r="I7" s="44" t="s">
        <v>14</v>
      </c>
      <c r="J7" s="47" t="s">
        <v>134</v>
      </c>
      <c r="K7" s="47">
        <f t="shared" ref="K7" si="0">SUMIFS(F6:F16,B6:B16,I7,C6:C16,J7)</f>
        <v>960000</v>
      </c>
      <c r="L7" s="43"/>
      <c r="M7" s="43"/>
      <c r="N7" s="43"/>
      <c r="O7" s="43"/>
      <c r="P7" s="43"/>
      <c r="Q7" s="43"/>
      <c r="R7" s="43"/>
      <c r="S7" s="43"/>
      <c r="T7" s="43"/>
    </row>
    <row r="8" spans="1:20" ht="20.100000000000001" customHeight="1" x14ac:dyDescent="0.3">
      <c r="A8" s="43"/>
      <c r="B8" s="44" t="s">
        <v>132</v>
      </c>
      <c r="C8" s="47" t="s">
        <v>133</v>
      </c>
      <c r="D8" s="46">
        <v>50000</v>
      </c>
      <c r="E8" s="46">
        <v>9</v>
      </c>
      <c r="F8" s="46">
        <v>450000</v>
      </c>
      <c r="G8" s="43"/>
      <c r="H8" s="43"/>
      <c r="I8" s="43"/>
      <c r="J8" s="43"/>
      <c r="K8" s="43">
        <f>SUM(K5:K7)</f>
        <v>2958200</v>
      </c>
      <c r="L8" s="43"/>
      <c r="M8" s="43"/>
      <c r="N8" s="43"/>
      <c r="O8" s="43"/>
      <c r="P8" s="43"/>
      <c r="Q8" s="43"/>
      <c r="R8" s="43"/>
      <c r="S8" s="43"/>
      <c r="T8" s="43"/>
    </row>
    <row r="9" spans="1:20" ht="20.100000000000001" customHeight="1" x14ac:dyDescent="0.3">
      <c r="A9" s="43"/>
      <c r="B9" s="44" t="s">
        <v>14</v>
      </c>
      <c r="C9" s="47" t="s">
        <v>134</v>
      </c>
      <c r="D9" s="46">
        <v>80000</v>
      </c>
      <c r="E9" s="46">
        <v>4</v>
      </c>
      <c r="F9" s="46">
        <v>320000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ht="20.100000000000001" customHeight="1" x14ac:dyDescent="0.3">
      <c r="A10" s="43"/>
      <c r="B10" s="44" t="s">
        <v>29</v>
      </c>
      <c r="C10" s="47" t="s">
        <v>131</v>
      </c>
      <c r="D10" s="46">
        <v>77000</v>
      </c>
      <c r="E10" s="46">
        <v>6</v>
      </c>
      <c r="F10" s="46">
        <v>462000</v>
      </c>
      <c r="G10" s="43"/>
      <c r="H10" s="43"/>
      <c r="I10" s="43" t="s">
        <v>29</v>
      </c>
      <c r="J10" s="43" t="s">
        <v>134</v>
      </c>
      <c r="K10" s="43">
        <f>SUMIFS(F4:F14,B4:B14,I10,C4:C14,J10)</f>
        <v>420000</v>
      </c>
      <c r="L10" s="43"/>
      <c r="M10" s="43"/>
      <c r="N10" s="43"/>
      <c r="O10" s="43"/>
      <c r="P10" s="43"/>
      <c r="Q10" s="43"/>
      <c r="R10" s="43"/>
      <c r="S10" s="43"/>
      <c r="T10" s="43"/>
    </row>
    <row r="11" spans="1:20" ht="20.100000000000001" customHeight="1" x14ac:dyDescent="0.3">
      <c r="A11" s="43"/>
      <c r="B11" s="44" t="s">
        <v>136</v>
      </c>
      <c r="C11" s="47" t="s">
        <v>133</v>
      </c>
      <c r="D11" s="46">
        <v>55000</v>
      </c>
      <c r="E11" s="46">
        <v>7</v>
      </c>
      <c r="F11" s="46">
        <v>385000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ht="20.100000000000001" customHeight="1" x14ac:dyDescent="0.3">
      <c r="A12" s="43"/>
      <c r="B12" s="44" t="s">
        <v>14</v>
      </c>
      <c r="C12" s="47" t="s">
        <v>134</v>
      </c>
      <c r="D12" s="46">
        <v>80000</v>
      </c>
      <c r="E12" s="46">
        <v>8</v>
      </c>
      <c r="F12" s="46">
        <v>640000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ht="20.100000000000001" customHeight="1" x14ac:dyDescent="0.3">
      <c r="A13" s="43"/>
      <c r="B13" s="44" t="s">
        <v>29</v>
      </c>
      <c r="C13" s="47" t="s">
        <v>131</v>
      </c>
      <c r="D13" s="46">
        <v>44000</v>
      </c>
      <c r="E13" s="46">
        <v>9</v>
      </c>
      <c r="F13" s="46">
        <v>396000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ht="20.100000000000001" customHeight="1" x14ac:dyDescent="0.3">
      <c r="A14" s="43"/>
      <c r="B14" s="44" t="s">
        <v>137</v>
      </c>
      <c r="C14" s="47" t="s">
        <v>133</v>
      </c>
      <c r="D14" s="46">
        <v>55000</v>
      </c>
      <c r="E14" s="46">
        <v>10</v>
      </c>
      <c r="F14" s="46">
        <v>550000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ht="20.100000000000001" customHeight="1" x14ac:dyDescent="0.3">
      <c r="A15" s="43"/>
      <c r="B15" s="43"/>
      <c r="C15" s="43"/>
      <c r="D15" s="43"/>
      <c r="E15" s="43"/>
      <c r="F15" s="43">
        <f>SUM(F4:F14)</f>
        <v>4937200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ht="20.100000000000001" customHeight="1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 ht="20.100000000000001" customHeight="1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ht="20.100000000000001" customHeight="1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ht="20.100000000000001" customHeight="1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ht="20.100000000000001" customHeight="1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ht="20.100000000000001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ht="20.100000000000001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ht="20.100000000000001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 ht="20.100000000000001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 ht="20.100000000000001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ht="20.100000000000001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 ht="20.100000000000001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ht="20.100000000000001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ht="20.100000000000001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1:20" ht="20.100000000000001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 ht="20.100000000000001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 ht="20.100000000000001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ht="20.100000000000001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ht="20.100000000000001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ht="20.100000000000001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ht="20.100000000000001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ht="20.100000000000001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ht="20.100000000000001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ht="20.100000000000001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ht="20.100000000000001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ht="20.100000000000001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ht="20.100000000000001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ht="20.100000000000001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 ht="20.100000000000001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ht="20.100000000000001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ht="20.100000000000001" customHeight="1" x14ac:dyDescent="0.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ht="20.100000000000001" customHeight="1" x14ac:dyDescent="0.3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 ht="20.100000000000001" customHeight="1" x14ac:dyDescent="0.3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 ht="20.100000000000001" customHeight="1" x14ac:dyDescent="0.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ht="20.100000000000001" customHeight="1" x14ac:dyDescent="0.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 ht="20.100000000000001" customHeight="1" x14ac:dyDescent="0.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ht="20.100000000000001" customHeight="1" x14ac:dyDescent="0.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 ht="20.100000000000001" customHeight="1" x14ac:dyDescent="0.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 spans="1:20" ht="20.100000000000001" customHeight="1" x14ac:dyDescent="0.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 spans="1:20" ht="20.100000000000001" customHeight="1" x14ac:dyDescent="0.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 ht="20.100000000000001" customHeight="1" x14ac:dyDescent="0.3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 ht="20.100000000000001" customHeight="1" x14ac:dyDescent="0.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 ht="20.100000000000001" customHeight="1" x14ac:dyDescent="0.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 ht="20.100000000000001" customHeight="1" x14ac:dyDescent="0.3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 ht="20.100000000000001" customHeight="1" x14ac:dyDescent="0.3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 ht="20.100000000000001" customHeight="1" x14ac:dyDescent="0.3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 ht="20.100000000000001" customHeight="1" x14ac:dyDescent="0.3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 ht="20.100000000000001" customHeight="1" x14ac:dyDescent="0.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 ht="20.100000000000001" customHeight="1" x14ac:dyDescent="0.3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 ht="20.100000000000001" customHeight="1" x14ac:dyDescent="0.3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 ht="20.100000000000001" customHeight="1" x14ac:dyDescent="0.3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0" ht="20.100000000000001" customHeight="1" x14ac:dyDescent="0.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 spans="1:20" ht="20.100000000000001" customHeight="1" x14ac:dyDescent="0.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 spans="1:20" ht="20.100000000000001" customHeight="1" x14ac:dyDescent="0.3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 spans="1:20" ht="20.100000000000001" customHeight="1" x14ac:dyDescent="0.3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 spans="1:20" ht="20.100000000000001" customHeight="1" x14ac:dyDescent="0.3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 spans="1:20" ht="20.100000000000001" customHeight="1" x14ac:dyDescent="0.3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 spans="1:20" ht="20.100000000000001" customHeight="1" x14ac:dyDescent="0.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 spans="1:20" ht="20.100000000000001" customHeight="1" x14ac:dyDescent="0.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 spans="1:20" ht="20.100000000000001" customHeight="1" x14ac:dyDescent="0.3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 spans="1:20" ht="20.100000000000001" customHeight="1" x14ac:dyDescent="0.3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 spans="1:20" ht="20.100000000000001" customHeight="1" x14ac:dyDescent="0.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 spans="1:20" ht="20.100000000000001" customHeight="1" x14ac:dyDescent="0.3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  <row r="79" spans="1:20" ht="20.100000000000001" customHeight="1" x14ac:dyDescent="0.3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</row>
    <row r="80" spans="1:20" ht="20.100000000000001" customHeight="1" x14ac:dyDescent="0.3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</row>
    <row r="81" spans="1:20" ht="20.100000000000001" customHeight="1" x14ac:dyDescent="0.3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</row>
    <row r="82" spans="1:20" ht="20.100000000000001" customHeight="1" x14ac:dyDescent="0.3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0" ht="20.100000000000001" customHeight="1" x14ac:dyDescent="0.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 spans="1:20" ht="20.100000000000001" customHeight="1" x14ac:dyDescent="0.3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 spans="1:20" ht="20.100000000000001" customHeight="1" x14ac:dyDescent="0.3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</row>
    <row r="86" spans="1:20" ht="20.100000000000001" customHeight="1" x14ac:dyDescent="0.3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</row>
    <row r="87" spans="1:20" ht="20.100000000000001" customHeight="1" x14ac:dyDescent="0.3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</row>
    <row r="88" spans="1:20" ht="20.100000000000001" customHeight="1" x14ac:dyDescent="0.3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</row>
    <row r="89" spans="1:20" ht="20.100000000000001" customHeight="1" x14ac:dyDescent="0.3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</row>
    <row r="90" spans="1:20" ht="20.100000000000001" customHeight="1" x14ac:dyDescent="0.3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</row>
    <row r="91" spans="1:20" ht="20.100000000000001" customHeight="1" x14ac:dyDescent="0.3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</row>
    <row r="92" spans="1:20" ht="20.100000000000001" customHeight="1" x14ac:dyDescent="0.3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</row>
    <row r="93" spans="1:20" ht="20.100000000000001" customHeight="1" x14ac:dyDescent="0.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</row>
    <row r="94" spans="1:20" ht="20.100000000000001" customHeight="1" x14ac:dyDescent="0.3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</row>
    <row r="95" spans="1:20" ht="20.100000000000001" customHeight="1" x14ac:dyDescent="0.3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</row>
    <row r="96" spans="1:20" ht="20.100000000000001" customHeight="1" x14ac:dyDescent="0.3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</row>
    <row r="97" spans="1:20" ht="20.100000000000001" customHeight="1" x14ac:dyDescent="0.3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</row>
    <row r="98" spans="1:20" ht="20.100000000000001" customHeight="1" x14ac:dyDescent="0.3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</row>
    <row r="99" spans="1:20" ht="20.100000000000001" customHeight="1" x14ac:dyDescent="0.3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</row>
    <row r="100" spans="1:20" ht="20.100000000000001" customHeight="1" x14ac:dyDescent="0.3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</row>
    <row r="101" spans="1:20" ht="20.100000000000001" customHeight="1" x14ac:dyDescent="0.3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</row>
    <row r="102" spans="1:20" ht="20.100000000000001" customHeight="1" x14ac:dyDescent="0.3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</row>
    <row r="103" spans="1:20" ht="20.100000000000001" customHeight="1" x14ac:dyDescent="0.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</row>
    <row r="104" spans="1:20" ht="20.100000000000001" customHeight="1" x14ac:dyDescent="0.3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</row>
    <row r="105" spans="1:20" ht="20.100000000000001" customHeight="1" x14ac:dyDescent="0.3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</row>
    <row r="106" spans="1:20" ht="20.100000000000001" customHeight="1" x14ac:dyDescent="0.3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</row>
    <row r="107" spans="1:20" ht="20.100000000000001" customHeight="1" x14ac:dyDescent="0.3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</row>
    <row r="108" spans="1:20" ht="20.100000000000001" customHeight="1" x14ac:dyDescent="0.3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 spans="1:20" ht="20.100000000000001" customHeight="1" x14ac:dyDescent="0.3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  <row r="110" spans="1:20" ht="20.100000000000001" customHeight="1" x14ac:dyDescent="0.3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</row>
    <row r="111" spans="1:20" ht="20.100000000000001" customHeight="1" x14ac:dyDescent="0.3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</row>
    <row r="112" spans="1:20" ht="20.100000000000001" customHeight="1" x14ac:dyDescent="0.3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</row>
    <row r="113" spans="1:20" ht="20.100000000000001" customHeight="1" x14ac:dyDescent="0.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</row>
    <row r="114" spans="1:20" ht="20.100000000000001" customHeight="1" x14ac:dyDescent="0.3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</row>
    <row r="115" spans="1:20" ht="20.100000000000001" customHeight="1" x14ac:dyDescent="0.3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</row>
    <row r="116" spans="1:20" ht="20.100000000000001" customHeight="1" x14ac:dyDescent="0.3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</row>
    <row r="117" spans="1:20" ht="20.100000000000001" customHeight="1" x14ac:dyDescent="0.3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</row>
    <row r="118" spans="1:20" ht="20.100000000000001" customHeight="1" x14ac:dyDescent="0.3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</row>
    <row r="119" spans="1:20" ht="20.100000000000001" customHeight="1" x14ac:dyDescent="0.3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</row>
    <row r="120" spans="1:20" ht="20.100000000000001" customHeight="1" x14ac:dyDescent="0.3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</row>
    <row r="121" spans="1:20" ht="20.100000000000001" customHeight="1" x14ac:dyDescent="0.3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</row>
    <row r="122" spans="1:20" ht="20.100000000000001" customHeight="1" x14ac:dyDescent="0.3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</row>
    <row r="123" spans="1:20" ht="20.100000000000001" customHeight="1" x14ac:dyDescent="0.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1:20" ht="20.100000000000001" customHeight="1" x14ac:dyDescent="0.3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ht="20.100000000000001" customHeight="1" x14ac:dyDescent="0.3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1:20" ht="20.100000000000001" customHeight="1" x14ac:dyDescent="0.3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1:20" ht="20.100000000000001" customHeight="1" x14ac:dyDescent="0.3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1:20" ht="20.100000000000001" customHeight="1" x14ac:dyDescent="0.3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1:20" ht="20.100000000000001" customHeight="1" x14ac:dyDescent="0.3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1:20" ht="20.100000000000001" customHeight="1" x14ac:dyDescent="0.3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1:20" ht="20.100000000000001" customHeight="1" x14ac:dyDescent="0.3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1:20" ht="20.100000000000001" customHeight="1" x14ac:dyDescent="0.3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1:20" ht="20.100000000000001" customHeight="1" x14ac:dyDescent="0.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1:20" ht="20.100000000000001" customHeight="1" x14ac:dyDescent="0.3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1:20" ht="20.100000000000001" customHeight="1" x14ac:dyDescent="0.3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1:20" ht="20.100000000000001" customHeight="1" x14ac:dyDescent="0.3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</row>
    <row r="137" spans="1:20" ht="20.100000000000001" customHeight="1" x14ac:dyDescent="0.3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</row>
    <row r="138" spans="1:20" ht="20.100000000000001" customHeight="1" x14ac:dyDescent="0.3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1:20" ht="20.100000000000001" customHeight="1" x14ac:dyDescent="0.3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1:20" ht="20.100000000000001" customHeight="1" x14ac:dyDescent="0.3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1:20" ht="20.100000000000001" customHeight="1" x14ac:dyDescent="0.3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1:20" ht="20.100000000000001" customHeight="1" x14ac:dyDescent="0.3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1:20" ht="20.100000000000001" customHeight="1" x14ac:dyDescent="0.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1:20" ht="20.100000000000001" customHeight="1" x14ac:dyDescent="0.3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1:20" ht="20.100000000000001" customHeight="1" x14ac:dyDescent="0.3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1:20" ht="20.100000000000001" customHeight="1" x14ac:dyDescent="0.3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</row>
    <row r="147" spans="1:20" ht="20.100000000000001" customHeight="1" x14ac:dyDescent="0.3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1:20" ht="20.100000000000001" customHeight="1" x14ac:dyDescent="0.3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1:20" ht="20.100000000000001" customHeight="1" x14ac:dyDescent="0.3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1:20" ht="20.100000000000001" customHeight="1" x14ac:dyDescent="0.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1:20" ht="20.100000000000001" customHeight="1" x14ac:dyDescent="0.3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1:20" ht="20.100000000000001" customHeight="1" x14ac:dyDescent="0.3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1:20" ht="20.100000000000001" customHeight="1" x14ac:dyDescent="0.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1:20" ht="20.100000000000001" customHeight="1" x14ac:dyDescent="0.3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1:20" ht="20.100000000000001" customHeight="1" x14ac:dyDescent="0.3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1:20" ht="20.100000000000001" customHeight="1" x14ac:dyDescent="0.3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1:20" ht="20.100000000000001" customHeight="1" x14ac:dyDescent="0.3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1:20" ht="20.100000000000001" customHeight="1" x14ac:dyDescent="0.3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1:20" ht="20.100000000000001" customHeight="1" x14ac:dyDescent="0.3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1:20" ht="20.100000000000001" customHeight="1" x14ac:dyDescent="0.3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</row>
    <row r="161" spans="1:20" ht="20.100000000000001" customHeight="1" x14ac:dyDescent="0.3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</row>
    <row r="162" spans="1:20" ht="20.100000000000001" customHeight="1" x14ac:dyDescent="0.3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</row>
    <row r="163" spans="1:20" ht="20.100000000000001" customHeight="1" x14ac:dyDescent="0.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</row>
    <row r="164" spans="1:20" ht="20.100000000000001" customHeight="1" x14ac:dyDescent="0.3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</row>
    <row r="165" spans="1:20" ht="20.100000000000001" customHeight="1" x14ac:dyDescent="0.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</row>
    <row r="166" spans="1:20" ht="20.100000000000001" customHeight="1" x14ac:dyDescent="0.3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</row>
    <row r="167" spans="1:20" ht="20.100000000000001" customHeight="1" x14ac:dyDescent="0.3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1:20" ht="20.100000000000001" customHeight="1" x14ac:dyDescent="0.3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1:20" ht="20.100000000000001" customHeight="1" x14ac:dyDescent="0.3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1:20" ht="20.100000000000001" customHeight="1" x14ac:dyDescent="0.3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1:20" ht="20.100000000000001" customHeight="1" x14ac:dyDescent="0.3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1:20" ht="20.100000000000001" customHeight="1" x14ac:dyDescent="0.3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1:20" ht="20.100000000000001" customHeight="1" x14ac:dyDescent="0.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1:20" ht="20.100000000000001" customHeight="1" x14ac:dyDescent="0.3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1:20" ht="20.100000000000001" customHeight="1" x14ac:dyDescent="0.3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1:20" ht="20.100000000000001" customHeight="1" x14ac:dyDescent="0.3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1:20" ht="20.100000000000001" customHeight="1" x14ac:dyDescent="0.3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</row>
    <row r="178" spans="1:20" ht="20.100000000000001" customHeight="1" x14ac:dyDescent="0.3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1:20" ht="20.100000000000001" customHeight="1" x14ac:dyDescent="0.3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1:20" ht="20.100000000000001" customHeight="1" x14ac:dyDescent="0.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1:20" ht="20.100000000000001" customHeight="1" x14ac:dyDescent="0.3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1:20" ht="20.100000000000001" customHeight="1" x14ac:dyDescent="0.3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1:20" ht="20.100000000000001" customHeight="1" x14ac:dyDescent="0.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1:20" ht="20.100000000000001" customHeight="1" x14ac:dyDescent="0.3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</row>
    <row r="185" spans="1:20" ht="20.100000000000001" customHeight="1" x14ac:dyDescent="0.3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1:20" ht="20.100000000000001" customHeight="1" x14ac:dyDescent="0.3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1:20" ht="20.100000000000001" customHeight="1" x14ac:dyDescent="0.3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1:20" ht="20.100000000000001" customHeight="1" x14ac:dyDescent="0.3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1:20" ht="20.100000000000001" customHeight="1" x14ac:dyDescent="0.3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1:20" ht="20.100000000000001" customHeight="1" x14ac:dyDescent="0.3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1:20" ht="20.100000000000001" customHeight="1" x14ac:dyDescent="0.3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1:20" ht="20.100000000000001" customHeight="1" x14ac:dyDescent="0.3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1:20" ht="20.100000000000001" customHeight="1" x14ac:dyDescent="0.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1:20" ht="20.100000000000001" customHeight="1" x14ac:dyDescent="0.3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1:20" ht="20.100000000000001" customHeight="1" x14ac:dyDescent="0.3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1:20" ht="20.100000000000001" customHeight="1" x14ac:dyDescent="0.3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1:20" ht="20.100000000000001" customHeight="1" x14ac:dyDescent="0.3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1:20" ht="20.100000000000001" customHeight="1" x14ac:dyDescent="0.3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1:20" ht="20.100000000000001" customHeight="1" x14ac:dyDescent="0.3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1:20" ht="20.100000000000001" customHeight="1" x14ac:dyDescent="0.3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</row>
    <row r="201" spans="1:20" ht="20.100000000000001" customHeight="1" x14ac:dyDescent="0.3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1:20" ht="20.100000000000001" customHeight="1" x14ac:dyDescent="0.3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1:20" ht="20.100000000000001" customHeight="1" x14ac:dyDescent="0.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1:20" ht="20.100000000000001" customHeight="1" x14ac:dyDescent="0.3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1:20" ht="20.100000000000001" customHeight="1" x14ac:dyDescent="0.3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1:20" ht="20.100000000000001" customHeight="1" x14ac:dyDescent="0.3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1:20" ht="20.100000000000001" customHeight="1" x14ac:dyDescent="0.3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1:20" ht="20.100000000000001" customHeight="1" x14ac:dyDescent="0.3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1:20" ht="20.100000000000001" customHeight="1" x14ac:dyDescent="0.3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1:20" ht="20.100000000000001" customHeight="1" x14ac:dyDescent="0.3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1:20" ht="20.100000000000001" customHeight="1" x14ac:dyDescent="0.3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1:20" ht="20.100000000000001" customHeight="1" x14ac:dyDescent="0.3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1:20" ht="20.100000000000001" customHeight="1" x14ac:dyDescent="0.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</row>
    <row r="214" spans="1:20" ht="20.100000000000001" customHeight="1" x14ac:dyDescent="0.3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</row>
    <row r="215" spans="1:20" ht="20.100000000000001" customHeight="1" x14ac:dyDescent="0.3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</row>
    <row r="216" spans="1:20" ht="20.100000000000001" customHeight="1" x14ac:dyDescent="0.3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</row>
    <row r="217" spans="1:20" ht="20.100000000000001" customHeight="1" x14ac:dyDescent="0.3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</row>
    <row r="218" spans="1:20" ht="20.100000000000001" customHeight="1" x14ac:dyDescent="0.3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1:20" ht="20.100000000000001" customHeight="1" x14ac:dyDescent="0.3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1:20" ht="20.100000000000001" customHeight="1" x14ac:dyDescent="0.3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1:20" ht="20.100000000000001" customHeight="1" x14ac:dyDescent="0.3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1:20" ht="20.100000000000001" customHeight="1" x14ac:dyDescent="0.3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1:20" ht="20.100000000000001" customHeight="1" x14ac:dyDescent="0.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1:20" ht="20.100000000000001" customHeight="1" x14ac:dyDescent="0.3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</row>
    <row r="225" spans="1:20" ht="20.100000000000001" customHeight="1" x14ac:dyDescent="0.3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1:20" ht="20.100000000000001" customHeight="1" x14ac:dyDescent="0.3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1:20" ht="20.100000000000001" customHeight="1" x14ac:dyDescent="0.3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1:20" ht="20.100000000000001" customHeight="1" x14ac:dyDescent="0.3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1:20" ht="20.100000000000001" customHeight="1" x14ac:dyDescent="0.3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1:20" ht="20.100000000000001" customHeight="1" x14ac:dyDescent="0.3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1:20" ht="20.100000000000001" customHeight="1" x14ac:dyDescent="0.3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1:20" ht="20.100000000000001" customHeight="1" x14ac:dyDescent="0.3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</row>
    <row r="233" spans="1:20" ht="20.100000000000001" customHeight="1" x14ac:dyDescent="0.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1:20" ht="20.100000000000001" customHeight="1" x14ac:dyDescent="0.3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1:20" ht="20.100000000000001" customHeight="1" x14ac:dyDescent="0.3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</row>
    <row r="236" spans="1:20" ht="20.100000000000001" customHeight="1" x14ac:dyDescent="0.3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1:20" ht="20.100000000000001" customHeight="1" x14ac:dyDescent="0.3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1:20" ht="20.100000000000001" customHeight="1" x14ac:dyDescent="0.3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1:20" ht="20.100000000000001" customHeight="1" x14ac:dyDescent="0.3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</row>
    <row r="240" spans="1:20" ht="20.100000000000001" customHeight="1" x14ac:dyDescent="0.3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</row>
    <row r="241" spans="1:20" ht="20.100000000000001" customHeight="1" x14ac:dyDescent="0.3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</row>
    <row r="242" spans="1:20" ht="20.100000000000001" customHeight="1" x14ac:dyDescent="0.3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</row>
    <row r="243" spans="1:20" ht="20.100000000000001" customHeight="1" x14ac:dyDescent="0.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</row>
    <row r="244" spans="1:20" ht="20.100000000000001" customHeight="1" x14ac:dyDescent="0.3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</row>
    <row r="245" spans="1:20" ht="20.100000000000001" customHeight="1" x14ac:dyDescent="0.3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</row>
    <row r="246" spans="1:20" ht="20.100000000000001" customHeight="1" x14ac:dyDescent="0.3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</row>
    <row r="247" spans="1:20" ht="20.100000000000001" customHeight="1" x14ac:dyDescent="0.3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</row>
    <row r="248" spans="1:20" ht="20.100000000000001" customHeight="1" x14ac:dyDescent="0.3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</row>
    <row r="249" spans="1:20" ht="20.100000000000001" customHeight="1" x14ac:dyDescent="0.3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</row>
    <row r="250" spans="1:20" ht="20.100000000000001" customHeight="1" x14ac:dyDescent="0.3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</row>
    <row r="251" spans="1:20" ht="20.100000000000001" customHeight="1" x14ac:dyDescent="0.3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</row>
    <row r="252" spans="1:20" ht="20.100000000000001" customHeight="1" x14ac:dyDescent="0.3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</row>
    <row r="253" spans="1:20" ht="20.100000000000001" customHeight="1" x14ac:dyDescent="0.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</row>
    <row r="254" spans="1:20" ht="20.100000000000001" customHeight="1" x14ac:dyDescent="0.3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</row>
    <row r="255" spans="1:20" ht="20.100000000000001" customHeight="1" x14ac:dyDescent="0.3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</row>
    <row r="256" spans="1:20" ht="20.100000000000001" customHeight="1" x14ac:dyDescent="0.3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</row>
    <row r="257" spans="1:20" ht="20.100000000000001" customHeight="1" x14ac:dyDescent="0.3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</row>
    <row r="258" spans="1:20" ht="20.100000000000001" customHeight="1" x14ac:dyDescent="0.3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</row>
    <row r="259" spans="1:20" ht="20.100000000000001" customHeight="1" x14ac:dyDescent="0.3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</row>
    <row r="260" spans="1:20" ht="20.100000000000001" customHeight="1" x14ac:dyDescent="0.3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</row>
    <row r="261" spans="1:20" ht="20.100000000000001" customHeight="1" x14ac:dyDescent="0.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</row>
    <row r="262" spans="1:20" ht="20.100000000000001" customHeight="1" x14ac:dyDescent="0.3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</row>
    <row r="263" spans="1:20" ht="20.100000000000001" customHeight="1" x14ac:dyDescent="0.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</row>
    <row r="264" spans="1:20" ht="20.100000000000001" customHeight="1" x14ac:dyDescent="0.3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</row>
    <row r="265" spans="1:20" ht="20.100000000000001" customHeight="1" x14ac:dyDescent="0.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</row>
    <row r="266" spans="1:20" ht="20.100000000000001" customHeight="1" x14ac:dyDescent="0.3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</row>
    <row r="267" spans="1:20" ht="20.100000000000001" customHeight="1" x14ac:dyDescent="0.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</row>
    <row r="268" spans="1:20" ht="20.100000000000001" customHeight="1" x14ac:dyDescent="0.3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</row>
    <row r="269" spans="1:20" ht="20.100000000000001" customHeight="1" x14ac:dyDescent="0.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</row>
    <row r="270" spans="1:20" ht="20.100000000000001" customHeight="1" x14ac:dyDescent="0.3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</row>
    <row r="271" spans="1:20" ht="20.100000000000001" customHeight="1" x14ac:dyDescent="0.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</row>
    <row r="272" spans="1:20" ht="20.100000000000001" customHeight="1" x14ac:dyDescent="0.3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</row>
    <row r="273" spans="1:20" ht="20.100000000000001" customHeight="1" x14ac:dyDescent="0.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</row>
    <row r="274" spans="1:20" ht="20.100000000000001" customHeight="1" x14ac:dyDescent="0.3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</row>
    <row r="275" spans="1:20" ht="20.100000000000001" customHeight="1" x14ac:dyDescent="0.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</row>
    <row r="276" spans="1:20" ht="20.100000000000001" customHeight="1" x14ac:dyDescent="0.3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</row>
    <row r="277" spans="1:20" ht="20.100000000000001" customHeight="1" x14ac:dyDescent="0.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</row>
    <row r="278" spans="1:20" ht="20.100000000000001" customHeight="1" x14ac:dyDescent="0.3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</row>
    <row r="279" spans="1:20" ht="20.100000000000001" customHeight="1" x14ac:dyDescent="0.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</row>
    <row r="280" spans="1:20" ht="20.100000000000001" customHeight="1" x14ac:dyDescent="0.3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</row>
    <row r="281" spans="1:20" ht="20.100000000000001" customHeight="1" x14ac:dyDescent="0.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</row>
    <row r="282" spans="1:20" ht="20.100000000000001" customHeight="1" x14ac:dyDescent="0.3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</row>
    <row r="283" spans="1:20" ht="20.100000000000001" customHeight="1" x14ac:dyDescent="0.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</row>
    <row r="284" spans="1:20" ht="20.100000000000001" customHeight="1" x14ac:dyDescent="0.3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</row>
    <row r="285" spans="1:20" ht="20.100000000000001" customHeight="1" x14ac:dyDescent="0.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</row>
    <row r="286" spans="1:20" ht="20.100000000000001" customHeight="1" x14ac:dyDescent="0.3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</row>
    <row r="287" spans="1:20" ht="20.100000000000001" customHeight="1" x14ac:dyDescent="0.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</row>
    <row r="288" spans="1:20" ht="20.100000000000001" customHeight="1" x14ac:dyDescent="0.3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</row>
    <row r="289" spans="1:20" ht="20.100000000000001" customHeight="1" x14ac:dyDescent="0.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</row>
    <row r="290" spans="1:20" ht="20.100000000000001" customHeight="1" x14ac:dyDescent="0.3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</row>
    <row r="291" spans="1:20" ht="20.100000000000001" customHeight="1" x14ac:dyDescent="0.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</row>
    <row r="292" spans="1:20" ht="20.100000000000001" customHeight="1" x14ac:dyDescent="0.3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</row>
    <row r="293" spans="1:20" ht="20.100000000000001" customHeight="1" x14ac:dyDescent="0.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</row>
    <row r="294" spans="1:20" ht="20.100000000000001" customHeight="1" x14ac:dyDescent="0.3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</row>
    <row r="295" spans="1:20" ht="20.100000000000001" customHeight="1" x14ac:dyDescent="0.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</row>
    <row r="296" spans="1:20" ht="20.100000000000001" customHeight="1" x14ac:dyDescent="0.3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</row>
    <row r="297" spans="1:20" ht="20.100000000000001" customHeight="1" x14ac:dyDescent="0.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</row>
    <row r="298" spans="1:20" ht="20.100000000000001" customHeight="1" x14ac:dyDescent="0.3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</row>
    <row r="299" spans="1:20" ht="20.100000000000001" customHeight="1" x14ac:dyDescent="0.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</row>
    <row r="300" spans="1:20" ht="20.100000000000001" customHeight="1" x14ac:dyDescent="0.3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</row>
    <row r="301" spans="1:20" ht="20.100000000000001" customHeight="1" x14ac:dyDescent="0.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</row>
    <row r="302" spans="1:20" ht="20.100000000000001" customHeight="1" x14ac:dyDescent="0.3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</row>
    <row r="303" spans="1:20" ht="20.100000000000001" customHeight="1" x14ac:dyDescent="0.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</row>
    <row r="304" spans="1:20" ht="20.100000000000001" customHeight="1" x14ac:dyDescent="0.3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</row>
    <row r="305" spans="1:20" ht="20.100000000000001" customHeight="1" x14ac:dyDescent="0.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</row>
    <row r="306" spans="1:20" ht="20.100000000000001" customHeight="1" x14ac:dyDescent="0.3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</row>
    <row r="307" spans="1:20" ht="20.100000000000001" customHeight="1" x14ac:dyDescent="0.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</row>
    <row r="308" spans="1:20" ht="20.100000000000001" customHeight="1" x14ac:dyDescent="0.3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</row>
    <row r="309" spans="1:20" ht="20.100000000000001" customHeight="1" x14ac:dyDescent="0.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</row>
    <row r="310" spans="1:20" ht="20.100000000000001" customHeight="1" x14ac:dyDescent="0.3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</row>
    <row r="311" spans="1:20" ht="20.100000000000001" customHeight="1" x14ac:dyDescent="0.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</row>
    <row r="312" spans="1:20" ht="20.100000000000001" customHeight="1" x14ac:dyDescent="0.3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</row>
    <row r="313" spans="1:20" ht="20.100000000000001" customHeight="1" x14ac:dyDescent="0.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</row>
    <row r="314" spans="1:20" ht="20.100000000000001" customHeight="1" x14ac:dyDescent="0.3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</row>
    <row r="315" spans="1:20" ht="20.100000000000001" customHeight="1" x14ac:dyDescent="0.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</row>
    <row r="316" spans="1:20" ht="20.100000000000001" customHeight="1" x14ac:dyDescent="0.3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</row>
    <row r="317" spans="1:20" ht="20.100000000000001" customHeight="1" x14ac:dyDescent="0.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</row>
    <row r="318" spans="1:20" ht="20.100000000000001" customHeight="1" x14ac:dyDescent="0.3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</row>
    <row r="319" spans="1:20" ht="20.100000000000001" customHeight="1" x14ac:dyDescent="0.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</row>
    <row r="320" spans="1:20" ht="20.100000000000001" customHeight="1" x14ac:dyDescent="0.3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</row>
    <row r="321" spans="1:20" ht="20.100000000000001" customHeight="1" x14ac:dyDescent="0.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</row>
    <row r="322" spans="1:20" ht="20.100000000000001" customHeight="1" x14ac:dyDescent="0.3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</row>
    <row r="323" spans="1:20" ht="20.100000000000001" customHeight="1" x14ac:dyDescent="0.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</row>
    <row r="324" spans="1:20" ht="20.100000000000001" customHeight="1" x14ac:dyDescent="0.3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</row>
    <row r="325" spans="1:20" ht="20.100000000000001" customHeight="1" x14ac:dyDescent="0.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</row>
    <row r="326" spans="1:20" ht="20.100000000000001" customHeight="1" x14ac:dyDescent="0.3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</row>
    <row r="327" spans="1:20" ht="20.100000000000001" customHeight="1" x14ac:dyDescent="0.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</row>
    <row r="328" spans="1:20" ht="20.100000000000001" customHeight="1" x14ac:dyDescent="0.3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</row>
    <row r="329" spans="1:20" ht="20.100000000000001" customHeight="1" x14ac:dyDescent="0.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</row>
    <row r="330" spans="1:20" ht="20.100000000000001" customHeight="1" x14ac:dyDescent="0.3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</row>
    <row r="331" spans="1:20" ht="20.100000000000001" customHeight="1" x14ac:dyDescent="0.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</row>
    <row r="332" spans="1:20" ht="20.100000000000001" customHeight="1" x14ac:dyDescent="0.3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</row>
    <row r="333" spans="1:20" ht="20.100000000000001" customHeight="1" x14ac:dyDescent="0.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</row>
    <row r="334" spans="1:20" ht="20.100000000000001" customHeight="1" x14ac:dyDescent="0.3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</row>
    <row r="335" spans="1:20" ht="20.100000000000001" customHeight="1" x14ac:dyDescent="0.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</row>
    <row r="336" spans="1:20" ht="20.100000000000001" customHeight="1" x14ac:dyDescent="0.3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</row>
    <row r="337" spans="1:20" ht="20.100000000000001" customHeight="1" x14ac:dyDescent="0.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</row>
    <row r="338" spans="1:20" ht="20.100000000000001" customHeight="1" x14ac:dyDescent="0.3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</row>
    <row r="339" spans="1:20" ht="20.100000000000001" customHeight="1" x14ac:dyDescent="0.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</row>
    <row r="340" spans="1:20" ht="20.100000000000001" customHeight="1" x14ac:dyDescent="0.3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</row>
    <row r="341" spans="1:20" ht="20.100000000000001" customHeight="1" x14ac:dyDescent="0.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</row>
    <row r="342" spans="1:20" ht="20.100000000000001" customHeight="1" x14ac:dyDescent="0.3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</row>
    <row r="343" spans="1:20" ht="20.100000000000001" customHeight="1" x14ac:dyDescent="0.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</row>
    <row r="344" spans="1:20" ht="20.100000000000001" customHeight="1" x14ac:dyDescent="0.3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</row>
    <row r="345" spans="1:20" ht="20.100000000000001" customHeight="1" x14ac:dyDescent="0.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</row>
    <row r="346" spans="1:20" ht="20.100000000000001" customHeight="1" x14ac:dyDescent="0.3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</row>
    <row r="347" spans="1:20" ht="20.100000000000001" customHeight="1" x14ac:dyDescent="0.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</row>
    <row r="348" spans="1:20" ht="20.100000000000001" customHeight="1" x14ac:dyDescent="0.3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</row>
    <row r="349" spans="1:20" ht="20.100000000000001" customHeight="1" x14ac:dyDescent="0.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</row>
    <row r="350" spans="1:20" ht="20.100000000000001" customHeight="1" x14ac:dyDescent="0.3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</row>
    <row r="351" spans="1:20" ht="20.100000000000001" customHeight="1" x14ac:dyDescent="0.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</row>
    <row r="352" spans="1:20" ht="20.100000000000001" customHeight="1" x14ac:dyDescent="0.3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</row>
    <row r="353" spans="1:20" ht="20.100000000000001" customHeight="1" x14ac:dyDescent="0.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</row>
    <row r="354" spans="1:20" ht="20.100000000000001" customHeight="1" x14ac:dyDescent="0.3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</row>
    <row r="355" spans="1:20" ht="20.100000000000001" customHeight="1" x14ac:dyDescent="0.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</row>
    <row r="356" spans="1:20" ht="20.100000000000001" customHeight="1" x14ac:dyDescent="0.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</row>
    <row r="357" spans="1:20" ht="20.100000000000001" customHeight="1" x14ac:dyDescent="0.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</row>
    <row r="358" spans="1:20" ht="20.100000000000001" customHeight="1" x14ac:dyDescent="0.3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</row>
    <row r="359" spans="1:20" ht="20.100000000000001" customHeight="1" x14ac:dyDescent="0.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</row>
    <row r="360" spans="1:20" ht="20.100000000000001" customHeight="1" x14ac:dyDescent="0.3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</row>
    <row r="361" spans="1:20" ht="20.100000000000001" customHeight="1" x14ac:dyDescent="0.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</row>
    <row r="362" spans="1:20" ht="20.100000000000001" customHeight="1" x14ac:dyDescent="0.3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</row>
    <row r="363" spans="1:20" ht="20.100000000000001" customHeight="1" x14ac:dyDescent="0.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</row>
    <row r="364" spans="1:20" ht="20.100000000000001" customHeight="1" x14ac:dyDescent="0.3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</row>
    <row r="365" spans="1:20" ht="20.100000000000001" customHeight="1" x14ac:dyDescent="0.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</row>
    <row r="366" spans="1:20" ht="20.100000000000001" customHeight="1" x14ac:dyDescent="0.3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</row>
    <row r="367" spans="1:20" ht="20.100000000000001" customHeight="1" x14ac:dyDescent="0.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</row>
    <row r="368" spans="1:20" ht="20.100000000000001" customHeight="1" x14ac:dyDescent="0.3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</row>
    <row r="369" spans="1:20" ht="20.100000000000001" customHeight="1" x14ac:dyDescent="0.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</row>
    <row r="370" spans="1:20" ht="20.100000000000001" customHeight="1" x14ac:dyDescent="0.3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</row>
    <row r="371" spans="1:20" ht="20.100000000000001" customHeight="1" x14ac:dyDescent="0.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</row>
    <row r="372" spans="1:20" ht="20.100000000000001" customHeight="1" x14ac:dyDescent="0.3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</row>
    <row r="373" spans="1:20" ht="20.100000000000001" customHeight="1" x14ac:dyDescent="0.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</row>
    <row r="374" spans="1:20" ht="20.100000000000001" customHeight="1" x14ac:dyDescent="0.3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</row>
    <row r="375" spans="1:20" ht="20.100000000000001" customHeight="1" x14ac:dyDescent="0.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</row>
    <row r="376" spans="1:20" ht="20.100000000000001" customHeight="1" x14ac:dyDescent="0.3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</row>
    <row r="377" spans="1:20" ht="20.100000000000001" customHeight="1" x14ac:dyDescent="0.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</row>
    <row r="378" spans="1:20" ht="20.100000000000001" customHeight="1" x14ac:dyDescent="0.3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</row>
    <row r="379" spans="1:20" ht="20.100000000000001" customHeight="1" x14ac:dyDescent="0.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</row>
    <row r="380" spans="1:20" ht="20.100000000000001" customHeight="1" x14ac:dyDescent="0.3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</row>
    <row r="381" spans="1:20" ht="20.100000000000001" customHeight="1" x14ac:dyDescent="0.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</row>
    <row r="382" spans="1:20" ht="20.100000000000001" customHeight="1" x14ac:dyDescent="0.3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</row>
    <row r="383" spans="1:20" ht="20.100000000000001" customHeight="1" x14ac:dyDescent="0.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</row>
    <row r="384" spans="1:20" ht="20.100000000000001" customHeight="1" x14ac:dyDescent="0.3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</row>
    <row r="385" spans="1:20" ht="20.100000000000001" customHeight="1" x14ac:dyDescent="0.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</row>
    <row r="386" spans="1:20" ht="20.100000000000001" customHeight="1" x14ac:dyDescent="0.3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</row>
    <row r="387" spans="1:20" ht="20.100000000000001" customHeight="1" x14ac:dyDescent="0.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</row>
    <row r="388" spans="1:20" ht="20.100000000000001" customHeight="1" x14ac:dyDescent="0.3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</row>
    <row r="389" spans="1:20" ht="20.100000000000001" customHeight="1" x14ac:dyDescent="0.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</row>
    <row r="390" spans="1:20" ht="20.100000000000001" customHeight="1" x14ac:dyDescent="0.3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</row>
    <row r="391" spans="1:20" ht="20.100000000000001" customHeight="1" x14ac:dyDescent="0.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</row>
    <row r="392" spans="1:20" ht="20.100000000000001" customHeight="1" x14ac:dyDescent="0.3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</row>
    <row r="393" spans="1:20" ht="20.100000000000001" customHeight="1" x14ac:dyDescent="0.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</row>
    <row r="394" spans="1:20" ht="20.100000000000001" customHeight="1" x14ac:dyDescent="0.3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</row>
    <row r="395" spans="1:20" ht="20.100000000000001" customHeight="1" x14ac:dyDescent="0.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</row>
    <row r="396" spans="1:20" ht="20.100000000000001" customHeight="1" x14ac:dyDescent="0.3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</row>
    <row r="397" spans="1:20" ht="20.100000000000001" customHeight="1" x14ac:dyDescent="0.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</row>
    <row r="398" spans="1:20" ht="20.100000000000001" customHeight="1" x14ac:dyDescent="0.3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</row>
    <row r="399" spans="1:20" ht="20.100000000000001" customHeight="1" x14ac:dyDescent="0.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</row>
    <row r="400" spans="1:20" ht="20.100000000000001" customHeight="1" x14ac:dyDescent="0.3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</row>
    <row r="401" spans="1:20" ht="20.100000000000001" customHeight="1" x14ac:dyDescent="0.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</row>
    <row r="402" spans="1:20" ht="20.100000000000001" customHeight="1" x14ac:dyDescent="0.3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</row>
    <row r="403" spans="1:20" ht="20.100000000000001" customHeight="1" x14ac:dyDescent="0.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</row>
    <row r="404" spans="1:20" ht="20.100000000000001" customHeight="1" x14ac:dyDescent="0.3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</row>
    <row r="405" spans="1:20" ht="20.100000000000001" customHeight="1" x14ac:dyDescent="0.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</row>
    <row r="406" spans="1:20" ht="20.100000000000001" customHeight="1" x14ac:dyDescent="0.3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</row>
    <row r="407" spans="1:20" ht="20.100000000000001" customHeight="1" x14ac:dyDescent="0.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</row>
    <row r="408" spans="1:20" ht="20.100000000000001" customHeight="1" x14ac:dyDescent="0.3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</row>
    <row r="409" spans="1:20" ht="20.100000000000001" customHeight="1" x14ac:dyDescent="0.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</row>
    <row r="410" spans="1:20" ht="20.100000000000001" customHeight="1" x14ac:dyDescent="0.3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</row>
    <row r="411" spans="1:20" ht="20.100000000000001" customHeight="1" x14ac:dyDescent="0.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</row>
    <row r="412" spans="1:20" ht="20.100000000000001" customHeight="1" x14ac:dyDescent="0.3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</row>
    <row r="413" spans="1:20" ht="20.100000000000001" customHeight="1" x14ac:dyDescent="0.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</row>
    <row r="414" spans="1:20" ht="20.100000000000001" customHeight="1" x14ac:dyDescent="0.3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</row>
    <row r="415" spans="1:20" ht="20.100000000000001" customHeight="1" x14ac:dyDescent="0.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</row>
    <row r="416" spans="1:20" ht="20.100000000000001" customHeight="1" x14ac:dyDescent="0.3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</row>
    <row r="417" spans="1:20" ht="20.100000000000001" customHeight="1" x14ac:dyDescent="0.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</row>
    <row r="418" spans="1:20" ht="20.100000000000001" customHeight="1" x14ac:dyDescent="0.3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</row>
    <row r="419" spans="1:20" ht="20.100000000000001" customHeight="1" x14ac:dyDescent="0.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</row>
    <row r="420" spans="1:20" ht="20.100000000000001" customHeight="1" x14ac:dyDescent="0.3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</row>
    <row r="421" spans="1:20" ht="20.100000000000001" customHeight="1" x14ac:dyDescent="0.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</row>
    <row r="422" spans="1:20" ht="20.100000000000001" customHeight="1" x14ac:dyDescent="0.3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</row>
    <row r="423" spans="1:20" ht="20.100000000000001" customHeight="1" x14ac:dyDescent="0.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</row>
    <row r="424" spans="1:20" ht="20.100000000000001" customHeight="1" x14ac:dyDescent="0.3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</row>
    <row r="425" spans="1:20" ht="20.100000000000001" customHeight="1" x14ac:dyDescent="0.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</row>
    <row r="426" spans="1:20" ht="20.100000000000001" customHeight="1" x14ac:dyDescent="0.3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</row>
    <row r="427" spans="1:20" ht="20.100000000000001" customHeight="1" x14ac:dyDescent="0.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</row>
    <row r="428" spans="1:20" ht="20.100000000000001" customHeight="1" x14ac:dyDescent="0.3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</row>
    <row r="429" spans="1:20" ht="20.100000000000001" customHeight="1" x14ac:dyDescent="0.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</row>
    <row r="430" spans="1:20" ht="20.100000000000001" customHeight="1" x14ac:dyDescent="0.3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</row>
    <row r="431" spans="1:20" ht="20.100000000000001" customHeight="1" x14ac:dyDescent="0.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</row>
    <row r="432" spans="1:20" ht="20.100000000000001" customHeight="1" x14ac:dyDescent="0.3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</row>
    <row r="433" spans="1:20" ht="20.100000000000001" customHeight="1" x14ac:dyDescent="0.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</row>
    <row r="434" spans="1:20" ht="20.100000000000001" customHeight="1" x14ac:dyDescent="0.3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</row>
    <row r="435" spans="1:20" ht="20.100000000000001" customHeight="1" x14ac:dyDescent="0.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</row>
    <row r="436" spans="1:20" ht="20.100000000000001" customHeight="1" x14ac:dyDescent="0.3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</row>
    <row r="437" spans="1:20" ht="20.100000000000001" customHeight="1" x14ac:dyDescent="0.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</row>
    <row r="438" spans="1:20" ht="20.100000000000001" customHeight="1" x14ac:dyDescent="0.3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</row>
    <row r="439" spans="1:20" ht="20.100000000000001" customHeight="1" x14ac:dyDescent="0.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</row>
    <row r="440" spans="1:20" ht="20.100000000000001" customHeight="1" x14ac:dyDescent="0.3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</row>
    <row r="441" spans="1:20" ht="20.100000000000001" customHeight="1" x14ac:dyDescent="0.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</row>
    <row r="442" spans="1:20" ht="20.100000000000001" customHeight="1" x14ac:dyDescent="0.3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</row>
    <row r="443" spans="1:20" ht="20.100000000000001" customHeight="1" x14ac:dyDescent="0.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</row>
    <row r="444" spans="1:20" ht="20.100000000000001" customHeight="1" x14ac:dyDescent="0.3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</row>
    <row r="445" spans="1:20" ht="20.100000000000001" customHeight="1" x14ac:dyDescent="0.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</row>
    <row r="446" spans="1:20" ht="20.100000000000001" customHeight="1" x14ac:dyDescent="0.3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</row>
    <row r="447" spans="1:20" ht="20.100000000000001" customHeight="1" x14ac:dyDescent="0.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</row>
    <row r="448" spans="1:20" ht="20.100000000000001" customHeight="1" x14ac:dyDescent="0.3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</row>
    <row r="449" spans="1:20" ht="20.100000000000001" customHeight="1" x14ac:dyDescent="0.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</row>
    <row r="450" spans="1:20" ht="20.100000000000001" customHeight="1" x14ac:dyDescent="0.3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</row>
    <row r="451" spans="1:20" ht="20.100000000000001" customHeight="1" x14ac:dyDescent="0.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</row>
    <row r="452" spans="1:20" ht="20.100000000000001" customHeight="1" x14ac:dyDescent="0.3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</row>
    <row r="453" spans="1:20" ht="20.100000000000001" customHeight="1" x14ac:dyDescent="0.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</row>
    <row r="454" spans="1:20" ht="20.100000000000001" customHeight="1" x14ac:dyDescent="0.3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</row>
    <row r="455" spans="1:20" ht="20.100000000000001" customHeight="1" x14ac:dyDescent="0.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</row>
    <row r="456" spans="1:20" ht="20.100000000000001" customHeight="1" x14ac:dyDescent="0.3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</row>
    <row r="457" spans="1:20" ht="20.100000000000001" customHeight="1" x14ac:dyDescent="0.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</row>
    <row r="458" spans="1:20" ht="20.100000000000001" customHeight="1" x14ac:dyDescent="0.3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</row>
    <row r="459" spans="1:20" ht="20.100000000000001" customHeight="1" x14ac:dyDescent="0.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</row>
    <row r="460" spans="1:20" ht="20.100000000000001" customHeight="1" x14ac:dyDescent="0.3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</row>
    <row r="461" spans="1:20" ht="20.100000000000001" customHeight="1" x14ac:dyDescent="0.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</row>
    <row r="462" spans="1:20" ht="20.100000000000001" customHeight="1" x14ac:dyDescent="0.3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</row>
    <row r="463" spans="1:20" ht="20.100000000000001" customHeight="1" x14ac:dyDescent="0.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</row>
    <row r="464" spans="1:20" ht="20.100000000000001" customHeight="1" x14ac:dyDescent="0.3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</row>
    <row r="465" spans="1:20" ht="20.100000000000001" customHeight="1" x14ac:dyDescent="0.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</row>
    <row r="466" spans="1:20" ht="20.100000000000001" customHeight="1" x14ac:dyDescent="0.3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</row>
    <row r="467" spans="1:20" ht="20.100000000000001" customHeight="1" x14ac:dyDescent="0.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</row>
    <row r="468" spans="1:20" ht="20.100000000000001" customHeight="1" x14ac:dyDescent="0.3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</row>
    <row r="469" spans="1:20" ht="20.100000000000001" customHeight="1" x14ac:dyDescent="0.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</row>
    <row r="470" spans="1:20" ht="20.100000000000001" customHeight="1" x14ac:dyDescent="0.3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</row>
    <row r="471" spans="1:20" ht="20.100000000000001" customHeight="1" x14ac:dyDescent="0.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</row>
    <row r="472" spans="1:20" ht="20.100000000000001" customHeight="1" x14ac:dyDescent="0.3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</row>
    <row r="473" spans="1:20" ht="20.100000000000001" customHeight="1" x14ac:dyDescent="0.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</row>
    <row r="474" spans="1:20" ht="20.100000000000001" customHeight="1" x14ac:dyDescent="0.3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</row>
    <row r="475" spans="1:20" ht="20.100000000000001" customHeight="1" x14ac:dyDescent="0.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</row>
    <row r="476" spans="1:20" ht="20.100000000000001" customHeight="1" x14ac:dyDescent="0.3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</row>
    <row r="477" spans="1:20" ht="20.100000000000001" customHeight="1" x14ac:dyDescent="0.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</row>
    <row r="478" spans="1:20" ht="20.100000000000001" customHeight="1" x14ac:dyDescent="0.3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</row>
    <row r="479" spans="1:20" ht="20.100000000000001" customHeight="1" x14ac:dyDescent="0.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</row>
    <row r="480" spans="1:20" ht="20.100000000000001" customHeight="1" x14ac:dyDescent="0.3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</row>
    <row r="481" spans="1:20" ht="20.100000000000001" customHeight="1" x14ac:dyDescent="0.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</row>
    <row r="482" spans="1:20" ht="20.100000000000001" customHeight="1" x14ac:dyDescent="0.3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</row>
    <row r="483" spans="1:20" ht="20.100000000000001" customHeight="1" x14ac:dyDescent="0.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</row>
    <row r="484" spans="1:20" ht="20.100000000000001" customHeight="1" x14ac:dyDescent="0.3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</row>
    <row r="485" spans="1:20" ht="20.100000000000001" customHeight="1" x14ac:dyDescent="0.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</row>
    <row r="486" spans="1:20" ht="20.100000000000001" customHeight="1" x14ac:dyDescent="0.3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</row>
    <row r="487" spans="1:20" ht="20.100000000000001" customHeight="1" x14ac:dyDescent="0.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</row>
    <row r="488" spans="1:20" ht="20.100000000000001" customHeight="1" x14ac:dyDescent="0.3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</row>
    <row r="489" spans="1:20" ht="20.100000000000001" customHeight="1" x14ac:dyDescent="0.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</row>
    <row r="490" spans="1:20" ht="20.100000000000001" customHeight="1" x14ac:dyDescent="0.3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</row>
    <row r="491" spans="1:20" ht="20.100000000000001" customHeight="1" x14ac:dyDescent="0.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</row>
    <row r="492" spans="1:20" ht="20.100000000000001" customHeight="1" x14ac:dyDescent="0.3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</row>
    <row r="493" spans="1:20" ht="20.100000000000001" customHeight="1" x14ac:dyDescent="0.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</row>
    <row r="494" spans="1:20" ht="20.100000000000001" customHeight="1" x14ac:dyDescent="0.3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</row>
    <row r="495" spans="1:20" ht="20.100000000000001" customHeight="1" x14ac:dyDescent="0.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</row>
    <row r="496" spans="1:20" ht="20.100000000000001" customHeight="1" x14ac:dyDescent="0.3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</row>
    <row r="497" spans="1:20" ht="20.100000000000001" customHeight="1" x14ac:dyDescent="0.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</row>
    <row r="498" spans="1:20" ht="20.100000000000001" customHeight="1" x14ac:dyDescent="0.3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</row>
    <row r="499" spans="1:20" ht="20.100000000000001" customHeight="1" x14ac:dyDescent="0.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</row>
    <row r="500" spans="1:20" ht="20.100000000000001" customHeight="1" x14ac:dyDescent="0.3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</row>
    <row r="501" spans="1:20" ht="20.100000000000001" customHeight="1" x14ac:dyDescent="0.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</row>
    <row r="502" spans="1:20" ht="20.100000000000001" customHeight="1" x14ac:dyDescent="0.3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</row>
    <row r="503" spans="1:20" ht="20.100000000000001" customHeight="1" x14ac:dyDescent="0.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</row>
    <row r="504" spans="1:20" ht="20.100000000000001" customHeight="1" x14ac:dyDescent="0.3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</row>
    <row r="505" spans="1:20" ht="20.100000000000001" customHeight="1" x14ac:dyDescent="0.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</row>
    <row r="506" spans="1:20" ht="20.100000000000001" customHeight="1" x14ac:dyDescent="0.3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</row>
    <row r="507" spans="1:20" ht="20.100000000000001" customHeight="1" x14ac:dyDescent="0.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</row>
    <row r="508" spans="1:20" ht="20.100000000000001" customHeight="1" x14ac:dyDescent="0.3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</row>
    <row r="509" spans="1:20" ht="20.100000000000001" customHeight="1" x14ac:dyDescent="0.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</row>
    <row r="510" spans="1:20" ht="20.100000000000001" customHeight="1" x14ac:dyDescent="0.3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</row>
    <row r="511" spans="1:20" ht="20.100000000000001" customHeight="1" x14ac:dyDescent="0.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</row>
    <row r="512" spans="1:20" ht="20.100000000000001" customHeight="1" x14ac:dyDescent="0.3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</row>
    <row r="513" spans="1:20" ht="20.100000000000001" customHeight="1" x14ac:dyDescent="0.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</row>
    <row r="514" spans="1:20" ht="20.100000000000001" customHeight="1" x14ac:dyDescent="0.3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</row>
    <row r="515" spans="1:20" ht="20.100000000000001" customHeight="1" x14ac:dyDescent="0.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</row>
    <row r="516" spans="1:20" ht="20.100000000000001" customHeight="1" x14ac:dyDescent="0.3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</row>
    <row r="517" spans="1:20" ht="20.100000000000001" customHeight="1" x14ac:dyDescent="0.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</row>
    <row r="518" spans="1:20" ht="20.100000000000001" customHeight="1" x14ac:dyDescent="0.3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</row>
    <row r="519" spans="1:20" ht="20.100000000000001" customHeight="1" x14ac:dyDescent="0.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</row>
    <row r="520" spans="1:20" ht="20.100000000000001" customHeight="1" x14ac:dyDescent="0.3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</row>
    <row r="521" spans="1:20" ht="20.100000000000001" customHeight="1" x14ac:dyDescent="0.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</row>
    <row r="522" spans="1:20" ht="20.100000000000001" customHeight="1" x14ac:dyDescent="0.3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</row>
    <row r="523" spans="1:20" ht="20.100000000000001" customHeight="1" x14ac:dyDescent="0.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</row>
    <row r="524" spans="1:20" ht="20.100000000000001" customHeight="1" x14ac:dyDescent="0.3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</row>
    <row r="525" spans="1:20" ht="20.100000000000001" customHeight="1" x14ac:dyDescent="0.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</row>
    <row r="526" spans="1:20" ht="20.100000000000001" customHeight="1" x14ac:dyDescent="0.3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</row>
    <row r="527" spans="1:20" ht="20.100000000000001" customHeight="1" x14ac:dyDescent="0.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</row>
    <row r="528" spans="1:20" ht="20.100000000000001" customHeight="1" x14ac:dyDescent="0.3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</row>
    <row r="529" spans="1:20" ht="20.100000000000001" customHeight="1" x14ac:dyDescent="0.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</row>
    <row r="530" spans="1:20" ht="20.100000000000001" customHeight="1" x14ac:dyDescent="0.3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</row>
    <row r="531" spans="1:20" ht="20.100000000000001" customHeight="1" x14ac:dyDescent="0.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</row>
    <row r="532" spans="1:20" ht="20.100000000000001" customHeight="1" x14ac:dyDescent="0.3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</row>
    <row r="533" spans="1:20" ht="20.100000000000001" customHeight="1" x14ac:dyDescent="0.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</row>
    <row r="534" spans="1:20" ht="20.100000000000001" customHeight="1" x14ac:dyDescent="0.3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</row>
    <row r="535" spans="1:20" ht="20.100000000000001" customHeight="1" x14ac:dyDescent="0.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</row>
    <row r="536" spans="1:20" ht="20.100000000000001" customHeight="1" x14ac:dyDescent="0.3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</row>
    <row r="537" spans="1:20" ht="20.100000000000001" customHeight="1" x14ac:dyDescent="0.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</row>
    <row r="538" spans="1:20" ht="20.100000000000001" customHeight="1" x14ac:dyDescent="0.3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</row>
    <row r="539" spans="1:20" ht="20.100000000000001" customHeight="1" x14ac:dyDescent="0.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</row>
    <row r="540" spans="1:20" ht="20.100000000000001" customHeight="1" x14ac:dyDescent="0.3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</row>
    <row r="541" spans="1:20" ht="20.100000000000001" customHeight="1" x14ac:dyDescent="0.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</row>
    <row r="542" spans="1:20" ht="20.100000000000001" customHeight="1" x14ac:dyDescent="0.3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</row>
    <row r="543" spans="1:20" ht="20.100000000000001" customHeight="1" x14ac:dyDescent="0.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</row>
    <row r="544" spans="1:20" ht="20.100000000000001" customHeight="1" x14ac:dyDescent="0.3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</row>
    <row r="545" spans="1:20" ht="20.100000000000001" customHeight="1" x14ac:dyDescent="0.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</row>
    <row r="546" spans="1:20" ht="20.100000000000001" customHeight="1" x14ac:dyDescent="0.3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</row>
    <row r="547" spans="1:20" ht="20.100000000000001" customHeight="1" x14ac:dyDescent="0.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</row>
    <row r="548" spans="1:20" ht="20.100000000000001" customHeight="1" x14ac:dyDescent="0.3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</row>
    <row r="549" spans="1:20" ht="20.100000000000001" customHeight="1" x14ac:dyDescent="0.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</row>
    <row r="550" spans="1:20" ht="20.100000000000001" customHeight="1" x14ac:dyDescent="0.3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</row>
    <row r="551" spans="1:20" ht="20.100000000000001" customHeight="1" x14ac:dyDescent="0.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</row>
    <row r="552" spans="1:20" ht="20.100000000000001" customHeight="1" x14ac:dyDescent="0.3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</row>
    <row r="553" spans="1:20" ht="20.100000000000001" customHeight="1" x14ac:dyDescent="0.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</row>
    <row r="554" spans="1:20" ht="20.100000000000001" customHeight="1" x14ac:dyDescent="0.3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</row>
    <row r="555" spans="1:20" ht="20.100000000000001" customHeight="1" x14ac:dyDescent="0.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</row>
    <row r="556" spans="1:20" ht="20.100000000000001" customHeight="1" x14ac:dyDescent="0.3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</row>
    <row r="557" spans="1:20" ht="20.100000000000001" customHeight="1" x14ac:dyDescent="0.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</row>
    <row r="558" spans="1:20" ht="20.100000000000001" customHeight="1" x14ac:dyDescent="0.3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</row>
    <row r="559" spans="1:20" ht="20.100000000000001" customHeight="1" x14ac:dyDescent="0.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</row>
    <row r="560" spans="1:20" ht="20.100000000000001" customHeight="1" x14ac:dyDescent="0.3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</row>
    <row r="561" spans="1:20" ht="20.100000000000001" customHeight="1" x14ac:dyDescent="0.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</row>
    <row r="562" spans="1:20" ht="20.100000000000001" customHeight="1" x14ac:dyDescent="0.3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</row>
    <row r="563" spans="1:20" ht="20.100000000000001" customHeight="1" x14ac:dyDescent="0.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</row>
    <row r="564" spans="1:20" ht="20.100000000000001" customHeight="1" x14ac:dyDescent="0.3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</row>
    <row r="565" spans="1:20" ht="20.100000000000001" customHeight="1" x14ac:dyDescent="0.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</row>
    <row r="566" spans="1:20" ht="20.100000000000001" customHeight="1" x14ac:dyDescent="0.3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</row>
    <row r="567" spans="1:20" ht="20.100000000000001" customHeight="1" x14ac:dyDescent="0.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</row>
    <row r="568" spans="1:20" ht="20.100000000000001" customHeight="1" x14ac:dyDescent="0.3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</row>
    <row r="569" spans="1:20" ht="20.100000000000001" customHeight="1" x14ac:dyDescent="0.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</row>
    <row r="570" spans="1:20" ht="20.100000000000001" customHeight="1" x14ac:dyDescent="0.3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</row>
    <row r="571" spans="1:20" ht="20.100000000000001" customHeight="1" x14ac:dyDescent="0.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</row>
    <row r="572" spans="1:20" ht="20.100000000000001" customHeight="1" x14ac:dyDescent="0.3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</row>
    <row r="573" spans="1:20" ht="20.100000000000001" customHeight="1" x14ac:dyDescent="0.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</row>
    <row r="574" spans="1:20" ht="20.100000000000001" customHeight="1" x14ac:dyDescent="0.3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</row>
    <row r="575" spans="1:20" ht="20.100000000000001" customHeight="1" x14ac:dyDescent="0.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</row>
    <row r="576" spans="1:20" ht="20.100000000000001" customHeight="1" x14ac:dyDescent="0.3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</row>
    <row r="577" spans="1:20" ht="20.100000000000001" customHeight="1" x14ac:dyDescent="0.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</row>
    <row r="578" spans="1:20" ht="20.100000000000001" customHeight="1" x14ac:dyDescent="0.3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</row>
    <row r="579" spans="1:20" ht="20.100000000000001" customHeight="1" x14ac:dyDescent="0.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</row>
    <row r="580" spans="1:20" ht="20.100000000000001" customHeight="1" x14ac:dyDescent="0.3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</row>
    <row r="581" spans="1:20" ht="20.100000000000001" customHeight="1" x14ac:dyDescent="0.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</row>
    <row r="582" spans="1:20" ht="20.100000000000001" customHeight="1" x14ac:dyDescent="0.3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</row>
    <row r="583" spans="1:20" ht="20.100000000000001" customHeight="1" x14ac:dyDescent="0.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</row>
    <row r="584" spans="1:20" ht="20.100000000000001" customHeight="1" x14ac:dyDescent="0.3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</row>
    <row r="585" spans="1:20" ht="20.100000000000001" customHeight="1" x14ac:dyDescent="0.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</row>
    <row r="586" spans="1:20" ht="20.100000000000001" customHeight="1" x14ac:dyDescent="0.3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</row>
    <row r="587" spans="1:20" ht="20.100000000000001" customHeight="1" x14ac:dyDescent="0.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</row>
    <row r="588" spans="1:20" ht="20.100000000000001" customHeight="1" x14ac:dyDescent="0.3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</row>
    <row r="589" spans="1:20" ht="20.100000000000001" customHeight="1" x14ac:dyDescent="0.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</row>
    <row r="590" spans="1:20" ht="20.100000000000001" customHeight="1" x14ac:dyDescent="0.3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</row>
    <row r="591" spans="1:20" ht="20.100000000000001" customHeight="1" x14ac:dyDescent="0.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</row>
    <row r="592" spans="1:20" ht="20.100000000000001" customHeight="1" x14ac:dyDescent="0.3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</row>
    <row r="593" spans="1:20" ht="20.100000000000001" customHeight="1" x14ac:dyDescent="0.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</row>
    <row r="594" spans="1:20" ht="20.100000000000001" customHeight="1" x14ac:dyDescent="0.3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</row>
    <row r="595" spans="1:20" ht="20.100000000000001" customHeight="1" x14ac:dyDescent="0.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</row>
    <row r="596" spans="1:20" ht="20.100000000000001" customHeight="1" x14ac:dyDescent="0.3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</row>
    <row r="597" spans="1:20" ht="20.100000000000001" customHeight="1" x14ac:dyDescent="0.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</row>
    <row r="598" spans="1:20" ht="20.100000000000001" customHeight="1" x14ac:dyDescent="0.3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</row>
    <row r="599" spans="1:20" ht="20.100000000000001" customHeight="1" x14ac:dyDescent="0.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</row>
    <row r="600" spans="1:20" ht="20.100000000000001" customHeight="1" x14ac:dyDescent="0.3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</row>
    <row r="601" spans="1:20" ht="20.100000000000001" customHeight="1" x14ac:dyDescent="0.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</row>
    <row r="602" spans="1:20" ht="20.100000000000001" customHeight="1" x14ac:dyDescent="0.3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</row>
    <row r="603" spans="1:20" ht="20.100000000000001" customHeight="1" x14ac:dyDescent="0.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</row>
    <row r="604" spans="1:20" ht="20.100000000000001" customHeight="1" x14ac:dyDescent="0.3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</row>
    <row r="605" spans="1:20" ht="20.100000000000001" customHeight="1" x14ac:dyDescent="0.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</row>
    <row r="606" spans="1:20" ht="20.100000000000001" customHeight="1" x14ac:dyDescent="0.3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</row>
    <row r="607" spans="1:20" ht="20.100000000000001" customHeight="1" x14ac:dyDescent="0.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</row>
    <row r="608" spans="1:20" ht="20.100000000000001" customHeight="1" x14ac:dyDescent="0.3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</row>
    <row r="609" spans="1:20" ht="20.100000000000001" customHeight="1" x14ac:dyDescent="0.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</row>
    <row r="610" spans="1:20" ht="20.100000000000001" customHeight="1" x14ac:dyDescent="0.3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</row>
    <row r="611" spans="1:20" ht="20.100000000000001" customHeight="1" x14ac:dyDescent="0.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</row>
    <row r="612" spans="1:20" ht="20.100000000000001" customHeight="1" x14ac:dyDescent="0.3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</row>
    <row r="613" spans="1:20" ht="20.100000000000001" customHeight="1" x14ac:dyDescent="0.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</row>
    <row r="614" spans="1:20" ht="20.100000000000001" customHeight="1" x14ac:dyDescent="0.3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</row>
    <row r="615" spans="1:20" ht="20.100000000000001" customHeight="1" x14ac:dyDescent="0.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</row>
    <row r="616" spans="1:20" ht="20.100000000000001" customHeight="1" x14ac:dyDescent="0.3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</row>
    <row r="617" spans="1:20" ht="20.100000000000001" customHeight="1" x14ac:dyDescent="0.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</row>
    <row r="618" spans="1:20" ht="20.100000000000001" customHeight="1" x14ac:dyDescent="0.3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</row>
    <row r="619" spans="1:20" ht="20.100000000000001" customHeight="1" x14ac:dyDescent="0.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</row>
    <row r="620" spans="1:20" ht="20.100000000000001" customHeight="1" x14ac:dyDescent="0.3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</row>
    <row r="621" spans="1:20" ht="20.100000000000001" customHeight="1" x14ac:dyDescent="0.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</row>
    <row r="622" spans="1:20" ht="20.100000000000001" customHeight="1" x14ac:dyDescent="0.3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</row>
    <row r="623" spans="1:20" ht="20.100000000000001" customHeight="1" x14ac:dyDescent="0.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</row>
    <row r="624" spans="1:20" ht="20.100000000000001" customHeight="1" x14ac:dyDescent="0.3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</row>
    <row r="625" spans="1:20" ht="20.100000000000001" customHeight="1" x14ac:dyDescent="0.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</row>
    <row r="626" spans="1:20" ht="20.100000000000001" customHeight="1" x14ac:dyDescent="0.3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</row>
    <row r="627" spans="1:20" ht="20.100000000000001" customHeight="1" x14ac:dyDescent="0.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</row>
    <row r="628" spans="1:20" ht="20.100000000000001" customHeight="1" x14ac:dyDescent="0.3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</row>
    <row r="629" spans="1:20" ht="20.100000000000001" customHeight="1" x14ac:dyDescent="0.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</row>
    <row r="630" spans="1:20" ht="20.100000000000001" customHeight="1" x14ac:dyDescent="0.3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</row>
    <row r="631" spans="1:20" ht="20.100000000000001" customHeight="1" x14ac:dyDescent="0.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</row>
    <row r="632" spans="1:20" ht="20.100000000000001" customHeight="1" x14ac:dyDescent="0.3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</row>
    <row r="633" spans="1:20" ht="20.100000000000001" customHeight="1" x14ac:dyDescent="0.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</row>
    <row r="634" spans="1:20" ht="20.100000000000001" customHeight="1" x14ac:dyDescent="0.3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</row>
    <row r="635" spans="1:20" ht="20.100000000000001" customHeight="1" x14ac:dyDescent="0.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</row>
    <row r="636" spans="1:20" ht="20.100000000000001" customHeight="1" x14ac:dyDescent="0.3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</row>
    <row r="637" spans="1:20" ht="20.100000000000001" customHeight="1" x14ac:dyDescent="0.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</row>
    <row r="638" spans="1:20" ht="20.100000000000001" customHeight="1" x14ac:dyDescent="0.3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</row>
    <row r="639" spans="1:20" ht="20.100000000000001" customHeight="1" x14ac:dyDescent="0.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</row>
    <row r="640" spans="1:20" ht="20.100000000000001" customHeight="1" x14ac:dyDescent="0.3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</row>
    <row r="641" spans="1:20" ht="20.100000000000001" customHeight="1" x14ac:dyDescent="0.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</row>
    <row r="642" spans="1:20" ht="20.100000000000001" customHeight="1" x14ac:dyDescent="0.3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</row>
    <row r="643" spans="1:20" ht="20.100000000000001" customHeight="1" x14ac:dyDescent="0.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</row>
    <row r="644" spans="1:20" ht="20.100000000000001" customHeight="1" x14ac:dyDescent="0.3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</row>
    <row r="645" spans="1:20" ht="20.100000000000001" customHeight="1" x14ac:dyDescent="0.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</row>
    <row r="646" spans="1:20" ht="20.100000000000001" customHeight="1" x14ac:dyDescent="0.3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</row>
    <row r="647" spans="1:20" ht="20.100000000000001" customHeight="1" x14ac:dyDescent="0.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</row>
    <row r="648" spans="1:20" ht="20.100000000000001" customHeight="1" x14ac:dyDescent="0.3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</row>
    <row r="649" spans="1:20" ht="20.100000000000001" customHeight="1" x14ac:dyDescent="0.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</row>
    <row r="650" spans="1:20" ht="20.100000000000001" customHeight="1" x14ac:dyDescent="0.3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</row>
    <row r="651" spans="1:20" ht="20.100000000000001" customHeight="1" x14ac:dyDescent="0.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</row>
    <row r="652" spans="1:20" ht="20.100000000000001" customHeight="1" x14ac:dyDescent="0.3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</row>
    <row r="653" spans="1:20" ht="20.100000000000001" customHeight="1" x14ac:dyDescent="0.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</row>
    <row r="654" spans="1:20" ht="20.100000000000001" customHeight="1" x14ac:dyDescent="0.3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</row>
    <row r="655" spans="1:20" ht="20.100000000000001" customHeight="1" x14ac:dyDescent="0.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</row>
    <row r="656" spans="1:20" ht="20.100000000000001" customHeight="1" x14ac:dyDescent="0.3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</row>
    <row r="657" spans="1:20" ht="20.100000000000001" customHeight="1" x14ac:dyDescent="0.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</row>
    <row r="658" spans="1:20" ht="20.100000000000001" customHeight="1" x14ac:dyDescent="0.3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</row>
    <row r="659" spans="1:20" ht="20.100000000000001" customHeight="1" x14ac:dyDescent="0.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</row>
    <row r="660" spans="1:20" ht="20.100000000000001" customHeight="1" x14ac:dyDescent="0.3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</row>
    <row r="661" spans="1:20" ht="20.100000000000001" customHeight="1" x14ac:dyDescent="0.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</row>
    <row r="662" spans="1:20" ht="20.100000000000001" customHeight="1" x14ac:dyDescent="0.3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</row>
    <row r="663" spans="1:20" ht="20.100000000000001" customHeight="1" x14ac:dyDescent="0.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</row>
    <row r="664" spans="1:20" ht="20.100000000000001" customHeight="1" x14ac:dyDescent="0.3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</row>
    <row r="665" spans="1:20" ht="20.100000000000001" customHeight="1" x14ac:dyDescent="0.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</row>
    <row r="666" spans="1:20" ht="20.100000000000001" customHeight="1" x14ac:dyDescent="0.3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</row>
    <row r="667" spans="1:20" ht="20.100000000000001" customHeight="1" x14ac:dyDescent="0.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</row>
    <row r="668" spans="1:20" ht="20.100000000000001" customHeight="1" x14ac:dyDescent="0.3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</row>
    <row r="669" spans="1:20" ht="20.100000000000001" customHeight="1" x14ac:dyDescent="0.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</row>
    <row r="670" spans="1:20" ht="20.100000000000001" customHeight="1" x14ac:dyDescent="0.3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</row>
    <row r="671" spans="1:20" ht="20.100000000000001" customHeight="1" x14ac:dyDescent="0.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</row>
    <row r="672" spans="1:20" ht="20.100000000000001" customHeight="1" x14ac:dyDescent="0.3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</row>
    <row r="673" spans="1:20" ht="20.100000000000001" customHeight="1" x14ac:dyDescent="0.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</row>
    <row r="674" spans="1:20" ht="20.100000000000001" customHeight="1" x14ac:dyDescent="0.3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</row>
    <row r="675" spans="1:20" ht="20.100000000000001" customHeight="1" x14ac:dyDescent="0.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</row>
    <row r="676" spans="1:20" ht="20.100000000000001" customHeight="1" x14ac:dyDescent="0.3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</row>
    <row r="677" spans="1:20" ht="20.100000000000001" customHeight="1" x14ac:dyDescent="0.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</row>
    <row r="678" spans="1:20" ht="20.100000000000001" customHeight="1" x14ac:dyDescent="0.3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</row>
    <row r="679" spans="1:20" ht="20.100000000000001" customHeight="1" x14ac:dyDescent="0.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</row>
    <row r="680" spans="1:20" ht="20.100000000000001" customHeight="1" x14ac:dyDescent="0.3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</row>
    <row r="681" spans="1:20" ht="20.100000000000001" customHeight="1" x14ac:dyDescent="0.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</row>
    <row r="682" spans="1:20" ht="20.100000000000001" customHeight="1" x14ac:dyDescent="0.3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</row>
    <row r="683" spans="1:20" ht="20.100000000000001" customHeight="1" x14ac:dyDescent="0.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</row>
    <row r="684" spans="1:20" ht="20.100000000000001" customHeight="1" x14ac:dyDescent="0.3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</row>
    <row r="685" spans="1:20" ht="20.100000000000001" customHeight="1" x14ac:dyDescent="0.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</row>
    <row r="686" spans="1:20" ht="20.100000000000001" customHeight="1" x14ac:dyDescent="0.3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</row>
    <row r="687" spans="1:20" ht="20.100000000000001" customHeight="1" x14ac:dyDescent="0.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</row>
    <row r="688" spans="1:20" ht="20.100000000000001" customHeight="1" x14ac:dyDescent="0.3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</row>
    <row r="689" spans="1:20" ht="20.100000000000001" customHeight="1" x14ac:dyDescent="0.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</row>
    <row r="690" spans="1:20" ht="20.100000000000001" customHeight="1" x14ac:dyDescent="0.3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</row>
    <row r="691" spans="1:20" ht="20.100000000000001" customHeight="1" x14ac:dyDescent="0.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</row>
    <row r="692" spans="1:20" ht="20.100000000000001" customHeight="1" x14ac:dyDescent="0.3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</row>
    <row r="693" spans="1:20" ht="20.100000000000001" customHeight="1" x14ac:dyDescent="0.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</row>
    <row r="694" spans="1:20" ht="20.100000000000001" customHeight="1" x14ac:dyDescent="0.3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</row>
    <row r="695" spans="1:20" ht="20.100000000000001" customHeight="1" x14ac:dyDescent="0.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</row>
    <row r="696" spans="1:20" ht="20.100000000000001" customHeight="1" x14ac:dyDescent="0.3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</row>
    <row r="697" spans="1:20" ht="20.100000000000001" customHeight="1" x14ac:dyDescent="0.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</row>
    <row r="698" spans="1:20" ht="20.100000000000001" customHeight="1" x14ac:dyDescent="0.3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</row>
    <row r="699" spans="1:20" ht="20.100000000000001" customHeight="1" x14ac:dyDescent="0.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</row>
    <row r="700" spans="1:20" ht="20.100000000000001" customHeight="1" x14ac:dyDescent="0.3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</row>
    <row r="701" spans="1:20" ht="20.100000000000001" customHeight="1" x14ac:dyDescent="0.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</row>
    <row r="702" spans="1:20" ht="20.100000000000001" customHeight="1" x14ac:dyDescent="0.3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</row>
    <row r="703" spans="1:20" ht="20.100000000000001" customHeight="1" x14ac:dyDescent="0.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</row>
    <row r="704" spans="1:20" ht="20.100000000000001" customHeight="1" x14ac:dyDescent="0.3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</row>
    <row r="705" spans="1:20" ht="20.100000000000001" customHeight="1" x14ac:dyDescent="0.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</row>
    <row r="706" spans="1:20" ht="20.100000000000001" customHeight="1" x14ac:dyDescent="0.3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</row>
    <row r="707" spans="1:20" ht="20.100000000000001" customHeight="1" x14ac:dyDescent="0.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</row>
    <row r="708" spans="1:20" ht="20.100000000000001" customHeight="1" x14ac:dyDescent="0.3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</row>
    <row r="709" spans="1:20" ht="20.100000000000001" customHeight="1" x14ac:dyDescent="0.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</row>
    <row r="710" spans="1:20" ht="20.100000000000001" customHeight="1" x14ac:dyDescent="0.3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</row>
    <row r="711" spans="1:20" ht="20.100000000000001" customHeight="1" x14ac:dyDescent="0.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</row>
    <row r="712" spans="1:20" ht="20.100000000000001" customHeight="1" x14ac:dyDescent="0.3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</row>
    <row r="713" spans="1:20" ht="20.100000000000001" customHeight="1" x14ac:dyDescent="0.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</row>
    <row r="714" spans="1:20" ht="20.100000000000001" customHeight="1" x14ac:dyDescent="0.3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</row>
    <row r="715" spans="1:20" ht="20.100000000000001" customHeight="1" x14ac:dyDescent="0.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</row>
    <row r="716" spans="1:20" ht="20.100000000000001" customHeight="1" x14ac:dyDescent="0.3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</row>
    <row r="717" spans="1:20" ht="20.100000000000001" customHeight="1" x14ac:dyDescent="0.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</row>
    <row r="718" spans="1:20" ht="20.100000000000001" customHeight="1" x14ac:dyDescent="0.3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</row>
    <row r="719" spans="1:20" ht="20.100000000000001" customHeight="1" x14ac:dyDescent="0.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</row>
    <row r="720" spans="1:20" ht="20.100000000000001" customHeight="1" x14ac:dyDescent="0.3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</row>
    <row r="721" spans="1:20" ht="20.100000000000001" customHeight="1" x14ac:dyDescent="0.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</row>
    <row r="722" spans="1:20" ht="20.100000000000001" customHeight="1" x14ac:dyDescent="0.3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</row>
    <row r="723" spans="1:20" ht="20.100000000000001" customHeight="1" x14ac:dyDescent="0.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</row>
    <row r="724" spans="1:20" ht="20.100000000000001" customHeight="1" x14ac:dyDescent="0.3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</row>
    <row r="725" spans="1:20" ht="20.100000000000001" customHeight="1" x14ac:dyDescent="0.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</row>
    <row r="726" spans="1:20" ht="20.100000000000001" customHeight="1" x14ac:dyDescent="0.3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</row>
    <row r="727" spans="1:20" ht="20.100000000000001" customHeight="1" x14ac:dyDescent="0.3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</row>
    <row r="728" spans="1:20" ht="20.100000000000001" customHeight="1" x14ac:dyDescent="0.3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</row>
    <row r="729" spans="1:20" ht="20.100000000000001" customHeight="1" x14ac:dyDescent="0.3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</row>
    <row r="730" spans="1:20" ht="20.100000000000001" customHeight="1" x14ac:dyDescent="0.3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</row>
    <row r="731" spans="1:20" ht="20.100000000000001" customHeight="1" x14ac:dyDescent="0.3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</row>
    <row r="732" spans="1:20" ht="20.100000000000001" customHeight="1" x14ac:dyDescent="0.3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</row>
    <row r="733" spans="1:20" ht="20.100000000000001" customHeight="1" x14ac:dyDescent="0.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</row>
    <row r="734" spans="1:20" ht="20.100000000000001" customHeight="1" x14ac:dyDescent="0.3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</row>
    <row r="735" spans="1:20" ht="20.100000000000001" customHeight="1" x14ac:dyDescent="0.3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</row>
    <row r="736" spans="1:20" ht="20.100000000000001" customHeight="1" x14ac:dyDescent="0.3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</row>
    <row r="737" spans="1:20" ht="20.100000000000001" customHeight="1" x14ac:dyDescent="0.3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</row>
    <row r="738" spans="1:20" ht="20.100000000000001" customHeight="1" x14ac:dyDescent="0.3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</row>
    <row r="739" spans="1:20" ht="20.100000000000001" customHeight="1" x14ac:dyDescent="0.3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</row>
    <row r="740" spans="1:20" ht="20.100000000000001" customHeight="1" x14ac:dyDescent="0.3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</row>
    <row r="741" spans="1:20" ht="20.100000000000001" customHeight="1" x14ac:dyDescent="0.3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</row>
    <row r="742" spans="1:20" ht="20.100000000000001" customHeight="1" x14ac:dyDescent="0.3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</row>
    <row r="743" spans="1:20" ht="20.100000000000001" customHeight="1" x14ac:dyDescent="0.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</row>
    <row r="744" spans="1:20" ht="20.100000000000001" customHeight="1" x14ac:dyDescent="0.3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</row>
    <row r="745" spans="1:20" ht="20.100000000000001" customHeight="1" x14ac:dyDescent="0.3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</row>
    <row r="746" spans="1:20" ht="20.100000000000001" customHeight="1" x14ac:dyDescent="0.3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</row>
    <row r="747" spans="1:20" ht="20.100000000000001" customHeight="1" x14ac:dyDescent="0.3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</row>
    <row r="748" spans="1:20" ht="20.100000000000001" customHeight="1" x14ac:dyDescent="0.3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</row>
    <row r="749" spans="1:20" ht="20.100000000000001" customHeight="1" x14ac:dyDescent="0.3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</row>
    <row r="750" spans="1:20" ht="20.100000000000001" customHeight="1" x14ac:dyDescent="0.3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</row>
    <row r="751" spans="1:20" ht="20.100000000000001" customHeight="1" x14ac:dyDescent="0.3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</row>
    <row r="752" spans="1:20" ht="20.100000000000001" customHeight="1" x14ac:dyDescent="0.3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</row>
    <row r="753" spans="1:20" ht="20.100000000000001" customHeight="1" x14ac:dyDescent="0.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</row>
    <row r="754" spans="1:20" ht="20.100000000000001" customHeight="1" x14ac:dyDescent="0.3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</row>
    <row r="755" spans="1:20" ht="20.100000000000001" customHeight="1" x14ac:dyDescent="0.3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</row>
    <row r="756" spans="1:20" ht="20.100000000000001" customHeight="1" x14ac:dyDescent="0.3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</row>
    <row r="757" spans="1:20" ht="20.100000000000001" customHeight="1" x14ac:dyDescent="0.3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</row>
    <row r="758" spans="1:20" ht="20.100000000000001" customHeight="1" x14ac:dyDescent="0.3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</row>
    <row r="759" spans="1:20" ht="20.100000000000001" customHeight="1" x14ac:dyDescent="0.3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</row>
    <row r="760" spans="1:20" ht="20.100000000000001" customHeight="1" x14ac:dyDescent="0.3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</row>
    <row r="761" spans="1:20" ht="20.100000000000001" customHeight="1" x14ac:dyDescent="0.3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</row>
    <row r="762" spans="1:20" ht="20.100000000000001" customHeight="1" x14ac:dyDescent="0.3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</row>
    <row r="763" spans="1:20" ht="20.100000000000001" customHeight="1" x14ac:dyDescent="0.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</row>
    <row r="764" spans="1:20" ht="20.100000000000001" customHeight="1" x14ac:dyDescent="0.3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</row>
    <row r="765" spans="1:20" ht="20.100000000000001" customHeight="1" x14ac:dyDescent="0.3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</row>
    <row r="766" spans="1:20" ht="20.100000000000001" customHeight="1" x14ac:dyDescent="0.3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</row>
    <row r="767" spans="1:20" ht="20.100000000000001" customHeight="1" x14ac:dyDescent="0.3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</row>
    <row r="768" spans="1:20" ht="20.100000000000001" customHeight="1" x14ac:dyDescent="0.3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</row>
    <row r="769" spans="1:20" ht="20.100000000000001" customHeight="1" x14ac:dyDescent="0.3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</row>
    <row r="770" spans="1:20" ht="20.100000000000001" customHeight="1" x14ac:dyDescent="0.3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</row>
    <row r="771" spans="1:20" ht="20.100000000000001" customHeight="1" x14ac:dyDescent="0.3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</row>
    <row r="772" spans="1:20" ht="20.100000000000001" customHeight="1" x14ac:dyDescent="0.3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</row>
    <row r="773" spans="1:20" ht="20.100000000000001" customHeight="1" x14ac:dyDescent="0.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</row>
    <row r="774" spans="1:20" ht="20.100000000000001" customHeight="1" x14ac:dyDescent="0.3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</row>
    <row r="775" spans="1:20" ht="20.100000000000001" customHeight="1" x14ac:dyDescent="0.3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</row>
    <row r="776" spans="1:20" ht="20.100000000000001" customHeight="1" x14ac:dyDescent="0.3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</row>
    <row r="777" spans="1:20" ht="20.100000000000001" customHeight="1" x14ac:dyDescent="0.3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</row>
    <row r="778" spans="1:20" ht="20.100000000000001" customHeight="1" x14ac:dyDescent="0.3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</row>
    <row r="779" spans="1:20" ht="20.100000000000001" customHeight="1" x14ac:dyDescent="0.3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</row>
    <row r="780" spans="1:20" ht="20.100000000000001" customHeight="1" x14ac:dyDescent="0.3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</row>
    <row r="781" spans="1:20" ht="20.100000000000001" customHeight="1" x14ac:dyDescent="0.3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</row>
    <row r="782" spans="1:20" ht="20.100000000000001" customHeight="1" x14ac:dyDescent="0.3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</row>
    <row r="783" spans="1:20" ht="20.100000000000001" customHeight="1" x14ac:dyDescent="0.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</row>
    <row r="784" spans="1:20" ht="20.100000000000001" customHeight="1" x14ac:dyDescent="0.3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</row>
    <row r="785" spans="1:20" ht="20.100000000000001" customHeight="1" x14ac:dyDescent="0.3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</row>
    <row r="786" spans="1:20" ht="20.100000000000001" customHeight="1" x14ac:dyDescent="0.3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</row>
    <row r="787" spans="1:20" ht="20.100000000000001" customHeight="1" x14ac:dyDescent="0.3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</row>
    <row r="788" spans="1:20" ht="20.100000000000001" customHeight="1" x14ac:dyDescent="0.3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</row>
    <row r="789" spans="1:20" ht="20.100000000000001" customHeight="1" x14ac:dyDescent="0.3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</row>
    <row r="790" spans="1:20" ht="20.100000000000001" customHeight="1" x14ac:dyDescent="0.3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</row>
    <row r="791" spans="1:20" ht="20.100000000000001" customHeight="1" x14ac:dyDescent="0.3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</row>
    <row r="792" spans="1:20" ht="20.100000000000001" customHeight="1" x14ac:dyDescent="0.3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</row>
    <row r="793" spans="1:20" ht="20.100000000000001" customHeight="1" x14ac:dyDescent="0.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</row>
    <row r="794" spans="1:20" ht="20.100000000000001" customHeight="1" x14ac:dyDescent="0.3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</row>
    <row r="795" spans="1:20" ht="20.100000000000001" customHeight="1" x14ac:dyDescent="0.3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</row>
    <row r="796" spans="1:20" ht="20.100000000000001" customHeight="1" x14ac:dyDescent="0.3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</row>
    <row r="797" spans="1:20" ht="20.100000000000001" customHeight="1" x14ac:dyDescent="0.3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</row>
    <row r="798" spans="1:20" ht="20.100000000000001" customHeight="1" x14ac:dyDescent="0.3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</row>
    <row r="799" spans="1:20" ht="20.100000000000001" customHeight="1" x14ac:dyDescent="0.3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</row>
    <row r="800" spans="1:20" ht="20.100000000000001" customHeight="1" x14ac:dyDescent="0.3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</row>
    <row r="801" spans="1:20" ht="20.100000000000001" customHeight="1" x14ac:dyDescent="0.3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</row>
    <row r="802" spans="1:20" ht="20.100000000000001" customHeight="1" x14ac:dyDescent="0.3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</row>
    <row r="803" spans="1:20" ht="20.100000000000001" customHeight="1" x14ac:dyDescent="0.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</row>
    <row r="804" spans="1:20" ht="20.100000000000001" customHeight="1" x14ac:dyDescent="0.3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</row>
    <row r="805" spans="1:20" ht="20.100000000000001" customHeight="1" x14ac:dyDescent="0.3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</row>
    <row r="806" spans="1:20" ht="20.100000000000001" customHeight="1" x14ac:dyDescent="0.3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</row>
    <row r="807" spans="1:20" ht="20.100000000000001" customHeight="1" x14ac:dyDescent="0.3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</row>
    <row r="808" spans="1:20" ht="20.100000000000001" customHeight="1" x14ac:dyDescent="0.3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</row>
    <row r="809" spans="1:20" ht="20.100000000000001" customHeight="1" x14ac:dyDescent="0.3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</row>
    <row r="810" spans="1:20" ht="20.100000000000001" customHeight="1" x14ac:dyDescent="0.3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</row>
    <row r="811" spans="1:20" ht="20.100000000000001" customHeight="1" x14ac:dyDescent="0.3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</row>
    <row r="812" spans="1:20" ht="20.100000000000001" customHeight="1" x14ac:dyDescent="0.3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</row>
    <row r="813" spans="1:20" ht="20.100000000000001" customHeight="1" x14ac:dyDescent="0.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</row>
    <row r="814" spans="1:20" ht="20.100000000000001" customHeight="1" x14ac:dyDescent="0.3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</row>
    <row r="815" spans="1:20" ht="20.100000000000001" customHeight="1" x14ac:dyDescent="0.3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</row>
    <row r="816" spans="1:20" ht="20.100000000000001" customHeight="1" x14ac:dyDescent="0.3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</row>
    <row r="817" spans="1:20" ht="20.100000000000001" customHeight="1" x14ac:dyDescent="0.3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</row>
    <row r="818" spans="1:20" ht="20.100000000000001" customHeight="1" x14ac:dyDescent="0.3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</row>
    <row r="819" spans="1:20" ht="20.100000000000001" customHeight="1" x14ac:dyDescent="0.3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</row>
    <row r="820" spans="1:20" ht="20.100000000000001" customHeight="1" x14ac:dyDescent="0.3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</row>
    <row r="821" spans="1:20" ht="20.100000000000001" customHeight="1" x14ac:dyDescent="0.3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</row>
    <row r="822" spans="1:20" ht="20.100000000000001" customHeight="1" x14ac:dyDescent="0.3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</row>
    <row r="823" spans="1:20" ht="20.100000000000001" customHeight="1" x14ac:dyDescent="0.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</row>
    <row r="824" spans="1:20" ht="20.100000000000001" customHeight="1" x14ac:dyDescent="0.3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</row>
    <row r="825" spans="1:20" ht="20.100000000000001" customHeight="1" x14ac:dyDescent="0.3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</row>
    <row r="826" spans="1:20" ht="20.100000000000001" customHeight="1" x14ac:dyDescent="0.3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</row>
    <row r="827" spans="1:20" ht="20.100000000000001" customHeight="1" x14ac:dyDescent="0.3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</row>
    <row r="828" spans="1:20" ht="20.100000000000001" customHeight="1" x14ac:dyDescent="0.3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</row>
    <row r="829" spans="1:20" ht="20.100000000000001" customHeight="1" x14ac:dyDescent="0.3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</row>
    <row r="830" spans="1:20" ht="20.100000000000001" customHeight="1" x14ac:dyDescent="0.3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</row>
    <row r="831" spans="1:20" ht="20.100000000000001" customHeight="1" x14ac:dyDescent="0.3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</row>
    <row r="832" spans="1:20" ht="20.100000000000001" customHeight="1" x14ac:dyDescent="0.3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</row>
    <row r="833" spans="1:20" ht="20.100000000000001" customHeight="1" x14ac:dyDescent="0.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</row>
    <row r="834" spans="1:20" ht="20.100000000000001" customHeight="1" x14ac:dyDescent="0.3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</row>
    <row r="835" spans="1:20" ht="20.100000000000001" customHeight="1" x14ac:dyDescent="0.3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</row>
    <row r="836" spans="1:20" ht="20.100000000000001" customHeight="1" x14ac:dyDescent="0.3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</row>
    <row r="837" spans="1:20" ht="20.100000000000001" customHeight="1" x14ac:dyDescent="0.3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</row>
    <row r="838" spans="1:20" ht="20.100000000000001" customHeight="1" x14ac:dyDescent="0.3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</row>
    <row r="839" spans="1:20" ht="20.100000000000001" customHeight="1" x14ac:dyDescent="0.3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</row>
    <row r="840" spans="1:20" ht="20.100000000000001" customHeight="1" x14ac:dyDescent="0.3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</row>
    <row r="841" spans="1:20" ht="20.100000000000001" customHeight="1" x14ac:dyDescent="0.3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</row>
    <row r="842" spans="1:20" ht="20.100000000000001" customHeight="1" x14ac:dyDescent="0.3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</row>
    <row r="843" spans="1:20" ht="20.100000000000001" customHeight="1" x14ac:dyDescent="0.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</row>
    <row r="844" spans="1:20" ht="20.100000000000001" customHeight="1" x14ac:dyDescent="0.3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</row>
    <row r="845" spans="1:20" ht="20.100000000000001" customHeight="1" x14ac:dyDescent="0.3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</row>
    <row r="846" spans="1:20" ht="20.100000000000001" customHeight="1" x14ac:dyDescent="0.3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</row>
    <row r="847" spans="1:20" ht="20.100000000000001" customHeight="1" x14ac:dyDescent="0.3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</row>
    <row r="848" spans="1:20" ht="20.100000000000001" customHeight="1" x14ac:dyDescent="0.3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</row>
    <row r="849" spans="1:20" ht="20.100000000000001" customHeight="1" x14ac:dyDescent="0.3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</row>
    <row r="850" spans="1:20" ht="20.100000000000001" customHeight="1" x14ac:dyDescent="0.3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</row>
    <row r="851" spans="1:20" ht="20.100000000000001" customHeight="1" x14ac:dyDescent="0.3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</row>
    <row r="852" spans="1:20" ht="20.100000000000001" customHeight="1" x14ac:dyDescent="0.3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</row>
    <row r="853" spans="1:20" ht="20.100000000000001" customHeight="1" x14ac:dyDescent="0.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</row>
    <row r="854" spans="1:20" ht="20.100000000000001" customHeight="1" x14ac:dyDescent="0.3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</row>
    <row r="855" spans="1:20" ht="20.100000000000001" customHeight="1" x14ac:dyDescent="0.3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</row>
    <row r="856" spans="1:20" ht="20.100000000000001" customHeight="1" x14ac:dyDescent="0.3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</row>
    <row r="857" spans="1:20" ht="20.100000000000001" customHeight="1" x14ac:dyDescent="0.3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</row>
    <row r="858" spans="1:20" ht="20.100000000000001" customHeight="1" x14ac:dyDescent="0.3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</row>
    <row r="859" spans="1:20" ht="20.100000000000001" customHeight="1" x14ac:dyDescent="0.3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</row>
    <row r="860" spans="1:20" ht="20.100000000000001" customHeight="1" x14ac:dyDescent="0.3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</row>
    <row r="861" spans="1:20" ht="20.100000000000001" customHeight="1" x14ac:dyDescent="0.3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</row>
    <row r="862" spans="1:20" ht="20.100000000000001" customHeight="1" x14ac:dyDescent="0.3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</row>
    <row r="863" spans="1:20" ht="20.100000000000001" customHeight="1" x14ac:dyDescent="0.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</row>
    <row r="864" spans="1:20" ht="20.100000000000001" customHeight="1" x14ac:dyDescent="0.3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</row>
    <row r="865" spans="1:20" ht="20.100000000000001" customHeight="1" x14ac:dyDescent="0.3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</row>
    <row r="866" spans="1:20" ht="20.100000000000001" customHeight="1" x14ac:dyDescent="0.3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</row>
    <row r="867" spans="1:20" ht="20.100000000000001" customHeight="1" x14ac:dyDescent="0.3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</row>
    <row r="868" spans="1:20" ht="20.100000000000001" customHeight="1" x14ac:dyDescent="0.3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</row>
    <row r="869" spans="1:20" ht="20.100000000000001" customHeight="1" x14ac:dyDescent="0.3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</row>
    <row r="870" spans="1:20" ht="20.100000000000001" customHeight="1" x14ac:dyDescent="0.3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</row>
    <row r="871" spans="1:20" ht="20.100000000000001" customHeight="1" x14ac:dyDescent="0.3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</row>
    <row r="872" spans="1:20" ht="20.100000000000001" customHeight="1" x14ac:dyDescent="0.3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</row>
    <row r="873" spans="1:20" ht="20.100000000000001" customHeight="1" x14ac:dyDescent="0.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</row>
    <row r="874" spans="1:20" ht="20.100000000000001" customHeight="1" x14ac:dyDescent="0.3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</row>
    <row r="875" spans="1:20" ht="20.100000000000001" customHeight="1" x14ac:dyDescent="0.3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</row>
    <row r="876" spans="1:20" ht="20.100000000000001" customHeight="1" x14ac:dyDescent="0.3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</row>
    <row r="877" spans="1:20" ht="20.100000000000001" customHeight="1" x14ac:dyDescent="0.3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</row>
    <row r="878" spans="1:20" ht="20.100000000000001" customHeight="1" x14ac:dyDescent="0.3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</row>
    <row r="879" spans="1:20" ht="20.100000000000001" customHeight="1" x14ac:dyDescent="0.3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</row>
    <row r="880" spans="1:20" ht="20.100000000000001" customHeight="1" x14ac:dyDescent="0.3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</row>
    <row r="881" spans="1:20" ht="20.100000000000001" customHeight="1" x14ac:dyDescent="0.3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</row>
    <row r="882" spans="1:20" ht="20.100000000000001" customHeight="1" x14ac:dyDescent="0.3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</row>
    <row r="883" spans="1:20" ht="20.100000000000001" customHeight="1" x14ac:dyDescent="0.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</row>
    <row r="884" spans="1:20" ht="20.100000000000001" customHeight="1" x14ac:dyDescent="0.3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</row>
    <row r="885" spans="1:20" ht="20.100000000000001" customHeight="1" x14ac:dyDescent="0.3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</row>
    <row r="886" spans="1:20" ht="20.100000000000001" customHeight="1" x14ac:dyDescent="0.3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</row>
    <row r="887" spans="1:20" ht="20.100000000000001" customHeight="1" x14ac:dyDescent="0.3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</row>
    <row r="888" spans="1:20" ht="20.100000000000001" customHeight="1" x14ac:dyDescent="0.3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</row>
    <row r="889" spans="1:20" ht="20.100000000000001" customHeight="1" x14ac:dyDescent="0.3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</row>
    <row r="890" spans="1:20" ht="20.100000000000001" customHeight="1" x14ac:dyDescent="0.3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</row>
    <row r="891" spans="1:20" ht="20.100000000000001" customHeight="1" x14ac:dyDescent="0.3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</row>
    <row r="892" spans="1:20" ht="20.100000000000001" customHeight="1" x14ac:dyDescent="0.3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</row>
    <row r="893" spans="1:20" ht="20.100000000000001" customHeight="1" x14ac:dyDescent="0.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</row>
    <row r="894" spans="1:20" ht="20.100000000000001" customHeight="1" x14ac:dyDescent="0.3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</row>
    <row r="895" spans="1:20" ht="20.100000000000001" customHeight="1" x14ac:dyDescent="0.3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</row>
    <row r="896" spans="1:20" ht="20.100000000000001" customHeight="1" x14ac:dyDescent="0.3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</row>
    <row r="897" spans="1:20" ht="20.100000000000001" customHeight="1" x14ac:dyDescent="0.3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</row>
    <row r="898" spans="1:20" ht="20.100000000000001" customHeight="1" x14ac:dyDescent="0.3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</row>
    <row r="899" spans="1:20" ht="20.100000000000001" customHeight="1" x14ac:dyDescent="0.3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</row>
    <row r="900" spans="1:20" ht="20.100000000000001" customHeight="1" x14ac:dyDescent="0.3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</row>
    <row r="901" spans="1:20" ht="20.100000000000001" customHeight="1" x14ac:dyDescent="0.3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</row>
    <row r="902" spans="1:20" ht="20.100000000000001" customHeight="1" x14ac:dyDescent="0.3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</row>
    <row r="903" spans="1:20" ht="20.100000000000001" customHeight="1" x14ac:dyDescent="0.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</row>
    <row r="904" spans="1:20" ht="20.100000000000001" customHeight="1" x14ac:dyDescent="0.3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</row>
    <row r="905" spans="1:20" ht="20.100000000000001" customHeight="1" x14ac:dyDescent="0.3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</row>
    <row r="906" spans="1:20" ht="20.100000000000001" customHeight="1" x14ac:dyDescent="0.3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</row>
    <row r="907" spans="1:20" ht="20.100000000000001" customHeight="1" x14ac:dyDescent="0.3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</row>
    <row r="908" spans="1:20" ht="20.100000000000001" customHeight="1" x14ac:dyDescent="0.3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</row>
    <row r="909" spans="1:20" ht="20.100000000000001" customHeight="1" x14ac:dyDescent="0.3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</row>
    <row r="910" spans="1:20" ht="20.100000000000001" customHeight="1" x14ac:dyDescent="0.3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</row>
    <row r="911" spans="1:20" ht="20.100000000000001" customHeight="1" x14ac:dyDescent="0.3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</row>
    <row r="912" spans="1:20" ht="20.100000000000001" customHeight="1" x14ac:dyDescent="0.3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</row>
    <row r="913" spans="1:20" ht="20.100000000000001" customHeight="1" x14ac:dyDescent="0.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</row>
    <row r="914" spans="1:20" ht="20.100000000000001" customHeight="1" x14ac:dyDescent="0.3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</row>
    <row r="915" spans="1:20" ht="20.100000000000001" customHeight="1" x14ac:dyDescent="0.3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</row>
    <row r="916" spans="1:20" ht="20.100000000000001" customHeight="1" x14ac:dyDescent="0.3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</row>
    <row r="917" spans="1:20" ht="20.100000000000001" customHeight="1" x14ac:dyDescent="0.3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</row>
    <row r="918" spans="1:20" ht="20.100000000000001" customHeight="1" x14ac:dyDescent="0.3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</row>
    <row r="919" spans="1:20" ht="20.100000000000001" customHeight="1" x14ac:dyDescent="0.3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</row>
    <row r="920" spans="1:20" ht="20.100000000000001" customHeight="1" x14ac:dyDescent="0.3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</row>
    <row r="921" spans="1:20" ht="20.100000000000001" customHeight="1" x14ac:dyDescent="0.3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</row>
    <row r="922" spans="1:20" ht="20.100000000000001" customHeight="1" x14ac:dyDescent="0.3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</row>
    <row r="923" spans="1:20" ht="20.100000000000001" customHeight="1" x14ac:dyDescent="0.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</row>
    <row r="924" spans="1:20" ht="20.100000000000001" customHeight="1" x14ac:dyDescent="0.3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</row>
    <row r="925" spans="1:20" ht="20.100000000000001" customHeight="1" x14ac:dyDescent="0.3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</row>
    <row r="926" spans="1:20" ht="20.100000000000001" customHeight="1" x14ac:dyDescent="0.3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</row>
    <row r="927" spans="1:20" ht="20.100000000000001" customHeight="1" x14ac:dyDescent="0.3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</row>
    <row r="928" spans="1:20" ht="20.100000000000001" customHeight="1" x14ac:dyDescent="0.3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</row>
    <row r="929" spans="1:20" ht="20.100000000000001" customHeight="1" x14ac:dyDescent="0.3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</row>
    <row r="930" spans="1:20" ht="20.100000000000001" customHeight="1" x14ac:dyDescent="0.3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</row>
    <row r="931" spans="1:20" ht="20.100000000000001" customHeight="1" x14ac:dyDescent="0.3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</row>
    <row r="932" spans="1:20" ht="20.100000000000001" customHeight="1" x14ac:dyDescent="0.3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</row>
    <row r="933" spans="1:20" ht="20.100000000000001" customHeight="1" x14ac:dyDescent="0.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</row>
    <row r="934" spans="1:20" ht="20.100000000000001" customHeight="1" x14ac:dyDescent="0.3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</row>
    <row r="935" spans="1:20" ht="20.100000000000001" customHeight="1" x14ac:dyDescent="0.3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</row>
    <row r="936" spans="1:20" ht="20.100000000000001" customHeight="1" x14ac:dyDescent="0.3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</row>
    <row r="937" spans="1:20" ht="20.100000000000001" customHeight="1" x14ac:dyDescent="0.3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</row>
    <row r="938" spans="1:20" ht="20.100000000000001" customHeight="1" x14ac:dyDescent="0.3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</row>
    <row r="939" spans="1:20" ht="20.100000000000001" customHeight="1" x14ac:dyDescent="0.3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</row>
    <row r="940" spans="1:20" ht="20.100000000000001" customHeight="1" x14ac:dyDescent="0.3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</row>
    <row r="941" spans="1:20" ht="20.100000000000001" customHeight="1" x14ac:dyDescent="0.3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</row>
    <row r="942" spans="1:20" ht="20.100000000000001" customHeight="1" x14ac:dyDescent="0.3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</row>
    <row r="943" spans="1:20" ht="20.100000000000001" customHeight="1" x14ac:dyDescent="0.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</row>
    <row r="944" spans="1:20" ht="20.100000000000001" customHeight="1" x14ac:dyDescent="0.3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</row>
    <row r="945" spans="1:20" ht="20.100000000000001" customHeight="1" x14ac:dyDescent="0.3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</row>
    <row r="946" spans="1:20" ht="20.100000000000001" customHeight="1" x14ac:dyDescent="0.3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</row>
    <row r="947" spans="1:20" ht="20.100000000000001" customHeight="1" x14ac:dyDescent="0.3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</row>
    <row r="948" spans="1:20" ht="20.100000000000001" customHeight="1" x14ac:dyDescent="0.3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</row>
    <row r="949" spans="1:20" ht="20.100000000000001" customHeight="1" x14ac:dyDescent="0.3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</row>
    <row r="950" spans="1:20" ht="20.100000000000001" customHeight="1" x14ac:dyDescent="0.3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</row>
    <row r="951" spans="1:20" ht="20.100000000000001" customHeight="1" x14ac:dyDescent="0.3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</row>
    <row r="952" spans="1:20" ht="20.100000000000001" customHeight="1" x14ac:dyDescent="0.3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</row>
    <row r="953" spans="1:20" ht="20.100000000000001" customHeight="1" x14ac:dyDescent="0.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</row>
    <row r="954" spans="1:20" ht="20.100000000000001" customHeight="1" x14ac:dyDescent="0.3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</row>
    <row r="955" spans="1:20" ht="20.100000000000001" customHeight="1" x14ac:dyDescent="0.3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</row>
    <row r="956" spans="1:20" ht="20.100000000000001" customHeight="1" x14ac:dyDescent="0.3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</row>
    <row r="957" spans="1:20" ht="20.100000000000001" customHeight="1" x14ac:dyDescent="0.3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</row>
    <row r="958" spans="1:20" ht="20.100000000000001" customHeight="1" x14ac:dyDescent="0.3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</row>
    <row r="959" spans="1:20" ht="20.100000000000001" customHeight="1" x14ac:dyDescent="0.3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</row>
    <row r="960" spans="1:20" ht="20.100000000000001" customHeight="1" x14ac:dyDescent="0.3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</row>
    <row r="961" spans="1:20" ht="20.100000000000001" customHeight="1" x14ac:dyDescent="0.3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</row>
    <row r="962" spans="1:20" ht="20.100000000000001" customHeight="1" x14ac:dyDescent="0.3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</row>
    <row r="963" spans="1:20" ht="20.100000000000001" customHeight="1" x14ac:dyDescent="0.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</row>
    <row r="964" spans="1:20" ht="20.100000000000001" customHeight="1" x14ac:dyDescent="0.3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</row>
    <row r="965" spans="1:20" ht="20.100000000000001" customHeight="1" x14ac:dyDescent="0.3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</row>
    <row r="966" spans="1:20" ht="20.100000000000001" customHeight="1" x14ac:dyDescent="0.3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</row>
    <row r="967" spans="1:20" ht="20.100000000000001" customHeight="1" x14ac:dyDescent="0.3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</row>
    <row r="968" spans="1:20" ht="20.100000000000001" customHeight="1" x14ac:dyDescent="0.3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</row>
    <row r="969" spans="1:20" ht="20.100000000000001" customHeight="1" x14ac:dyDescent="0.3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</row>
    <row r="970" spans="1:20" ht="20.100000000000001" customHeight="1" x14ac:dyDescent="0.3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</row>
    <row r="971" spans="1:20" ht="20.100000000000001" customHeight="1" x14ac:dyDescent="0.3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</row>
    <row r="972" spans="1:20" ht="20.100000000000001" customHeight="1" x14ac:dyDescent="0.3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</row>
    <row r="973" spans="1:20" ht="20.100000000000001" customHeight="1" x14ac:dyDescent="0.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</row>
    <row r="974" spans="1:20" ht="20.100000000000001" customHeight="1" x14ac:dyDescent="0.3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</row>
    <row r="975" spans="1:20" ht="20.100000000000001" customHeight="1" x14ac:dyDescent="0.3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</row>
    <row r="976" spans="1:20" ht="20.100000000000001" customHeight="1" x14ac:dyDescent="0.3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</row>
    <row r="977" spans="1:20" ht="20.100000000000001" customHeight="1" x14ac:dyDescent="0.3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</row>
    <row r="978" spans="1:20" ht="20.100000000000001" customHeight="1" x14ac:dyDescent="0.3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</row>
    <row r="979" spans="1:20" ht="20.100000000000001" customHeight="1" x14ac:dyDescent="0.3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</row>
    <row r="980" spans="1:20" ht="20.100000000000001" customHeight="1" x14ac:dyDescent="0.3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</row>
    <row r="981" spans="1:20" ht="20.100000000000001" customHeight="1" x14ac:dyDescent="0.3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</row>
    <row r="982" spans="1:20" ht="20.100000000000001" customHeight="1" x14ac:dyDescent="0.3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</row>
    <row r="983" spans="1:20" ht="20.100000000000001" customHeight="1" x14ac:dyDescent="0.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</row>
    <row r="984" spans="1:20" ht="20.100000000000001" customHeight="1" x14ac:dyDescent="0.3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</row>
    <row r="985" spans="1:20" ht="20.100000000000001" customHeight="1" x14ac:dyDescent="0.3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</row>
    <row r="986" spans="1:20" ht="20.100000000000001" customHeight="1" x14ac:dyDescent="0.3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</row>
    <row r="987" spans="1:20" ht="20.100000000000001" customHeight="1" x14ac:dyDescent="0.3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</row>
    <row r="988" spans="1:20" ht="20.100000000000001" customHeight="1" x14ac:dyDescent="0.3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</row>
    <row r="989" spans="1:20" ht="20.100000000000001" customHeight="1" x14ac:dyDescent="0.3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</row>
    <row r="990" spans="1:20" ht="20.100000000000001" customHeight="1" x14ac:dyDescent="0.3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</row>
    <row r="991" spans="1:20" ht="20.100000000000001" customHeight="1" x14ac:dyDescent="0.3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</row>
    <row r="992" spans="1:20" ht="20.100000000000001" customHeight="1" x14ac:dyDescent="0.3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</row>
    <row r="993" spans="1:20" ht="20.100000000000001" customHeight="1" x14ac:dyDescent="0.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</row>
    <row r="994" spans="1:20" ht="20.100000000000001" customHeight="1" x14ac:dyDescent="0.3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</row>
    <row r="995" spans="1:20" ht="20.100000000000001" customHeight="1" x14ac:dyDescent="0.3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</row>
    <row r="996" spans="1:20" ht="20.100000000000001" customHeight="1" x14ac:dyDescent="0.3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</row>
    <row r="997" spans="1:20" ht="20.100000000000001" customHeight="1" x14ac:dyDescent="0.3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</row>
    <row r="998" spans="1:20" ht="20.100000000000001" customHeight="1" x14ac:dyDescent="0.3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</row>
    <row r="999" spans="1:20" ht="20.100000000000001" customHeight="1" x14ac:dyDescent="0.3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</row>
    <row r="1000" spans="1:20" ht="20.100000000000001" customHeight="1" x14ac:dyDescent="0.3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</row>
  </sheetData>
  <mergeCells count="1">
    <mergeCell ref="B1:F1"/>
  </mergeCells>
  <dataValidations count="2">
    <dataValidation type="list" allowBlank="1" showInputMessage="1" showErrorMessage="1" sqref="I10" xr:uid="{876D6B3E-92BA-4B3D-87BC-585B16BDD948}">
      <formula1>$B$4:$B$14</formula1>
    </dataValidation>
    <dataValidation type="list" allowBlank="1" showInputMessage="1" showErrorMessage="1" sqref="J10" xr:uid="{4B5D9220-1F3F-4BDB-84AA-1F5F390921C5}">
      <formula1>$C$4:$C$14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4"/>
  <sheetViews>
    <sheetView showGridLines="0" topLeftCell="P1" workbookViewId="0">
      <selection activeCell="S7" sqref="S7"/>
    </sheetView>
  </sheetViews>
  <sheetFormatPr defaultRowHeight="14.4" x14ac:dyDescent="0.3"/>
  <cols>
    <col min="1" max="1" width="12.5546875" customWidth="1"/>
    <col min="2" max="2" width="10.44140625" bestFit="1" customWidth="1"/>
    <col min="3" max="3" width="28.88671875" customWidth="1"/>
    <col min="4" max="4" width="22.109375" customWidth="1"/>
    <col min="5" max="5" width="27.6640625" customWidth="1"/>
    <col min="6" max="6" width="21.109375" customWidth="1"/>
    <col min="7" max="7" width="13.88671875" customWidth="1"/>
    <col min="8" max="8" width="13.5546875" customWidth="1"/>
    <col min="9" max="9" width="12.44140625" customWidth="1"/>
    <col min="10" max="10" width="16.33203125" customWidth="1"/>
    <col min="11" max="11" width="18.88671875" bestFit="1" customWidth="1"/>
    <col min="13" max="13" width="10.44140625" bestFit="1" customWidth="1"/>
    <col min="15" max="15" width="14.109375" customWidth="1"/>
    <col min="16" max="16" width="15.5546875" customWidth="1"/>
    <col min="18" max="18" width="28.88671875" customWidth="1"/>
    <col min="19" max="19" width="17.6640625" style="26" bestFit="1" customWidth="1"/>
  </cols>
  <sheetData>
    <row r="1" spans="1:21" ht="15" customHeight="1" x14ac:dyDescent="0.3">
      <c r="S1" s="56" t="s">
        <v>125</v>
      </c>
      <c r="T1" s="57"/>
      <c r="U1" s="57"/>
    </row>
    <row r="2" spans="1:21" ht="25.8" x14ac:dyDescent="0.5">
      <c r="A2" s="48" t="s">
        <v>139</v>
      </c>
      <c r="S2" s="57"/>
      <c r="T2" s="57"/>
      <c r="U2" s="57"/>
    </row>
    <row r="3" spans="1:21" x14ac:dyDescent="0.3">
      <c r="S3" s="42"/>
      <c r="T3" s="42"/>
      <c r="U3" s="42"/>
    </row>
    <row r="4" spans="1:21" ht="15" thickBot="1" x14ac:dyDescent="0.35">
      <c r="S4" s="42"/>
      <c r="T4" s="42"/>
      <c r="U4" s="42"/>
    </row>
    <row r="5" spans="1:21" ht="20.100000000000001" customHeight="1" thickBot="1" x14ac:dyDescent="0.4">
      <c r="A5" s="49" t="s">
        <v>140</v>
      </c>
      <c r="B5" s="50" t="s">
        <v>0</v>
      </c>
      <c r="C5" s="50" t="s">
        <v>124</v>
      </c>
      <c r="D5" s="50" t="s">
        <v>1</v>
      </c>
      <c r="E5" s="50" t="s">
        <v>2</v>
      </c>
      <c r="F5" s="50" t="s">
        <v>3</v>
      </c>
      <c r="G5" s="50" t="s">
        <v>4</v>
      </c>
      <c r="H5" s="50" t="s">
        <v>5</v>
      </c>
      <c r="I5" s="50" t="s">
        <v>6</v>
      </c>
      <c r="J5" s="50" t="s">
        <v>7</v>
      </c>
      <c r="K5" s="50" t="s">
        <v>141</v>
      </c>
      <c r="L5" s="50" t="s">
        <v>8</v>
      </c>
      <c r="M5" s="50" t="s">
        <v>9</v>
      </c>
      <c r="N5" s="50" t="s">
        <v>10</v>
      </c>
      <c r="O5" s="50" t="s">
        <v>11</v>
      </c>
      <c r="P5" s="50" t="s">
        <v>12</v>
      </c>
      <c r="Q5" s="29"/>
      <c r="R5" s="32" t="s">
        <v>124</v>
      </c>
      <c r="S5" s="33" t="s">
        <v>7</v>
      </c>
      <c r="T5" s="34" t="s">
        <v>8</v>
      </c>
      <c r="U5" s="35" t="s">
        <v>9</v>
      </c>
    </row>
    <row r="6" spans="1:21" ht="20.100000000000001" customHeight="1" thickBot="1" x14ac:dyDescent="0.35">
      <c r="A6" s="2">
        <v>1</v>
      </c>
      <c r="B6" s="3">
        <v>44205</v>
      </c>
      <c r="C6" s="51" t="s">
        <v>13</v>
      </c>
      <c r="D6" s="4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3">
        <v>44205</v>
      </c>
      <c r="J6" s="5">
        <v>0</v>
      </c>
      <c r="K6" s="5">
        <v>0</v>
      </c>
      <c r="L6" s="5">
        <v>0</v>
      </c>
      <c r="M6" s="6">
        <v>0</v>
      </c>
      <c r="N6" s="6">
        <v>0</v>
      </c>
      <c r="O6" s="5" t="s">
        <v>19</v>
      </c>
      <c r="P6" s="5" t="s">
        <v>20</v>
      </c>
      <c r="Q6" s="29"/>
      <c r="R6" s="36" t="s">
        <v>13</v>
      </c>
      <c r="S6" s="27">
        <f>SUMIF($C$6:$C$45,R6,$N$6:$N$45)</f>
        <v>0</v>
      </c>
      <c r="T6" s="5">
        <f ca="1">SUMIF($C$6:$C$45,R6,$L$6:$L$13)</f>
        <v>0</v>
      </c>
      <c r="U6" s="37">
        <f>-SUMIF($C$6:$C$45,R6,$M$6:$M$46)</f>
        <v>0</v>
      </c>
    </row>
    <row r="7" spans="1:21" ht="20.100000000000001" customHeight="1" thickBot="1" x14ac:dyDescent="0.35">
      <c r="A7" s="2">
        <v>2</v>
      </c>
      <c r="B7" s="3">
        <v>44205</v>
      </c>
      <c r="C7" s="51" t="s">
        <v>21</v>
      </c>
      <c r="D7" s="4" t="s">
        <v>22</v>
      </c>
      <c r="E7" s="5" t="s">
        <v>23</v>
      </c>
      <c r="F7" s="5" t="s">
        <v>16</v>
      </c>
      <c r="G7" s="5" t="s">
        <v>24</v>
      </c>
      <c r="H7" s="5" t="s">
        <v>25</v>
      </c>
      <c r="I7" s="3">
        <v>44205</v>
      </c>
      <c r="J7" s="5">
        <v>3000</v>
      </c>
      <c r="K7" s="5" t="s">
        <v>113</v>
      </c>
      <c r="L7" s="5">
        <v>2000</v>
      </c>
      <c r="M7" s="6">
        <v>1000</v>
      </c>
      <c r="N7" s="6">
        <v>3000</v>
      </c>
      <c r="O7" s="5" t="s">
        <v>26</v>
      </c>
      <c r="P7" s="5" t="s">
        <v>27</v>
      </c>
      <c r="Q7" s="29"/>
      <c r="R7" s="36" t="s">
        <v>21</v>
      </c>
      <c r="S7" s="27">
        <f>SUMIF($C$6:$C$45,R7,$N$6:$N$45)</f>
        <v>3000</v>
      </c>
      <c r="T7" s="5">
        <f t="shared" ref="T7:T45" ca="1" si="0">SUMIF($C$6:$C$45,R7,$L$6:$L$13)</f>
        <v>2000</v>
      </c>
      <c r="U7" s="37">
        <f t="shared" ref="U7:U45" si="1">-SUMIF($C$6:$C$45,R7,$M$6:$M$46)</f>
        <v>-1000</v>
      </c>
    </row>
    <row r="8" spans="1:21" ht="20.100000000000001" customHeight="1" thickBot="1" x14ac:dyDescent="0.35">
      <c r="A8" s="2">
        <v>3</v>
      </c>
      <c r="B8" s="3">
        <v>44205</v>
      </c>
      <c r="C8" s="51" t="s">
        <v>28</v>
      </c>
      <c r="D8" s="4" t="s">
        <v>29</v>
      </c>
      <c r="E8" s="5" t="s">
        <v>30</v>
      </c>
      <c r="F8" s="5" t="s">
        <v>16</v>
      </c>
      <c r="G8" s="5" t="s">
        <v>17</v>
      </c>
      <c r="H8" s="5" t="s">
        <v>31</v>
      </c>
      <c r="I8" s="3">
        <v>44236</v>
      </c>
      <c r="J8" s="5">
        <v>5000</v>
      </c>
      <c r="K8" s="5" t="s">
        <v>126</v>
      </c>
      <c r="L8" s="5">
        <v>3000</v>
      </c>
      <c r="M8" s="6">
        <v>2000</v>
      </c>
      <c r="N8" s="6">
        <v>5000</v>
      </c>
      <c r="O8" s="5" t="s">
        <v>26</v>
      </c>
      <c r="P8" s="5" t="s">
        <v>32</v>
      </c>
      <c r="Q8" s="29"/>
      <c r="R8" s="36" t="s">
        <v>28</v>
      </c>
      <c r="S8" s="27">
        <f t="shared" ref="S7:S45" si="2">SUMIF($C$6:$C$45,R8,$N$6:$N$45)</f>
        <v>5000</v>
      </c>
      <c r="T8" s="5">
        <f t="shared" ca="1" si="0"/>
        <v>3000</v>
      </c>
      <c r="U8" s="37">
        <f t="shared" si="1"/>
        <v>-2000</v>
      </c>
    </row>
    <row r="9" spans="1:21" ht="20.100000000000001" customHeight="1" thickBot="1" x14ac:dyDescent="0.35">
      <c r="A9" s="2">
        <v>4</v>
      </c>
      <c r="B9" s="3">
        <v>44205</v>
      </c>
      <c r="C9" s="51" t="s">
        <v>33</v>
      </c>
      <c r="D9" s="4" t="s">
        <v>29</v>
      </c>
      <c r="E9" s="5" t="s">
        <v>34</v>
      </c>
      <c r="F9" s="5" t="s">
        <v>35</v>
      </c>
      <c r="G9" s="5" t="s">
        <v>17</v>
      </c>
      <c r="H9" s="5" t="s">
        <v>36</v>
      </c>
      <c r="I9" s="3">
        <v>44236</v>
      </c>
      <c r="J9" s="5">
        <v>0</v>
      </c>
      <c r="K9" s="5">
        <v>0</v>
      </c>
      <c r="L9" s="5">
        <v>0</v>
      </c>
      <c r="M9" s="6">
        <v>0</v>
      </c>
      <c r="N9" s="6">
        <v>0</v>
      </c>
      <c r="O9" s="5" t="s">
        <v>19</v>
      </c>
      <c r="P9" s="5" t="s">
        <v>37</v>
      </c>
      <c r="Q9" s="29"/>
      <c r="R9" s="36" t="s">
        <v>33</v>
      </c>
      <c r="S9" s="27">
        <f t="shared" si="2"/>
        <v>0</v>
      </c>
      <c r="T9" s="5">
        <f t="shared" ca="1" si="0"/>
        <v>0</v>
      </c>
      <c r="U9" s="37">
        <f t="shared" si="1"/>
        <v>0</v>
      </c>
    </row>
    <row r="10" spans="1:21" ht="20.100000000000001" customHeight="1" thickBot="1" x14ac:dyDescent="0.35">
      <c r="A10" s="2">
        <v>5</v>
      </c>
      <c r="B10" s="3">
        <v>44236</v>
      </c>
      <c r="C10" s="51" t="s">
        <v>38</v>
      </c>
      <c r="D10" s="4" t="s">
        <v>39</v>
      </c>
      <c r="E10" s="5" t="s">
        <v>40</v>
      </c>
      <c r="F10" s="5" t="s">
        <v>35</v>
      </c>
      <c r="G10" s="5" t="s">
        <v>17</v>
      </c>
      <c r="H10" s="5" t="s">
        <v>41</v>
      </c>
      <c r="I10" s="3">
        <v>44264</v>
      </c>
      <c r="J10" s="5">
        <v>2000</v>
      </c>
      <c r="K10" s="5" t="s">
        <v>111</v>
      </c>
      <c r="L10" s="5">
        <v>2000</v>
      </c>
      <c r="M10" s="6">
        <v>0</v>
      </c>
      <c r="N10" s="6">
        <v>2000</v>
      </c>
      <c r="O10" s="5" t="s">
        <v>19</v>
      </c>
      <c r="P10" s="5" t="s">
        <v>42</v>
      </c>
      <c r="Q10" s="29"/>
      <c r="R10" s="36" t="s">
        <v>38</v>
      </c>
      <c r="S10" s="27">
        <f t="shared" si="2"/>
        <v>2000</v>
      </c>
      <c r="T10" s="5">
        <f t="shared" ca="1" si="0"/>
        <v>2000</v>
      </c>
      <c r="U10" s="37">
        <f t="shared" si="1"/>
        <v>0</v>
      </c>
    </row>
    <row r="11" spans="1:21" ht="20.100000000000001" customHeight="1" thickBot="1" x14ac:dyDescent="0.35">
      <c r="A11" s="2">
        <v>6</v>
      </c>
      <c r="B11" s="3">
        <v>44236</v>
      </c>
      <c r="C11" s="51" t="s">
        <v>43</v>
      </c>
      <c r="D11" s="4" t="s">
        <v>44</v>
      </c>
      <c r="E11" s="5" t="s">
        <v>45</v>
      </c>
      <c r="F11" s="5" t="s">
        <v>35</v>
      </c>
      <c r="G11" s="5" t="s">
        <v>17</v>
      </c>
      <c r="H11" s="5" t="s">
        <v>46</v>
      </c>
      <c r="I11" s="3">
        <v>44264</v>
      </c>
      <c r="J11" s="5">
        <v>500</v>
      </c>
      <c r="K11" s="5" t="s">
        <v>113</v>
      </c>
      <c r="L11" s="5">
        <v>500</v>
      </c>
      <c r="M11" s="6">
        <v>0</v>
      </c>
      <c r="N11" s="6">
        <v>500</v>
      </c>
      <c r="O11" s="5" t="s">
        <v>19</v>
      </c>
      <c r="P11" s="5" t="s">
        <v>47</v>
      </c>
      <c r="Q11" s="29"/>
      <c r="R11" s="36" t="s">
        <v>43</v>
      </c>
      <c r="S11" s="27">
        <f t="shared" si="2"/>
        <v>500</v>
      </c>
      <c r="T11" s="5">
        <f t="shared" ca="1" si="0"/>
        <v>500</v>
      </c>
      <c r="U11" s="37">
        <f t="shared" si="1"/>
        <v>0</v>
      </c>
    </row>
    <row r="12" spans="1:21" ht="20.100000000000001" customHeight="1" thickBot="1" x14ac:dyDescent="0.35">
      <c r="A12" s="2">
        <v>7</v>
      </c>
      <c r="B12" s="3">
        <v>44236</v>
      </c>
      <c r="C12" s="51" t="s">
        <v>48</v>
      </c>
      <c r="D12" s="4" t="s">
        <v>44</v>
      </c>
      <c r="E12" s="5" t="s">
        <v>45</v>
      </c>
      <c r="F12" s="5" t="s">
        <v>16</v>
      </c>
      <c r="G12" s="5" t="s">
        <v>17</v>
      </c>
      <c r="H12" s="5" t="s">
        <v>18</v>
      </c>
      <c r="I12" s="3">
        <v>44295</v>
      </c>
      <c r="J12" s="5">
        <v>0</v>
      </c>
      <c r="K12" s="5">
        <v>0</v>
      </c>
      <c r="L12" s="5">
        <v>0</v>
      </c>
      <c r="M12" s="6">
        <v>0</v>
      </c>
      <c r="N12" s="6">
        <v>0</v>
      </c>
      <c r="O12" s="5" t="s">
        <v>26</v>
      </c>
      <c r="P12" s="5" t="s">
        <v>20</v>
      </c>
      <c r="Q12" s="29"/>
      <c r="R12" s="36" t="s">
        <v>48</v>
      </c>
      <c r="S12" s="27">
        <f t="shared" si="2"/>
        <v>0</v>
      </c>
      <c r="T12" s="5">
        <f t="shared" ca="1" si="0"/>
        <v>0</v>
      </c>
      <c r="U12" s="37">
        <f t="shared" si="1"/>
        <v>0</v>
      </c>
    </row>
    <row r="13" spans="1:21" ht="20.100000000000001" customHeight="1" thickBot="1" x14ac:dyDescent="0.35">
      <c r="A13" s="2">
        <v>8</v>
      </c>
      <c r="B13" s="3">
        <v>44264</v>
      </c>
      <c r="C13" s="51" t="s">
        <v>49</v>
      </c>
      <c r="D13" s="4" t="s">
        <v>29</v>
      </c>
      <c r="E13" s="5" t="s">
        <v>30</v>
      </c>
      <c r="F13" s="5" t="s">
        <v>16</v>
      </c>
      <c r="G13" s="5" t="s">
        <v>17</v>
      </c>
      <c r="H13" s="5" t="s">
        <v>36</v>
      </c>
      <c r="I13" s="3">
        <v>44295</v>
      </c>
      <c r="J13" s="5">
        <v>600</v>
      </c>
      <c r="K13" s="5" t="s">
        <v>113</v>
      </c>
      <c r="L13" s="5">
        <v>600</v>
      </c>
      <c r="M13" s="6">
        <v>0</v>
      </c>
      <c r="N13" s="6">
        <v>600</v>
      </c>
      <c r="O13" s="5" t="s">
        <v>26</v>
      </c>
      <c r="P13" s="5" t="s">
        <v>27</v>
      </c>
      <c r="Q13" s="29"/>
      <c r="R13" s="36" t="s">
        <v>49</v>
      </c>
      <c r="S13" s="27">
        <f t="shared" si="2"/>
        <v>600</v>
      </c>
      <c r="T13" s="5">
        <f t="shared" ca="1" si="0"/>
        <v>600</v>
      </c>
      <c r="U13" s="37">
        <f t="shared" si="1"/>
        <v>0</v>
      </c>
    </row>
    <row r="14" spans="1:21" ht="20.100000000000001" customHeight="1" thickBot="1" x14ac:dyDescent="0.35">
      <c r="A14" s="2">
        <v>9</v>
      </c>
      <c r="B14" s="3">
        <v>44264</v>
      </c>
      <c r="C14" s="51" t="s">
        <v>50</v>
      </c>
      <c r="D14" s="4" t="s">
        <v>29</v>
      </c>
      <c r="E14" s="5" t="s">
        <v>30</v>
      </c>
      <c r="F14" s="5" t="s">
        <v>35</v>
      </c>
      <c r="G14" s="5" t="s">
        <v>24</v>
      </c>
      <c r="H14" s="5" t="s">
        <v>51</v>
      </c>
      <c r="I14" s="3">
        <v>44295</v>
      </c>
      <c r="J14" s="5">
        <v>0</v>
      </c>
      <c r="K14" s="5"/>
      <c r="L14" s="7"/>
      <c r="M14" s="6">
        <v>0</v>
      </c>
      <c r="N14" s="6">
        <v>0</v>
      </c>
      <c r="O14" s="5" t="s">
        <v>26</v>
      </c>
      <c r="P14" s="5" t="s">
        <v>32</v>
      </c>
      <c r="Q14" s="29"/>
      <c r="R14" s="36" t="s">
        <v>50</v>
      </c>
      <c r="S14" s="27">
        <f t="shared" si="2"/>
        <v>0</v>
      </c>
      <c r="T14" s="5">
        <f t="shared" ca="1" si="0"/>
        <v>0</v>
      </c>
      <c r="U14" s="37">
        <f t="shared" si="1"/>
        <v>0</v>
      </c>
    </row>
    <row r="15" spans="1:21" ht="20.100000000000001" customHeight="1" thickBot="1" x14ac:dyDescent="0.35">
      <c r="A15" s="2">
        <v>10</v>
      </c>
      <c r="B15" s="3">
        <v>44386</v>
      </c>
      <c r="C15" s="51" t="s">
        <v>52</v>
      </c>
      <c r="D15" s="4" t="s">
        <v>22</v>
      </c>
      <c r="E15" s="5" t="s">
        <v>23</v>
      </c>
      <c r="F15" s="5" t="s">
        <v>35</v>
      </c>
      <c r="G15" s="5" t="s">
        <v>24</v>
      </c>
      <c r="H15" s="5" t="s">
        <v>36</v>
      </c>
      <c r="I15" s="3">
        <v>44295</v>
      </c>
      <c r="J15" s="5">
        <v>600</v>
      </c>
      <c r="K15" s="5" t="s">
        <v>111</v>
      </c>
      <c r="L15" s="5">
        <v>600</v>
      </c>
      <c r="M15" s="6">
        <v>0</v>
      </c>
      <c r="N15" s="6">
        <v>600</v>
      </c>
      <c r="O15" s="5" t="s">
        <v>19</v>
      </c>
      <c r="P15" s="5" t="s">
        <v>37</v>
      </c>
      <c r="Q15" s="29"/>
      <c r="R15" s="36" t="s">
        <v>52</v>
      </c>
      <c r="S15" s="27">
        <f t="shared" si="2"/>
        <v>600</v>
      </c>
      <c r="T15" s="5">
        <f t="shared" ca="1" si="0"/>
        <v>600</v>
      </c>
      <c r="U15" s="37">
        <f t="shared" si="1"/>
        <v>0</v>
      </c>
    </row>
    <row r="16" spans="1:21" ht="20.100000000000001" customHeight="1" thickBot="1" x14ac:dyDescent="0.35">
      <c r="A16" s="2">
        <v>11</v>
      </c>
      <c r="B16" s="3">
        <v>44386</v>
      </c>
      <c r="C16" s="51" t="s">
        <v>53</v>
      </c>
      <c r="D16" s="4" t="s">
        <v>44</v>
      </c>
      <c r="E16" s="5" t="s">
        <v>45</v>
      </c>
      <c r="F16" s="5" t="s">
        <v>16</v>
      </c>
      <c r="G16" s="5" t="s">
        <v>17</v>
      </c>
      <c r="H16" s="5" t="s">
        <v>54</v>
      </c>
      <c r="I16" s="3">
        <v>44448</v>
      </c>
      <c r="J16" s="5">
        <v>0</v>
      </c>
      <c r="K16" s="5"/>
      <c r="L16" s="7"/>
      <c r="M16" s="6">
        <v>0</v>
      </c>
      <c r="N16" s="6">
        <v>0</v>
      </c>
      <c r="O16" s="5" t="s">
        <v>26</v>
      </c>
      <c r="P16" s="5" t="s">
        <v>42</v>
      </c>
      <c r="Q16" s="29"/>
      <c r="R16" s="36" t="s">
        <v>53</v>
      </c>
      <c r="S16" s="27">
        <f t="shared" si="2"/>
        <v>0</v>
      </c>
      <c r="T16" s="5">
        <f t="shared" ca="1" si="0"/>
        <v>0</v>
      </c>
      <c r="U16" s="37">
        <f t="shared" si="1"/>
        <v>0</v>
      </c>
    </row>
    <row r="17" spans="1:21" ht="20.100000000000001" customHeight="1" thickBot="1" x14ac:dyDescent="0.35">
      <c r="A17" s="2">
        <v>12</v>
      </c>
      <c r="B17" s="3">
        <v>44386</v>
      </c>
      <c r="C17" s="51" t="s">
        <v>55</v>
      </c>
      <c r="D17" s="4" t="s">
        <v>44</v>
      </c>
      <c r="E17" s="5" t="s">
        <v>45</v>
      </c>
      <c r="F17" s="5" t="s">
        <v>16</v>
      </c>
      <c r="G17" s="5" t="s">
        <v>24</v>
      </c>
      <c r="H17" s="5" t="s">
        <v>56</v>
      </c>
      <c r="I17" s="3">
        <v>44448</v>
      </c>
      <c r="J17" s="5">
        <v>500</v>
      </c>
      <c r="K17" s="5"/>
      <c r="L17" s="5">
        <v>0</v>
      </c>
      <c r="M17" s="6">
        <v>500</v>
      </c>
      <c r="N17" s="6">
        <v>500</v>
      </c>
      <c r="O17" s="5" t="s">
        <v>19</v>
      </c>
      <c r="P17" s="5" t="s">
        <v>47</v>
      </c>
      <c r="Q17" s="29"/>
      <c r="R17" s="36" t="s">
        <v>55</v>
      </c>
      <c r="S17" s="27">
        <f t="shared" si="2"/>
        <v>500</v>
      </c>
      <c r="T17" s="5">
        <f t="shared" ca="1" si="0"/>
        <v>0</v>
      </c>
      <c r="U17" s="37">
        <f t="shared" si="1"/>
        <v>-500</v>
      </c>
    </row>
    <row r="18" spans="1:21" ht="20.100000000000001" customHeight="1" thickBot="1" x14ac:dyDescent="0.35">
      <c r="A18" s="2">
        <v>13</v>
      </c>
      <c r="B18" s="3">
        <v>44478</v>
      </c>
      <c r="C18" s="51" t="s">
        <v>57</v>
      </c>
      <c r="D18" s="4" t="s">
        <v>29</v>
      </c>
      <c r="E18" s="5" t="s">
        <v>34</v>
      </c>
      <c r="F18" s="5" t="s">
        <v>35</v>
      </c>
      <c r="G18" s="5" t="s">
        <v>17</v>
      </c>
      <c r="H18" s="5" t="s">
        <v>56</v>
      </c>
      <c r="I18" s="3">
        <v>44509</v>
      </c>
      <c r="J18" s="5">
        <v>0</v>
      </c>
      <c r="K18" s="5"/>
      <c r="L18" s="5">
        <v>0</v>
      </c>
      <c r="M18" s="6">
        <v>0</v>
      </c>
      <c r="N18" s="6">
        <v>0</v>
      </c>
      <c r="O18" s="5" t="s">
        <v>19</v>
      </c>
      <c r="P18" s="5" t="s">
        <v>32</v>
      </c>
      <c r="Q18" s="29"/>
      <c r="R18" s="36" t="s">
        <v>57</v>
      </c>
      <c r="S18" s="27">
        <f t="shared" si="2"/>
        <v>0</v>
      </c>
      <c r="T18" s="5">
        <f t="shared" ca="1" si="0"/>
        <v>0</v>
      </c>
      <c r="U18" s="37">
        <f t="shared" si="1"/>
        <v>0</v>
      </c>
    </row>
    <row r="19" spans="1:21" ht="20.100000000000001" customHeight="1" thickBot="1" x14ac:dyDescent="0.35">
      <c r="A19" s="2">
        <v>14</v>
      </c>
      <c r="B19" s="3">
        <v>44509</v>
      </c>
      <c r="C19" s="51" t="s">
        <v>58</v>
      </c>
      <c r="D19" s="4" t="s">
        <v>29</v>
      </c>
      <c r="E19" s="5" t="s">
        <v>34</v>
      </c>
      <c r="F19" s="5" t="s">
        <v>16</v>
      </c>
      <c r="G19" s="5" t="s">
        <v>24</v>
      </c>
      <c r="H19" s="5" t="s">
        <v>51</v>
      </c>
      <c r="I19" s="5" t="s">
        <v>59</v>
      </c>
      <c r="J19" s="5">
        <v>1000</v>
      </c>
      <c r="K19" s="5"/>
      <c r="L19" s="5">
        <v>0</v>
      </c>
      <c r="M19" s="6">
        <v>1000</v>
      </c>
      <c r="N19" s="6">
        <v>1000</v>
      </c>
      <c r="O19" s="5" t="s">
        <v>26</v>
      </c>
      <c r="P19" s="5" t="s">
        <v>37</v>
      </c>
      <c r="Q19" s="29"/>
      <c r="R19" s="36" t="s">
        <v>58</v>
      </c>
      <c r="S19" s="27">
        <f t="shared" si="2"/>
        <v>1000</v>
      </c>
      <c r="T19" s="5">
        <f t="shared" ca="1" si="0"/>
        <v>0</v>
      </c>
      <c r="U19" s="37">
        <f t="shared" si="1"/>
        <v>-1000</v>
      </c>
    </row>
    <row r="20" spans="1:21" ht="20.100000000000001" customHeight="1" thickBot="1" x14ac:dyDescent="0.35">
      <c r="A20" s="2">
        <v>15</v>
      </c>
      <c r="B20" s="3">
        <v>44509</v>
      </c>
      <c r="C20" s="51" t="s">
        <v>60</v>
      </c>
      <c r="D20" s="4" t="s">
        <v>29</v>
      </c>
      <c r="E20" s="5" t="s">
        <v>34</v>
      </c>
      <c r="F20" s="5" t="s">
        <v>35</v>
      </c>
      <c r="G20" s="5" t="s">
        <v>24</v>
      </c>
      <c r="H20" s="5" t="s">
        <v>18</v>
      </c>
      <c r="I20" s="5" t="s">
        <v>59</v>
      </c>
      <c r="J20" s="5">
        <v>2000</v>
      </c>
      <c r="K20" s="5" t="s">
        <v>113</v>
      </c>
      <c r="L20" s="5">
        <v>1000</v>
      </c>
      <c r="M20" s="6">
        <v>1000</v>
      </c>
      <c r="N20" s="6">
        <v>2000</v>
      </c>
      <c r="O20" s="5" t="s">
        <v>19</v>
      </c>
      <c r="P20" s="5" t="s">
        <v>42</v>
      </c>
      <c r="Q20" s="29"/>
      <c r="R20" s="36" t="s">
        <v>60</v>
      </c>
      <c r="S20" s="27">
        <f t="shared" si="2"/>
        <v>2000</v>
      </c>
      <c r="T20" s="5">
        <f t="shared" ca="1" si="0"/>
        <v>1000</v>
      </c>
      <c r="U20" s="37">
        <f t="shared" si="1"/>
        <v>-1000</v>
      </c>
    </row>
    <row r="21" spans="1:21" ht="20.100000000000001" customHeight="1" thickBot="1" x14ac:dyDescent="0.35">
      <c r="A21" s="2">
        <v>16</v>
      </c>
      <c r="B21" s="3">
        <v>44509</v>
      </c>
      <c r="C21" s="51" t="s">
        <v>61</v>
      </c>
      <c r="D21" s="4" t="s">
        <v>29</v>
      </c>
      <c r="E21" s="5" t="s">
        <v>34</v>
      </c>
      <c r="F21" s="5" t="s">
        <v>16</v>
      </c>
      <c r="G21" s="5" t="s">
        <v>24</v>
      </c>
      <c r="H21" s="5" t="s">
        <v>62</v>
      </c>
      <c r="I21" s="5" t="s">
        <v>59</v>
      </c>
      <c r="J21" s="5">
        <v>4000</v>
      </c>
      <c r="K21" s="5" t="s">
        <v>126</v>
      </c>
      <c r="L21" s="5">
        <v>2000</v>
      </c>
      <c r="M21" s="6">
        <v>2000</v>
      </c>
      <c r="N21" s="6">
        <v>4000</v>
      </c>
      <c r="O21" s="5" t="s">
        <v>19</v>
      </c>
      <c r="P21" s="5" t="s">
        <v>32</v>
      </c>
      <c r="Q21" s="29"/>
      <c r="R21" s="36" t="s">
        <v>61</v>
      </c>
      <c r="S21" s="27">
        <f t="shared" si="2"/>
        <v>4000</v>
      </c>
      <c r="T21" s="5">
        <f t="shared" ca="1" si="0"/>
        <v>2000</v>
      </c>
      <c r="U21" s="37">
        <f t="shared" si="1"/>
        <v>-2000</v>
      </c>
    </row>
    <row r="22" spans="1:21" ht="20.100000000000001" customHeight="1" thickBot="1" x14ac:dyDescent="0.35">
      <c r="A22" s="2">
        <v>17</v>
      </c>
      <c r="B22" s="3">
        <v>44509</v>
      </c>
      <c r="C22" s="51" t="s">
        <v>63</v>
      </c>
      <c r="D22" s="4" t="s">
        <v>29</v>
      </c>
      <c r="E22" s="5" t="s">
        <v>30</v>
      </c>
      <c r="F22" s="5" t="s">
        <v>35</v>
      </c>
      <c r="G22" s="5" t="s">
        <v>17</v>
      </c>
      <c r="H22" s="5" t="s">
        <v>36</v>
      </c>
      <c r="I22" s="5" t="s">
        <v>64</v>
      </c>
      <c r="J22" s="5">
        <v>3000</v>
      </c>
      <c r="K22" s="5" t="s">
        <v>126</v>
      </c>
      <c r="L22" s="5">
        <v>2000</v>
      </c>
      <c r="M22" s="6">
        <v>1000</v>
      </c>
      <c r="N22" s="6">
        <v>3000</v>
      </c>
      <c r="O22" s="5" t="s">
        <v>19</v>
      </c>
      <c r="P22" s="5" t="s">
        <v>37</v>
      </c>
      <c r="Q22" s="29"/>
      <c r="R22" s="36" t="s">
        <v>63</v>
      </c>
      <c r="S22" s="27">
        <f t="shared" si="2"/>
        <v>3000</v>
      </c>
      <c r="T22" s="5">
        <f t="shared" ca="1" si="0"/>
        <v>2000</v>
      </c>
      <c r="U22" s="37">
        <f t="shared" si="1"/>
        <v>-1000</v>
      </c>
    </row>
    <row r="23" spans="1:21" ht="20.100000000000001" customHeight="1" thickBot="1" x14ac:dyDescent="0.35">
      <c r="A23" s="2">
        <v>18</v>
      </c>
      <c r="B23" s="5" t="s">
        <v>65</v>
      </c>
      <c r="C23" s="51" t="s">
        <v>66</v>
      </c>
      <c r="D23" s="4" t="s">
        <v>29</v>
      </c>
      <c r="E23" s="5" t="s">
        <v>30</v>
      </c>
      <c r="F23" s="5" t="s">
        <v>35</v>
      </c>
      <c r="G23" s="5" t="s">
        <v>24</v>
      </c>
      <c r="H23" s="5" t="s">
        <v>18</v>
      </c>
      <c r="I23" s="5" t="s">
        <v>64</v>
      </c>
      <c r="J23" s="5">
        <v>3000</v>
      </c>
      <c r="K23" s="5" t="s">
        <v>113</v>
      </c>
      <c r="L23" s="5">
        <v>3000</v>
      </c>
      <c r="M23" s="6">
        <v>0</v>
      </c>
      <c r="N23" s="6">
        <v>3000</v>
      </c>
      <c r="O23" s="5" t="s">
        <v>26</v>
      </c>
      <c r="P23" s="5" t="s">
        <v>42</v>
      </c>
      <c r="Q23" s="29"/>
      <c r="R23" s="36" t="s">
        <v>66</v>
      </c>
      <c r="S23" s="27">
        <f t="shared" si="2"/>
        <v>3000</v>
      </c>
      <c r="T23" s="5">
        <f t="shared" ca="1" si="0"/>
        <v>3000</v>
      </c>
      <c r="U23" s="37">
        <f t="shared" si="1"/>
        <v>0</v>
      </c>
    </row>
    <row r="24" spans="1:21" ht="20.100000000000001" customHeight="1" thickBot="1" x14ac:dyDescent="0.35">
      <c r="A24" s="2">
        <v>19</v>
      </c>
      <c r="B24" s="5" t="s">
        <v>65</v>
      </c>
      <c r="C24" s="51" t="s">
        <v>67</v>
      </c>
      <c r="D24" s="4" t="s">
        <v>44</v>
      </c>
      <c r="E24" s="5" t="s">
        <v>45</v>
      </c>
      <c r="F24" s="5" t="s">
        <v>16</v>
      </c>
      <c r="G24" s="5" t="s">
        <v>24</v>
      </c>
      <c r="H24" s="5" t="s">
        <v>36</v>
      </c>
      <c r="I24" s="5" t="s">
        <v>64</v>
      </c>
      <c r="J24" s="5">
        <v>2000</v>
      </c>
      <c r="K24" s="5" t="s">
        <v>111</v>
      </c>
      <c r="L24" s="5">
        <v>2000</v>
      </c>
      <c r="M24" s="6">
        <v>0</v>
      </c>
      <c r="N24" s="6">
        <v>2000</v>
      </c>
      <c r="O24" s="5" t="s">
        <v>68</v>
      </c>
      <c r="P24" s="5" t="s">
        <v>20</v>
      </c>
      <c r="Q24" s="29"/>
      <c r="R24" s="36" t="s">
        <v>67</v>
      </c>
      <c r="S24" s="27">
        <f t="shared" si="2"/>
        <v>2000</v>
      </c>
      <c r="T24" s="5">
        <f t="shared" ca="1" si="0"/>
        <v>2000</v>
      </c>
      <c r="U24" s="37">
        <f t="shared" si="1"/>
        <v>0</v>
      </c>
    </row>
    <row r="25" spans="1:21" ht="20.100000000000001" customHeight="1" thickBot="1" x14ac:dyDescent="0.35">
      <c r="A25" s="2">
        <v>20</v>
      </c>
      <c r="B25" s="5" t="s">
        <v>65</v>
      </c>
      <c r="C25" s="52" t="s">
        <v>69</v>
      </c>
      <c r="D25" s="8" t="s">
        <v>44</v>
      </c>
      <c r="E25" s="5" t="s">
        <v>45</v>
      </c>
      <c r="F25" s="5" t="s">
        <v>16</v>
      </c>
      <c r="G25" s="5" t="s">
        <v>17</v>
      </c>
      <c r="H25" s="5" t="s">
        <v>54</v>
      </c>
      <c r="I25" s="5" t="s">
        <v>64</v>
      </c>
      <c r="J25" s="5">
        <v>1000</v>
      </c>
      <c r="K25" s="5" t="s">
        <v>111</v>
      </c>
      <c r="L25" s="5">
        <v>1000</v>
      </c>
      <c r="M25" s="6">
        <v>0</v>
      </c>
      <c r="N25" s="6">
        <v>1000</v>
      </c>
      <c r="O25" s="5" t="s">
        <v>68</v>
      </c>
      <c r="P25" s="5" t="s">
        <v>27</v>
      </c>
      <c r="Q25" s="29"/>
      <c r="R25" s="38" t="s">
        <v>69</v>
      </c>
      <c r="S25" s="27">
        <f t="shared" si="2"/>
        <v>1000</v>
      </c>
      <c r="T25" s="5">
        <f t="shared" ca="1" si="0"/>
        <v>1000</v>
      </c>
      <c r="U25" s="37">
        <f t="shared" si="1"/>
        <v>0</v>
      </c>
    </row>
    <row r="26" spans="1:21" ht="20.100000000000001" customHeight="1" thickBot="1" x14ac:dyDescent="0.35">
      <c r="A26" s="2">
        <v>21</v>
      </c>
      <c r="B26" s="5" t="s">
        <v>59</v>
      </c>
      <c r="C26" s="53" t="s">
        <v>70</v>
      </c>
      <c r="D26" s="9" t="s">
        <v>44</v>
      </c>
      <c r="E26" s="5" t="s">
        <v>45</v>
      </c>
      <c r="F26" s="5" t="s">
        <v>16</v>
      </c>
      <c r="G26" s="5" t="s">
        <v>24</v>
      </c>
      <c r="H26" s="5" t="s">
        <v>18</v>
      </c>
      <c r="I26" s="5" t="s">
        <v>64</v>
      </c>
      <c r="J26" s="5">
        <v>0</v>
      </c>
      <c r="K26" s="5"/>
      <c r="L26" s="5">
        <v>0</v>
      </c>
      <c r="M26" s="6">
        <v>0</v>
      </c>
      <c r="N26" s="6">
        <v>0</v>
      </c>
      <c r="O26" s="5" t="s">
        <v>68</v>
      </c>
      <c r="P26" s="5" t="s">
        <v>32</v>
      </c>
      <c r="Q26" s="29"/>
      <c r="R26" s="39" t="s">
        <v>70</v>
      </c>
      <c r="S26" s="27">
        <f t="shared" si="2"/>
        <v>0</v>
      </c>
      <c r="T26" s="5">
        <f t="shared" ca="1" si="0"/>
        <v>0</v>
      </c>
      <c r="U26" s="37">
        <f t="shared" si="1"/>
        <v>0</v>
      </c>
    </row>
    <row r="27" spans="1:21" ht="20.100000000000001" customHeight="1" thickBot="1" x14ac:dyDescent="0.35">
      <c r="A27" s="2">
        <v>22</v>
      </c>
      <c r="B27" s="5" t="s">
        <v>59</v>
      </c>
      <c r="C27" s="53" t="s">
        <v>71</v>
      </c>
      <c r="D27" s="9" t="s">
        <v>29</v>
      </c>
      <c r="E27" s="5" t="s">
        <v>34</v>
      </c>
      <c r="F27" s="5" t="s">
        <v>16</v>
      </c>
      <c r="G27" s="5" t="s">
        <v>17</v>
      </c>
      <c r="H27" s="5" t="s">
        <v>25</v>
      </c>
      <c r="I27" s="5" t="s">
        <v>64</v>
      </c>
      <c r="J27" s="5">
        <v>0</v>
      </c>
      <c r="K27" s="5"/>
      <c r="L27" s="5">
        <v>0</v>
      </c>
      <c r="M27" s="6">
        <v>0</v>
      </c>
      <c r="N27" s="6">
        <v>0</v>
      </c>
      <c r="O27" s="5" t="s">
        <v>72</v>
      </c>
      <c r="P27" s="5" t="s">
        <v>37</v>
      </c>
      <c r="Q27" s="29"/>
      <c r="R27" s="39" t="s">
        <v>71</v>
      </c>
      <c r="S27" s="27">
        <f t="shared" si="2"/>
        <v>0</v>
      </c>
      <c r="T27" s="5">
        <f t="shared" ca="1" si="0"/>
        <v>0</v>
      </c>
      <c r="U27" s="37">
        <f t="shared" si="1"/>
        <v>0</v>
      </c>
    </row>
    <row r="28" spans="1:21" ht="20.100000000000001" customHeight="1" thickBot="1" x14ac:dyDescent="0.35">
      <c r="A28" s="2">
        <v>23</v>
      </c>
      <c r="B28" s="5" t="s">
        <v>59</v>
      </c>
      <c r="C28" s="53" t="s">
        <v>73</v>
      </c>
      <c r="D28" s="4" t="s">
        <v>14</v>
      </c>
      <c r="E28" s="5" t="s">
        <v>15</v>
      </c>
      <c r="F28" s="5" t="s">
        <v>35</v>
      </c>
      <c r="G28" s="5" t="s">
        <v>17</v>
      </c>
      <c r="H28" s="5" t="s">
        <v>31</v>
      </c>
      <c r="I28" s="5" t="s">
        <v>64</v>
      </c>
      <c r="J28" s="5">
        <v>1000</v>
      </c>
      <c r="K28" s="5" t="s">
        <v>113</v>
      </c>
      <c r="L28" s="5">
        <v>500</v>
      </c>
      <c r="M28" s="6">
        <v>500</v>
      </c>
      <c r="N28" s="6">
        <v>1000</v>
      </c>
      <c r="O28" s="5" t="s">
        <v>72</v>
      </c>
      <c r="P28" s="5" t="s">
        <v>20</v>
      </c>
      <c r="Q28" s="29"/>
      <c r="R28" s="39" t="s">
        <v>73</v>
      </c>
      <c r="S28" s="27">
        <f t="shared" si="2"/>
        <v>1000</v>
      </c>
      <c r="T28" s="5">
        <f t="shared" ca="1" si="0"/>
        <v>500</v>
      </c>
      <c r="U28" s="37">
        <f t="shared" si="1"/>
        <v>-500</v>
      </c>
    </row>
    <row r="29" spans="1:21" ht="20.100000000000001" customHeight="1" thickBot="1" x14ac:dyDescent="0.35">
      <c r="A29" s="2">
        <v>24</v>
      </c>
      <c r="B29" s="5" t="s">
        <v>64</v>
      </c>
      <c r="C29" s="54" t="s">
        <v>74</v>
      </c>
      <c r="D29" s="4" t="s">
        <v>22</v>
      </c>
      <c r="E29" s="5" t="s">
        <v>23</v>
      </c>
      <c r="F29" s="5" t="s">
        <v>35</v>
      </c>
      <c r="G29" s="5" t="s">
        <v>24</v>
      </c>
      <c r="H29" s="5" t="s">
        <v>36</v>
      </c>
      <c r="I29" s="5" t="s">
        <v>75</v>
      </c>
      <c r="J29" s="5">
        <v>2000</v>
      </c>
      <c r="K29" s="5" t="s">
        <v>111</v>
      </c>
      <c r="L29" s="5">
        <v>1500</v>
      </c>
      <c r="M29" s="6">
        <v>500</v>
      </c>
      <c r="N29" s="6">
        <v>2000</v>
      </c>
      <c r="O29" s="5" t="s">
        <v>26</v>
      </c>
      <c r="P29" s="5" t="s">
        <v>20</v>
      </c>
      <c r="Q29" s="29"/>
      <c r="R29" s="40" t="s">
        <v>74</v>
      </c>
      <c r="S29" s="27">
        <f t="shared" si="2"/>
        <v>2000</v>
      </c>
      <c r="T29" s="5">
        <f t="shared" ca="1" si="0"/>
        <v>1500</v>
      </c>
      <c r="U29" s="37">
        <f t="shared" si="1"/>
        <v>-500</v>
      </c>
    </row>
    <row r="30" spans="1:21" ht="20.100000000000001" customHeight="1" thickBot="1" x14ac:dyDescent="0.35">
      <c r="A30" s="2">
        <v>25</v>
      </c>
      <c r="B30" s="5" t="s">
        <v>64</v>
      </c>
      <c r="C30" s="54" t="s">
        <v>76</v>
      </c>
      <c r="D30" s="4" t="s">
        <v>29</v>
      </c>
      <c r="E30" s="5" t="s">
        <v>30</v>
      </c>
      <c r="F30" s="5" t="s">
        <v>35</v>
      </c>
      <c r="G30" s="5" t="s">
        <v>24</v>
      </c>
      <c r="H30" s="5" t="s">
        <v>41</v>
      </c>
      <c r="I30" s="5" t="s">
        <v>75</v>
      </c>
      <c r="J30" s="5">
        <v>4000</v>
      </c>
      <c r="K30" s="5" t="s">
        <v>111</v>
      </c>
      <c r="L30" s="5">
        <v>500</v>
      </c>
      <c r="M30" s="6">
        <v>3500</v>
      </c>
      <c r="N30" s="6">
        <v>4000</v>
      </c>
      <c r="O30" s="5" t="s">
        <v>26</v>
      </c>
      <c r="P30" s="5" t="s">
        <v>27</v>
      </c>
      <c r="Q30" s="29"/>
      <c r="R30" s="40" t="s">
        <v>76</v>
      </c>
      <c r="S30" s="27">
        <f t="shared" si="2"/>
        <v>4000</v>
      </c>
      <c r="T30" s="5">
        <f t="shared" ca="1" si="0"/>
        <v>500</v>
      </c>
      <c r="U30" s="37">
        <f t="shared" si="1"/>
        <v>-3500</v>
      </c>
    </row>
    <row r="31" spans="1:21" ht="20.100000000000001" customHeight="1" thickBot="1" x14ac:dyDescent="0.35">
      <c r="A31" s="2">
        <v>26</v>
      </c>
      <c r="B31" s="5" t="s">
        <v>77</v>
      </c>
      <c r="C31" s="53" t="s">
        <v>78</v>
      </c>
      <c r="D31" s="4" t="s">
        <v>29</v>
      </c>
      <c r="E31" s="5" t="s">
        <v>34</v>
      </c>
      <c r="F31" s="5" t="s">
        <v>16</v>
      </c>
      <c r="G31" s="5" t="s">
        <v>24</v>
      </c>
      <c r="H31" s="5" t="s">
        <v>46</v>
      </c>
      <c r="I31" s="5" t="s">
        <v>75</v>
      </c>
      <c r="J31" s="5">
        <v>3000</v>
      </c>
      <c r="K31" s="5" t="s">
        <v>126</v>
      </c>
      <c r="L31" s="5">
        <v>3000</v>
      </c>
      <c r="M31" s="6">
        <v>0</v>
      </c>
      <c r="N31" s="6">
        <v>3000</v>
      </c>
      <c r="O31" s="5" t="s">
        <v>72</v>
      </c>
      <c r="P31" s="5" t="s">
        <v>27</v>
      </c>
      <c r="Q31" s="29"/>
      <c r="R31" s="39" t="s">
        <v>78</v>
      </c>
      <c r="S31" s="27">
        <f t="shared" si="2"/>
        <v>3000</v>
      </c>
      <c r="T31" s="5">
        <f t="shared" ca="1" si="0"/>
        <v>3000</v>
      </c>
      <c r="U31" s="37">
        <f t="shared" si="1"/>
        <v>0</v>
      </c>
    </row>
    <row r="32" spans="1:21" ht="20.100000000000001" customHeight="1" thickBot="1" x14ac:dyDescent="0.35">
      <c r="A32" s="2">
        <v>27</v>
      </c>
      <c r="B32" s="5" t="s">
        <v>77</v>
      </c>
      <c r="C32" s="53" t="s">
        <v>79</v>
      </c>
      <c r="D32" s="4" t="s">
        <v>39</v>
      </c>
      <c r="E32" s="5" t="s">
        <v>40</v>
      </c>
      <c r="F32" s="5" t="s">
        <v>35</v>
      </c>
      <c r="G32" s="5" t="s">
        <v>24</v>
      </c>
      <c r="H32" s="5" t="s">
        <v>18</v>
      </c>
      <c r="I32" s="5" t="s">
        <v>75</v>
      </c>
      <c r="J32" s="5">
        <v>3000</v>
      </c>
      <c r="K32" s="5" t="s">
        <v>126</v>
      </c>
      <c r="L32" s="5">
        <v>3000</v>
      </c>
      <c r="M32" s="6">
        <v>0</v>
      </c>
      <c r="N32" s="6">
        <v>3000</v>
      </c>
      <c r="O32" s="5" t="s">
        <v>26</v>
      </c>
      <c r="P32" s="5" t="s">
        <v>27</v>
      </c>
      <c r="Q32" s="29"/>
      <c r="R32" s="39" t="s">
        <v>79</v>
      </c>
      <c r="S32" s="27">
        <f t="shared" si="2"/>
        <v>3000</v>
      </c>
      <c r="T32" s="5">
        <f t="shared" ca="1" si="0"/>
        <v>3000</v>
      </c>
      <c r="U32" s="37">
        <f t="shared" si="1"/>
        <v>0</v>
      </c>
    </row>
    <row r="33" spans="1:21" ht="20.100000000000001" customHeight="1" thickBot="1" x14ac:dyDescent="0.35">
      <c r="A33" s="2">
        <v>28</v>
      </c>
      <c r="B33" s="5" t="s">
        <v>77</v>
      </c>
      <c r="C33" s="53" t="s">
        <v>80</v>
      </c>
      <c r="D33" s="4" t="s">
        <v>44</v>
      </c>
      <c r="E33" s="5" t="s">
        <v>45</v>
      </c>
      <c r="F33" s="5" t="s">
        <v>16</v>
      </c>
      <c r="G33" s="5" t="s">
        <v>17</v>
      </c>
      <c r="H33" s="5" t="s">
        <v>36</v>
      </c>
      <c r="I33" s="5" t="s">
        <v>75</v>
      </c>
      <c r="J33" s="5">
        <v>2000</v>
      </c>
      <c r="K33" s="5" t="s">
        <v>113</v>
      </c>
      <c r="L33" s="5">
        <v>500</v>
      </c>
      <c r="M33" s="6">
        <v>1500</v>
      </c>
      <c r="N33" s="6">
        <v>2000</v>
      </c>
      <c r="O33" s="5" t="s">
        <v>19</v>
      </c>
      <c r="P33" s="5" t="s">
        <v>20</v>
      </c>
      <c r="Q33" s="29"/>
      <c r="R33" s="39" t="s">
        <v>80</v>
      </c>
      <c r="S33" s="27">
        <f t="shared" si="2"/>
        <v>2000</v>
      </c>
      <c r="T33" s="5">
        <f t="shared" ca="1" si="0"/>
        <v>500</v>
      </c>
      <c r="U33" s="37">
        <f t="shared" si="1"/>
        <v>-1500</v>
      </c>
    </row>
    <row r="34" spans="1:21" ht="20.100000000000001" customHeight="1" thickBot="1" x14ac:dyDescent="0.35">
      <c r="A34" s="2">
        <v>29</v>
      </c>
      <c r="B34" s="5" t="s">
        <v>75</v>
      </c>
      <c r="C34" s="53" t="s">
        <v>81</v>
      </c>
      <c r="D34" s="4" t="s">
        <v>44</v>
      </c>
      <c r="E34" s="5" t="s">
        <v>45</v>
      </c>
      <c r="F34" s="5" t="s">
        <v>16</v>
      </c>
      <c r="G34" s="5" t="s">
        <v>17</v>
      </c>
      <c r="H34" s="5" t="s">
        <v>51</v>
      </c>
      <c r="I34" s="5" t="s">
        <v>82</v>
      </c>
      <c r="J34" s="5">
        <v>1000</v>
      </c>
      <c r="K34" s="5" t="s">
        <v>111</v>
      </c>
      <c r="L34" s="5">
        <v>500</v>
      </c>
      <c r="M34" s="6">
        <v>500</v>
      </c>
      <c r="N34" s="6">
        <v>1000</v>
      </c>
      <c r="O34" s="5" t="s">
        <v>68</v>
      </c>
      <c r="P34" s="5" t="s">
        <v>27</v>
      </c>
      <c r="Q34" s="29"/>
      <c r="R34" s="39" t="s">
        <v>81</v>
      </c>
      <c r="S34" s="27">
        <f t="shared" si="2"/>
        <v>1000</v>
      </c>
      <c r="T34" s="5">
        <f t="shared" ca="1" si="0"/>
        <v>500</v>
      </c>
      <c r="U34" s="37">
        <f t="shared" si="1"/>
        <v>-500</v>
      </c>
    </row>
    <row r="35" spans="1:21" ht="20.100000000000001" customHeight="1" thickBot="1" x14ac:dyDescent="0.35">
      <c r="A35" s="2">
        <v>30</v>
      </c>
      <c r="B35" s="5" t="s">
        <v>75</v>
      </c>
      <c r="C35" s="53" t="s">
        <v>83</v>
      </c>
      <c r="D35" s="4" t="s">
        <v>29</v>
      </c>
      <c r="E35" s="5" t="s">
        <v>30</v>
      </c>
      <c r="F35" s="5" t="s">
        <v>35</v>
      </c>
      <c r="G35" s="5" t="s">
        <v>17</v>
      </c>
      <c r="H35" s="5" t="s">
        <v>36</v>
      </c>
      <c r="I35" s="5" t="s">
        <v>82</v>
      </c>
      <c r="J35" s="5">
        <v>0</v>
      </c>
      <c r="K35" s="5"/>
      <c r="L35" s="5">
        <v>0</v>
      </c>
      <c r="M35" s="6">
        <v>0</v>
      </c>
      <c r="N35" s="6">
        <v>0</v>
      </c>
      <c r="O35" s="5" t="s">
        <v>19</v>
      </c>
      <c r="P35" s="5" t="s">
        <v>32</v>
      </c>
      <c r="Q35" s="29"/>
      <c r="R35" s="39" t="s">
        <v>83</v>
      </c>
      <c r="S35" s="27">
        <f t="shared" si="2"/>
        <v>0</v>
      </c>
      <c r="T35" s="5">
        <f t="shared" ca="1" si="0"/>
        <v>0</v>
      </c>
      <c r="U35" s="37">
        <f t="shared" si="1"/>
        <v>0</v>
      </c>
    </row>
    <row r="36" spans="1:21" ht="20.100000000000001" customHeight="1" thickBot="1" x14ac:dyDescent="0.35">
      <c r="A36" s="2">
        <v>31</v>
      </c>
      <c r="B36" s="5" t="s">
        <v>82</v>
      </c>
      <c r="C36" s="53" t="s">
        <v>84</v>
      </c>
      <c r="D36" s="4" t="s">
        <v>29</v>
      </c>
      <c r="E36" s="5" t="s">
        <v>30</v>
      </c>
      <c r="F36" s="5" t="s">
        <v>35</v>
      </c>
      <c r="G36" s="5" t="s">
        <v>17</v>
      </c>
      <c r="H36" s="5" t="s">
        <v>54</v>
      </c>
      <c r="I36" s="5" t="s">
        <v>82</v>
      </c>
      <c r="J36" s="5">
        <v>1000</v>
      </c>
      <c r="K36" s="5" t="s">
        <v>126</v>
      </c>
      <c r="L36" s="5">
        <v>500</v>
      </c>
      <c r="M36" s="6">
        <v>500</v>
      </c>
      <c r="N36" s="6">
        <v>1000</v>
      </c>
      <c r="O36" s="5" t="s">
        <v>19</v>
      </c>
      <c r="P36" s="5" t="s">
        <v>37</v>
      </c>
      <c r="Q36" s="29"/>
      <c r="R36" s="39" t="s">
        <v>84</v>
      </c>
      <c r="S36" s="27">
        <f t="shared" si="2"/>
        <v>1000</v>
      </c>
      <c r="T36" s="5">
        <f t="shared" ca="1" si="0"/>
        <v>500</v>
      </c>
      <c r="U36" s="37">
        <f t="shared" si="1"/>
        <v>-500</v>
      </c>
    </row>
    <row r="37" spans="1:21" ht="20.100000000000001" customHeight="1" thickBot="1" x14ac:dyDescent="0.35">
      <c r="A37" s="2">
        <v>32</v>
      </c>
      <c r="B37" s="5" t="s">
        <v>82</v>
      </c>
      <c r="C37" s="53" t="s">
        <v>85</v>
      </c>
      <c r="D37" s="4" t="s">
        <v>22</v>
      </c>
      <c r="E37" s="5" t="s">
        <v>23</v>
      </c>
      <c r="F37" s="5" t="s">
        <v>35</v>
      </c>
      <c r="G37" s="5" t="s">
        <v>17</v>
      </c>
      <c r="H37" s="5" t="s">
        <v>62</v>
      </c>
      <c r="I37" s="5" t="s">
        <v>82</v>
      </c>
      <c r="J37" s="5">
        <v>0</v>
      </c>
      <c r="K37" s="5"/>
      <c r="L37" s="5">
        <v>0</v>
      </c>
      <c r="M37" s="6">
        <v>0</v>
      </c>
      <c r="N37" s="6">
        <v>0</v>
      </c>
      <c r="O37" s="5" t="s">
        <v>26</v>
      </c>
      <c r="P37" s="5" t="s">
        <v>42</v>
      </c>
      <c r="Q37" s="29"/>
      <c r="R37" s="39" t="s">
        <v>85</v>
      </c>
      <c r="S37" s="27">
        <f t="shared" si="2"/>
        <v>0</v>
      </c>
      <c r="T37" s="5">
        <f t="shared" ca="1" si="0"/>
        <v>0</v>
      </c>
      <c r="U37" s="37">
        <f t="shared" si="1"/>
        <v>0</v>
      </c>
    </row>
    <row r="38" spans="1:21" ht="20.100000000000001" customHeight="1" thickBot="1" x14ac:dyDescent="0.35">
      <c r="A38" s="2">
        <v>33</v>
      </c>
      <c r="B38" s="5" t="s">
        <v>82</v>
      </c>
      <c r="C38" s="53" t="s">
        <v>86</v>
      </c>
      <c r="D38" s="4" t="s">
        <v>29</v>
      </c>
      <c r="E38" s="5" t="s">
        <v>30</v>
      </c>
      <c r="F38" s="5" t="s">
        <v>16</v>
      </c>
      <c r="G38" s="5" t="s">
        <v>17</v>
      </c>
      <c r="H38" s="5" t="s">
        <v>18</v>
      </c>
      <c r="I38" s="5" t="s">
        <v>82</v>
      </c>
      <c r="J38" s="5">
        <v>0</v>
      </c>
      <c r="K38" s="5"/>
      <c r="L38" s="5">
        <v>0</v>
      </c>
      <c r="M38" s="6">
        <v>0</v>
      </c>
      <c r="N38" s="6">
        <v>0</v>
      </c>
      <c r="O38" s="5" t="s">
        <v>19</v>
      </c>
      <c r="P38" s="5" t="s">
        <v>42</v>
      </c>
      <c r="Q38" s="29"/>
      <c r="R38" s="39" t="s">
        <v>86</v>
      </c>
      <c r="S38" s="27">
        <f t="shared" si="2"/>
        <v>0</v>
      </c>
      <c r="T38" s="5">
        <f t="shared" ca="1" si="0"/>
        <v>0</v>
      </c>
      <c r="U38" s="37">
        <f t="shared" si="1"/>
        <v>0</v>
      </c>
    </row>
    <row r="39" spans="1:21" ht="20.100000000000001" customHeight="1" thickBot="1" x14ac:dyDescent="0.35">
      <c r="A39" s="2">
        <v>34</v>
      </c>
      <c r="B39" s="5" t="s">
        <v>87</v>
      </c>
      <c r="C39" s="53" t="s">
        <v>88</v>
      </c>
      <c r="D39" s="4" t="s">
        <v>29</v>
      </c>
      <c r="E39" s="5" t="s">
        <v>30</v>
      </c>
      <c r="F39" s="5" t="s">
        <v>16</v>
      </c>
      <c r="G39" s="5" t="s">
        <v>17</v>
      </c>
      <c r="H39" s="5" t="s">
        <v>25</v>
      </c>
      <c r="I39" s="5" t="s">
        <v>89</v>
      </c>
      <c r="J39" s="5">
        <v>0</v>
      </c>
      <c r="K39" s="5"/>
      <c r="L39" s="5">
        <v>0</v>
      </c>
      <c r="M39" s="6">
        <v>0</v>
      </c>
      <c r="N39" s="6">
        <v>0</v>
      </c>
      <c r="O39" s="5" t="s">
        <v>19</v>
      </c>
      <c r="P39" s="5" t="s">
        <v>42</v>
      </c>
      <c r="Q39" s="29"/>
      <c r="R39" s="39" t="s">
        <v>88</v>
      </c>
      <c r="S39" s="27">
        <f t="shared" si="2"/>
        <v>0</v>
      </c>
      <c r="T39" s="5">
        <f t="shared" ca="1" si="0"/>
        <v>0</v>
      </c>
      <c r="U39" s="37">
        <f t="shared" si="1"/>
        <v>0</v>
      </c>
    </row>
    <row r="40" spans="1:21" ht="20.100000000000001" customHeight="1" thickBot="1" x14ac:dyDescent="0.35">
      <c r="A40" s="2">
        <v>35</v>
      </c>
      <c r="B40" s="5" t="s">
        <v>87</v>
      </c>
      <c r="C40" s="53" t="s">
        <v>90</v>
      </c>
      <c r="D40" s="4" t="s">
        <v>22</v>
      </c>
      <c r="E40" s="5" t="s">
        <v>23</v>
      </c>
      <c r="F40" s="5" t="s">
        <v>35</v>
      </c>
      <c r="G40" s="5" t="s">
        <v>17</v>
      </c>
      <c r="H40" s="5" t="s">
        <v>31</v>
      </c>
      <c r="I40" s="5" t="s">
        <v>89</v>
      </c>
      <c r="J40" s="5">
        <v>0</v>
      </c>
      <c r="K40" s="5"/>
      <c r="L40" s="5">
        <v>0</v>
      </c>
      <c r="M40" s="6">
        <v>0</v>
      </c>
      <c r="N40" s="6">
        <v>0</v>
      </c>
      <c r="O40" s="5" t="s">
        <v>26</v>
      </c>
      <c r="P40" s="5" t="s">
        <v>32</v>
      </c>
      <c r="Q40" s="29"/>
      <c r="R40" s="39" t="s">
        <v>90</v>
      </c>
      <c r="S40" s="27">
        <f t="shared" si="2"/>
        <v>0</v>
      </c>
      <c r="T40" s="5">
        <f t="shared" ca="1" si="0"/>
        <v>0</v>
      </c>
      <c r="U40" s="37">
        <f t="shared" si="1"/>
        <v>0</v>
      </c>
    </row>
    <row r="41" spans="1:21" ht="20.100000000000001" customHeight="1" thickBot="1" x14ac:dyDescent="0.35">
      <c r="A41" s="2">
        <v>36</v>
      </c>
      <c r="B41" s="5" t="s">
        <v>87</v>
      </c>
      <c r="C41" s="53" t="s">
        <v>91</v>
      </c>
      <c r="D41" s="4" t="s">
        <v>44</v>
      </c>
      <c r="E41" s="5" t="s">
        <v>45</v>
      </c>
      <c r="F41" s="5" t="s">
        <v>16</v>
      </c>
      <c r="G41" s="5" t="s">
        <v>24</v>
      </c>
      <c r="H41" s="5" t="s">
        <v>36</v>
      </c>
      <c r="I41" s="5" t="s">
        <v>89</v>
      </c>
      <c r="J41" s="5">
        <v>1000</v>
      </c>
      <c r="K41" s="5" t="s">
        <v>113</v>
      </c>
      <c r="L41" s="5">
        <v>500</v>
      </c>
      <c r="M41" s="6">
        <v>500</v>
      </c>
      <c r="N41" s="6">
        <v>1000</v>
      </c>
      <c r="O41" s="5" t="s">
        <v>19</v>
      </c>
      <c r="P41" s="5" t="s">
        <v>32</v>
      </c>
      <c r="Q41" s="29"/>
      <c r="R41" s="39" t="s">
        <v>91</v>
      </c>
      <c r="S41" s="27">
        <f t="shared" si="2"/>
        <v>1000</v>
      </c>
      <c r="T41" s="5">
        <f t="shared" ca="1" si="0"/>
        <v>500</v>
      </c>
      <c r="U41" s="37">
        <f t="shared" si="1"/>
        <v>-500</v>
      </c>
    </row>
    <row r="42" spans="1:21" ht="20.100000000000001" customHeight="1" thickBot="1" x14ac:dyDescent="0.35">
      <c r="A42" s="2">
        <v>37</v>
      </c>
      <c r="B42" s="5" t="s">
        <v>89</v>
      </c>
      <c r="C42" s="53" t="s">
        <v>92</v>
      </c>
      <c r="D42" s="4" t="s">
        <v>44</v>
      </c>
      <c r="E42" s="5" t="s">
        <v>45</v>
      </c>
      <c r="F42" s="5" t="s">
        <v>35</v>
      </c>
      <c r="G42" s="5" t="s">
        <v>24</v>
      </c>
      <c r="H42" s="5" t="s">
        <v>41</v>
      </c>
      <c r="I42" s="5" t="s">
        <v>89</v>
      </c>
      <c r="J42" s="5">
        <v>1000</v>
      </c>
      <c r="K42" s="5" t="s">
        <v>113</v>
      </c>
      <c r="L42" s="5">
        <v>500</v>
      </c>
      <c r="M42" s="6">
        <v>500</v>
      </c>
      <c r="N42" s="6">
        <v>1000</v>
      </c>
      <c r="O42" s="5" t="s">
        <v>19</v>
      </c>
      <c r="P42" s="5" t="s">
        <v>37</v>
      </c>
      <c r="Q42" s="29"/>
      <c r="R42" s="39" t="s">
        <v>92</v>
      </c>
      <c r="S42" s="27">
        <f t="shared" si="2"/>
        <v>1000</v>
      </c>
      <c r="T42" s="5">
        <f t="shared" ca="1" si="0"/>
        <v>500</v>
      </c>
      <c r="U42" s="37">
        <f t="shared" si="1"/>
        <v>-500</v>
      </c>
    </row>
    <row r="43" spans="1:21" ht="20.100000000000001" customHeight="1" thickBot="1" x14ac:dyDescent="0.35">
      <c r="A43" s="2">
        <v>38</v>
      </c>
      <c r="B43" s="5" t="s">
        <v>93</v>
      </c>
      <c r="C43" s="53" t="s">
        <v>94</v>
      </c>
      <c r="D43" s="4" t="s">
        <v>29</v>
      </c>
      <c r="E43" s="5" t="s">
        <v>34</v>
      </c>
      <c r="F43" s="5" t="s">
        <v>16</v>
      </c>
      <c r="G43" s="5" t="s">
        <v>17</v>
      </c>
      <c r="H43" s="5" t="s">
        <v>46</v>
      </c>
      <c r="I43" s="5" t="s">
        <v>89</v>
      </c>
      <c r="J43" s="5">
        <v>2000</v>
      </c>
      <c r="K43" s="5" t="s">
        <v>111</v>
      </c>
      <c r="L43" s="5">
        <v>500</v>
      </c>
      <c r="M43" s="6">
        <v>1500</v>
      </c>
      <c r="N43" s="6">
        <v>2000</v>
      </c>
      <c r="O43" s="5" t="s">
        <v>19</v>
      </c>
      <c r="P43" s="5" t="s">
        <v>37</v>
      </c>
      <c r="Q43" s="29"/>
      <c r="R43" s="39" t="s">
        <v>94</v>
      </c>
      <c r="S43" s="27">
        <f t="shared" si="2"/>
        <v>2000</v>
      </c>
      <c r="T43" s="5">
        <f t="shared" ca="1" si="0"/>
        <v>500</v>
      </c>
      <c r="U43" s="37">
        <f t="shared" si="1"/>
        <v>-1500</v>
      </c>
    </row>
    <row r="44" spans="1:21" ht="20.100000000000001" customHeight="1" thickBot="1" x14ac:dyDescent="0.35">
      <c r="A44" s="2">
        <v>39</v>
      </c>
      <c r="B44" s="5" t="s">
        <v>95</v>
      </c>
      <c r="C44" s="53" t="s">
        <v>96</v>
      </c>
      <c r="D44" s="4" t="s">
        <v>29</v>
      </c>
      <c r="E44" s="5" t="s">
        <v>34</v>
      </c>
      <c r="F44" s="5" t="s">
        <v>35</v>
      </c>
      <c r="G44" s="5" t="s">
        <v>17</v>
      </c>
      <c r="H44" s="5" t="s">
        <v>18</v>
      </c>
      <c r="I44" s="5" t="s">
        <v>93</v>
      </c>
      <c r="J44" s="5">
        <v>2000</v>
      </c>
      <c r="K44" s="5" t="s">
        <v>111</v>
      </c>
      <c r="L44" s="5">
        <v>1000</v>
      </c>
      <c r="M44" s="6">
        <v>1000</v>
      </c>
      <c r="N44" s="6">
        <v>2000</v>
      </c>
      <c r="O44" s="5" t="s">
        <v>19</v>
      </c>
      <c r="P44" s="5" t="s">
        <v>32</v>
      </c>
      <c r="Q44" s="29"/>
      <c r="R44" s="39" t="s">
        <v>96</v>
      </c>
      <c r="S44" s="27">
        <f t="shared" si="2"/>
        <v>2000</v>
      </c>
      <c r="T44" s="5">
        <f t="shared" ca="1" si="0"/>
        <v>1000</v>
      </c>
      <c r="U44" s="37">
        <f t="shared" si="1"/>
        <v>-1000</v>
      </c>
    </row>
    <row r="45" spans="1:21" ht="20.100000000000001" customHeight="1" thickBot="1" x14ac:dyDescent="0.35">
      <c r="A45" s="2">
        <v>40</v>
      </c>
      <c r="B45" s="5" t="s">
        <v>95</v>
      </c>
      <c r="C45" s="53" t="s">
        <v>97</v>
      </c>
      <c r="D45" s="4" t="s">
        <v>29</v>
      </c>
      <c r="E45" s="5" t="s">
        <v>34</v>
      </c>
      <c r="F45" s="5" t="s">
        <v>16</v>
      </c>
      <c r="G45" s="5" t="s">
        <v>24</v>
      </c>
      <c r="H45" s="5" t="s">
        <v>36</v>
      </c>
      <c r="I45" s="5" t="s">
        <v>89</v>
      </c>
      <c r="J45" s="5">
        <v>3000</v>
      </c>
      <c r="K45" s="5" t="s">
        <v>126</v>
      </c>
      <c r="L45" s="5">
        <v>1000</v>
      </c>
      <c r="M45" s="6">
        <v>2000</v>
      </c>
      <c r="N45" s="6">
        <v>3000</v>
      </c>
      <c r="O45" s="5" t="s">
        <v>26</v>
      </c>
      <c r="P45" s="5" t="s">
        <v>42</v>
      </c>
      <c r="Q45" s="29"/>
      <c r="R45" s="41" t="s">
        <v>97</v>
      </c>
      <c r="S45" s="27">
        <f t="shared" si="2"/>
        <v>3000</v>
      </c>
      <c r="T45" s="5">
        <f t="shared" ca="1" si="0"/>
        <v>1000</v>
      </c>
      <c r="U45" s="37">
        <f t="shared" si="1"/>
        <v>-2000</v>
      </c>
    </row>
    <row r="46" spans="1:21" ht="20.100000000000001" customHeight="1" thickBot="1" x14ac:dyDescent="0.35">
      <c r="A46" s="1"/>
      <c r="B46" s="1"/>
      <c r="C46" s="1"/>
      <c r="D46" s="10"/>
      <c r="E46" s="1"/>
      <c r="F46" s="1"/>
      <c r="G46" s="1"/>
      <c r="H46" s="1"/>
      <c r="I46" s="1"/>
      <c r="J46" s="1"/>
      <c r="K46" s="1"/>
      <c r="L46" s="1">
        <f>SUM(L6:L45)</f>
        <v>33200</v>
      </c>
      <c r="M46" s="1">
        <f>SUM(M6:M45)</f>
        <v>21000</v>
      </c>
      <c r="N46" s="1"/>
      <c r="O46" s="1"/>
      <c r="P46" s="1"/>
      <c r="Q46" s="1"/>
      <c r="R46" s="30"/>
      <c r="S46" s="31"/>
      <c r="T46" s="30"/>
      <c r="U46" s="30"/>
    </row>
    <row r="47" spans="1:21" ht="20.100000000000001" customHeight="1" thickBot="1" x14ac:dyDescent="0.35">
      <c r="A47" s="1"/>
      <c r="B47" s="1"/>
      <c r="C47" s="1"/>
      <c r="D47" s="1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8"/>
      <c r="T47" s="1"/>
      <c r="U47" s="1"/>
    </row>
    <row r="48" spans="1:21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8"/>
      <c r="T48" s="1"/>
      <c r="U48" s="1"/>
    </row>
    <row r="49" spans="1:21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8"/>
      <c r="T49" s="1"/>
      <c r="U49" s="1"/>
    </row>
    <row r="50" spans="1:21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8"/>
      <c r="T50" s="1"/>
      <c r="U50" s="1"/>
    </row>
    <row r="51" spans="1:21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8"/>
      <c r="T51" s="1"/>
      <c r="U51" s="1"/>
    </row>
    <row r="52" spans="1:21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8"/>
      <c r="T52" s="1"/>
      <c r="U52" s="1"/>
    </row>
    <row r="53" spans="1:21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8"/>
      <c r="T53" s="1"/>
      <c r="U53" s="1"/>
    </row>
    <row r="54" spans="1:21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8"/>
      <c r="T54" s="1"/>
      <c r="U54" s="1"/>
    </row>
    <row r="55" spans="1:21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8"/>
      <c r="T55" s="1"/>
      <c r="U55" s="1"/>
    </row>
    <row r="56" spans="1:21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8"/>
      <c r="T56" s="1"/>
      <c r="U56" s="1"/>
    </row>
    <row r="57" spans="1:21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8"/>
      <c r="T57" s="1"/>
      <c r="U57" s="1"/>
    </row>
    <row r="58" spans="1:21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8"/>
      <c r="T58" s="1"/>
      <c r="U58" s="1"/>
    </row>
    <row r="59" spans="1:21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8"/>
      <c r="T59" s="1"/>
      <c r="U59" s="1"/>
    </row>
    <row r="60" spans="1:21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8"/>
      <c r="T60" s="1"/>
      <c r="U60" s="1"/>
    </row>
    <row r="61" spans="1:21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8"/>
      <c r="T61" s="1"/>
      <c r="U61" s="1"/>
    </row>
    <row r="62" spans="1:21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8"/>
      <c r="T62" s="1"/>
      <c r="U62" s="1"/>
    </row>
    <row r="63" spans="1:21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8"/>
      <c r="T63" s="1"/>
      <c r="U63" s="1"/>
    </row>
    <row r="64" spans="1:21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8"/>
      <c r="T64" s="1"/>
      <c r="U64" s="1"/>
    </row>
    <row r="65" spans="1:21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8"/>
      <c r="T65" s="1"/>
      <c r="U65" s="1"/>
    </row>
    <row r="66" spans="1:21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8"/>
      <c r="T66" s="1"/>
      <c r="U66" s="1"/>
    </row>
    <row r="67" spans="1:21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8"/>
      <c r="T67" s="1"/>
      <c r="U67" s="1"/>
    </row>
    <row r="68" spans="1:21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8"/>
      <c r="T68" s="1"/>
      <c r="U68" s="1"/>
    </row>
    <row r="69" spans="1:21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8"/>
      <c r="T69" s="1"/>
      <c r="U69" s="1"/>
    </row>
    <row r="70" spans="1:21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8"/>
      <c r="T70" s="1"/>
      <c r="U70" s="1"/>
    </row>
    <row r="71" spans="1:21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8"/>
      <c r="T71" s="1"/>
      <c r="U71" s="1"/>
    </row>
    <row r="72" spans="1:21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8"/>
      <c r="T72" s="1"/>
      <c r="U72" s="1"/>
    </row>
    <row r="73" spans="1:21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8"/>
      <c r="T73" s="1"/>
      <c r="U73" s="1"/>
    </row>
    <row r="74" spans="1:21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8"/>
      <c r="T74" s="1"/>
      <c r="U74" s="1"/>
    </row>
    <row r="75" spans="1:21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8"/>
      <c r="T75" s="1"/>
      <c r="U75" s="1"/>
    </row>
    <row r="76" spans="1:21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8"/>
      <c r="T76" s="1"/>
      <c r="U76" s="1"/>
    </row>
    <row r="77" spans="1:21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8"/>
      <c r="T77" s="1"/>
      <c r="U77" s="1"/>
    </row>
    <row r="78" spans="1:21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8"/>
      <c r="T78" s="1"/>
      <c r="U78" s="1"/>
    </row>
    <row r="79" spans="1:21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8"/>
      <c r="T79" s="1"/>
      <c r="U79" s="1"/>
    </row>
    <row r="80" spans="1:21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8"/>
      <c r="T80" s="1"/>
      <c r="U80" s="1"/>
    </row>
    <row r="81" spans="1:21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8"/>
      <c r="T81" s="1"/>
      <c r="U81" s="1"/>
    </row>
    <row r="82" spans="1:21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8"/>
      <c r="T82" s="1"/>
      <c r="U82" s="1"/>
    </row>
    <row r="83" spans="1:21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8"/>
      <c r="T83" s="1"/>
      <c r="U83" s="1"/>
    </row>
    <row r="84" spans="1:21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8"/>
      <c r="T84" s="1"/>
      <c r="U84" s="1"/>
    </row>
    <row r="85" spans="1:21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28"/>
      <c r="T85" s="1"/>
      <c r="U85" s="1"/>
    </row>
    <row r="86" spans="1:21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8"/>
      <c r="T86" s="1"/>
      <c r="U86" s="1"/>
    </row>
    <row r="87" spans="1:21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8"/>
      <c r="T87" s="1"/>
      <c r="U87" s="1"/>
    </row>
    <row r="88" spans="1:21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8"/>
      <c r="T88" s="1"/>
      <c r="U88" s="1"/>
    </row>
    <row r="89" spans="1:21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28"/>
      <c r="T89" s="1"/>
      <c r="U89" s="1"/>
    </row>
    <row r="90" spans="1:21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8"/>
      <c r="T90" s="1"/>
      <c r="U90" s="1"/>
    </row>
    <row r="91" spans="1:21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8"/>
      <c r="T91" s="1"/>
      <c r="U91" s="1"/>
    </row>
    <row r="92" spans="1:21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8"/>
      <c r="T92" s="1"/>
      <c r="U92" s="1"/>
    </row>
    <row r="93" spans="1:21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28"/>
      <c r="T93" s="1"/>
      <c r="U93" s="1"/>
    </row>
    <row r="94" spans="1:21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8"/>
      <c r="T94" s="1"/>
      <c r="U94" s="1"/>
    </row>
    <row r="95" spans="1:21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28"/>
      <c r="T95" s="1"/>
      <c r="U95" s="1"/>
    </row>
    <row r="96" spans="1:21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8"/>
      <c r="T96" s="1"/>
      <c r="U96" s="1"/>
    </row>
    <row r="97" spans="1:21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8"/>
      <c r="T97" s="1"/>
      <c r="U97" s="1"/>
    </row>
    <row r="98" spans="1:21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8"/>
      <c r="T98" s="1"/>
      <c r="U98" s="1"/>
    </row>
    <row r="99" spans="1:21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8"/>
      <c r="T99" s="1"/>
      <c r="U99" s="1"/>
    </row>
    <row r="100" spans="1:21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8"/>
      <c r="T100" s="1"/>
      <c r="U100" s="1"/>
    </row>
    <row r="101" spans="1:21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8"/>
      <c r="T101" s="1"/>
      <c r="U101" s="1"/>
    </row>
    <row r="102" spans="1:21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8"/>
      <c r="T102" s="1"/>
      <c r="U102" s="1"/>
    </row>
    <row r="103" spans="1:21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8"/>
      <c r="T103" s="1"/>
      <c r="U103" s="1"/>
    </row>
    <row r="104" spans="1:21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8"/>
      <c r="T104" s="1"/>
      <c r="U104" s="1"/>
    </row>
    <row r="105" spans="1:21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8"/>
      <c r="T105" s="1"/>
      <c r="U105" s="1"/>
    </row>
    <row r="106" spans="1:21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8"/>
      <c r="T106" s="1"/>
      <c r="U106" s="1"/>
    </row>
    <row r="107" spans="1:21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8"/>
      <c r="T107" s="1"/>
      <c r="U107" s="1"/>
    </row>
    <row r="108" spans="1:21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8"/>
      <c r="T108" s="1"/>
      <c r="U108" s="1"/>
    </row>
    <row r="109" spans="1:21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8"/>
      <c r="T109" s="1"/>
      <c r="U109" s="1"/>
    </row>
    <row r="110" spans="1:21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8"/>
      <c r="T110" s="1"/>
      <c r="U110" s="1"/>
    </row>
    <row r="111" spans="1:21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8"/>
      <c r="T111" s="1"/>
      <c r="U111" s="1"/>
    </row>
    <row r="112" spans="1:21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8"/>
      <c r="T112" s="1"/>
      <c r="U112" s="1"/>
    </row>
    <row r="113" spans="1:21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8"/>
      <c r="T113" s="1"/>
      <c r="U113" s="1"/>
    </row>
    <row r="114" spans="1:21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8"/>
      <c r="T114" s="1"/>
      <c r="U114" s="1"/>
    </row>
    <row r="115" spans="1:21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8"/>
      <c r="T115" s="1"/>
      <c r="U115" s="1"/>
    </row>
    <row r="116" spans="1:21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8"/>
      <c r="T116" s="1"/>
      <c r="U116" s="1"/>
    </row>
    <row r="117" spans="1:21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8"/>
      <c r="T117" s="1"/>
      <c r="U117" s="1"/>
    </row>
    <row r="118" spans="1:21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8"/>
      <c r="T118" s="1"/>
      <c r="U118" s="1"/>
    </row>
    <row r="119" spans="1:21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8"/>
      <c r="T119" s="1"/>
      <c r="U119" s="1"/>
    </row>
    <row r="120" spans="1:21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8"/>
      <c r="T120" s="1"/>
      <c r="U120" s="1"/>
    </row>
    <row r="121" spans="1:21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8"/>
      <c r="T121" s="1"/>
      <c r="U121" s="1"/>
    </row>
    <row r="122" spans="1:21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8"/>
      <c r="T122" s="1"/>
      <c r="U122" s="1"/>
    </row>
    <row r="123" spans="1:21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8"/>
      <c r="T123" s="1"/>
      <c r="U123" s="1"/>
    </row>
    <row r="124" spans="1:21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8"/>
      <c r="T124" s="1"/>
      <c r="U124" s="1"/>
    </row>
    <row r="125" spans="1:21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8"/>
      <c r="T125" s="1"/>
      <c r="U125" s="1"/>
    </row>
    <row r="126" spans="1:21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8"/>
      <c r="T126" s="1"/>
      <c r="U126" s="1"/>
    </row>
    <row r="127" spans="1:21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8"/>
      <c r="T127" s="1"/>
      <c r="U127" s="1"/>
    </row>
    <row r="128" spans="1:21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8"/>
      <c r="T128" s="1"/>
      <c r="U128" s="1"/>
    </row>
    <row r="129" spans="1:21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8"/>
      <c r="T129" s="1"/>
      <c r="U129" s="1"/>
    </row>
    <row r="130" spans="1:21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8"/>
      <c r="T130" s="1"/>
      <c r="U130" s="1"/>
    </row>
    <row r="131" spans="1:21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8"/>
      <c r="T131" s="1"/>
      <c r="U131" s="1"/>
    </row>
    <row r="132" spans="1:21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8"/>
      <c r="T132" s="1"/>
      <c r="U132" s="1"/>
    </row>
    <row r="133" spans="1:21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8"/>
      <c r="T133" s="1"/>
      <c r="U133" s="1"/>
    </row>
    <row r="134" spans="1:21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8"/>
      <c r="T134" s="1"/>
      <c r="U134" s="1"/>
    </row>
    <row r="135" spans="1:21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8"/>
      <c r="T135" s="1"/>
      <c r="U135" s="1"/>
    </row>
    <row r="136" spans="1:21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8"/>
      <c r="T136" s="1"/>
      <c r="U136" s="1"/>
    </row>
    <row r="137" spans="1:21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8"/>
      <c r="T137" s="1"/>
      <c r="U137" s="1"/>
    </row>
    <row r="138" spans="1:21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8"/>
      <c r="T138" s="1"/>
      <c r="U138" s="1"/>
    </row>
    <row r="139" spans="1:21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8"/>
      <c r="T139" s="1"/>
      <c r="U139" s="1"/>
    </row>
    <row r="140" spans="1:21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8"/>
      <c r="T140" s="1"/>
      <c r="U140" s="1"/>
    </row>
    <row r="141" spans="1:21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8"/>
      <c r="T141" s="1"/>
      <c r="U141" s="1"/>
    </row>
    <row r="142" spans="1:21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8"/>
      <c r="T142" s="1"/>
      <c r="U142" s="1"/>
    </row>
    <row r="143" spans="1:21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8"/>
      <c r="T143" s="1"/>
      <c r="U143" s="1"/>
    </row>
    <row r="144" spans="1:21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8"/>
      <c r="T144" s="1"/>
      <c r="U144" s="1"/>
    </row>
    <row r="145" spans="1:21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8"/>
      <c r="T145" s="1"/>
      <c r="U145" s="1"/>
    </row>
    <row r="146" spans="1:21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8"/>
      <c r="T146" s="1"/>
      <c r="U146" s="1"/>
    </row>
    <row r="147" spans="1:21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8"/>
      <c r="T147" s="1"/>
      <c r="U147" s="1"/>
    </row>
    <row r="148" spans="1:21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8"/>
      <c r="T148" s="1"/>
      <c r="U148" s="1"/>
    </row>
    <row r="149" spans="1:21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8"/>
      <c r="T149" s="1"/>
      <c r="U149" s="1"/>
    </row>
    <row r="150" spans="1:21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8"/>
      <c r="T150" s="1"/>
      <c r="U150" s="1"/>
    </row>
    <row r="151" spans="1:21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8"/>
      <c r="T151" s="1"/>
      <c r="U151" s="1"/>
    </row>
    <row r="152" spans="1:21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8"/>
      <c r="T152" s="1"/>
      <c r="U152" s="1"/>
    </row>
    <row r="153" spans="1:21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8"/>
      <c r="T153" s="1"/>
      <c r="U153" s="1"/>
    </row>
    <row r="154" spans="1:21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8"/>
      <c r="T154" s="1"/>
      <c r="U154" s="1"/>
    </row>
    <row r="155" spans="1:21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8"/>
      <c r="T155" s="1"/>
      <c r="U155" s="1"/>
    </row>
    <row r="156" spans="1:21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8"/>
      <c r="T156" s="1"/>
      <c r="U156" s="1"/>
    </row>
    <row r="157" spans="1:21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8"/>
      <c r="T157" s="1"/>
      <c r="U157" s="1"/>
    </row>
    <row r="158" spans="1:21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8"/>
      <c r="T158" s="1"/>
      <c r="U158" s="1"/>
    </row>
    <row r="159" spans="1:21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8"/>
      <c r="T159" s="1"/>
      <c r="U159" s="1"/>
    </row>
    <row r="160" spans="1:21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8"/>
      <c r="T160" s="1"/>
      <c r="U160" s="1"/>
    </row>
    <row r="161" spans="1:21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8"/>
      <c r="T161" s="1"/>
      <c r="U161" s="1"/>
    </row>
    <row r="162" spans="1:21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8"/>
      <c r="T162" s="1"/>
      <c r="U162" s="1"/>
    </row>
    <row r="163" spans="1:21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8"/>
      <c r="T163" s="1"/>
      <c r="U163" s="1"/>
    </row>
    <row r="164" spans="1:21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8"/>
      <c r="T164" s="1"/>
      <c r="U164" s="1"/>
    </row>
    <row r="165" spans="1:21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8"/>
      <c r="T165" s="1"/>
      <c r="U165" s="1"/>
    </row>
    <row r="166" spans="1:21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8"/>
      <c r="T166" s="1"/>
      <c r="U166" s="1"/>
    </row>
    <row r="167" spans="1:21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8"/>
      <c r="T167" s="1"/>
      <c r="U167" s="1"/>
    </row>
    <row r="168" spans="1:21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8"/>
      <c r="T168" s="1"/>
      <c r="U168" s="1"/>
    </row>
    <row r="169" spans="1:21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8"/>
      <c r="T169" s="1"/>
      <c r="U169" s="1"/>
    </row>
    <row r="170" spans="1:21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8"/>
      <c r="T170" s="1"/>
      <c r="U170" s="1"/>
    </row>
    <row r="171" spans="1:21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8"/>
      <c r="T171" s="1"/>
      <c r="U171" s="1"/>
    </row>
    <row r="172" spans="1:21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8"/>
      <c r="T172" s="1"/>
      <c r="U172" s="1"/>
    </row>
    <row r="173" spans="1:21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8"/>
      <c r="T173" s="1"/>
      <c r="U173" s="1"/>
    </row>
    <row r="174" spans="1:21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8"/>
      <c r="T174" s="1"/>
      <c r="U174" s="1"/>
    </row>
    <row r="175" spans="1:21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8"/>
      <c r="T175" s="1"/>
      <c r="U175" s="1"/>
    </row>
    <row r="176" spans="1:21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8"/>
      <c r="T176" s="1"/>
      <c r="U176" s="1"/>
    </row>
    <row r="177" spans="1:21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8"/>
      <c r="T177" s="1"/>
      <c r="U177" s="1"/>
    </row>
    <row r="178" spans="1:21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8"/>
      <c r="T178" s="1"/>
      <c r="U178" s="1"/>
    </row>
    <row r="179" spans="1:21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8"/>
      <c r="T179" s="1"/>
      <c r="U179" s="1"/>
    </row>
    <row r="180" spans="1:21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8"/>
      <c r="T180" s="1"/>
      <c r="U180" s="1"/>
    </row>
    <row r="181" spans="1:21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8"/>
      <c r="T181" s="1"/>
      <c r="U181" s="1"/>
    </row>
    <row r="182" spans="1:21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8"/>
      <c r="T182" s="1"/>
      <c r="U182" s="1"/>
    </row>
    <row r="183" spans="1:21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8"/>
      <c r="T183" s="1"/>
      <c r="U183" s="1"/>
    </row>
    <row r="184" spans="1:21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8"/>
      <c r="T184" s="1"/>
      <c r="U184" s="1"/>
    </row>
    <row r="185" spans="1:21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8"/>
      <c r="T185" s="1"/>
      <c r="U185" s="1"/>
    </row>
    <row r="186" spans="1:21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8"/>
      <c r="T186" s="1"/>
      <c r="U186" s="1"/>
    </row>
    <row r="187" spans="1:21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8"/>
      <c r="T187" s="1"/>
      <c r="U187" s="1"/>
    </row>
    <row r="188" spans="1:21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8"/>
      <c r="T188" s="1"/>
      <c r="U188" s="1"/>
    </row>
    <row r="189" spans="1:21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8"/>
      <c r="T189" s="1"/>
      <c r="U189" s="1"/>
    </row>
    <row r="190" spans="1:21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8"/>
      <c r="T190" s="1"/>
      <c r="U190" s="1"/>
    </row>
    <row r="191" spans="1:21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8"/>
      <c r="T191" s="1"/>
      <c r="U191" s="1"/>
    </row>
    <row r="192" spans="1:21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8"/>
      <c r="T192" s="1"/>
      <c r="U192" s="1"/>
    </row>
    <row r="193" spans="1:21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8"/>
      <c r="T193" s="1"/>
      <c r="U193" s="1"/>
    </row>
    <row r="194" spans="1:21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8"/>
      <c r="T194" s="1"/>
      <c r="U194" s="1"/>
    </row>
    <row r="195" spans="1:21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8"/>
      <c r="T195" s="1"/>
      <c r="U195" s="1"/>
    </row>
    <row r="196" spans="1:21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8"/>
      <c r="T196" s="1"/>
      <c r="U196" s="1"/>
    </row>
    <row r="197" spans="1:21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8"/>
      <c r="T197" s="1"/>
      <c r="U197" s="1"/>
    </row>
    <row r="198" spans="1:21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8"/>
      <c r="T198" s="1"/>
      <c r="U198" s="1"/>
    </row>
    <row r="199" spans="1:21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8"/>
      <c r="T199" s="1"/>
      <c r="U199" s="1"/>
    </row>
    <row r="200" spans="1:21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8"/>
      <c r="T200" s="1"/>
      <c r="U200" s="1"/>
    </row>
    <row r="201" spans="1:21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8"/>
      <c r="T201" s="1"/>
      <c r="U201" s="1"/>
    </row>
    <row r="202" spans="1:21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8"/>
      <c r="T202" s="1"/>
      <c r="U202" s="1"/>
    </row>
    <row r="203" spans="1:21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8"/>
      <c r="T203" s="1"/>
      <c r="U203" s="1"/>
    </row>
    <row r="204" spans="1:21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8"/>
      <c r="T204" s="1"/>
      <c r="U204" s="1"/>
    </row>
    <row r="205" spans="1:21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8"/>
      <c r="T205" s="1"/>
      <c r="U205" s="1"/>
    </row>
    <row r="206" spans="1:21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8"/>
      <c r="T206" s="1"/>
      <c r="U206" s="1"/>
    </row>
    <row r="207" spans="1:21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8"/>
      <c r="T207" s="1"/>
      <c r="U207" s="1"/>
    </row>
    <row r="208" spans="1:21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8"/>
      <c r="T208" s="1"/>
      <c r="U208" s="1"/>
    </row>
    <row r="209" spans="1:21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8"/>
      <c r="T209" s="1"/>
      <c r="U209" s="1"/>
    </row>
    <row r="210" spans="1:21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8"/>
      <c r="T210" s="1"/>
      <c r="U210" s="1"/>
    </row>
    <row r="211" spans="1:21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8"/>
      <c r="T211" s="1"/>
      <c r="U211" s="1"/>
    </row>
    <row r="212" spans="1:21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8"/>
      <c r="T212" s="1"/>
      <c r="U212" s="1"/>
    </row>
    <row r="213" spans="1:21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8"/>
      <c r="T213" s="1"/>
      <c r="U213" s="1"/>
    </row>
    <row r="214" spans="1:21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8"/>
      <c r="T214" s="1"/>
      <c r="U214" s="1"/>
    </row>
    <row r="215" spans="1:21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8"/>
      <c r="T215" s="1"/>
      <c r="U215" s="1"/>
    </row>
    <row r="216" spans="1:21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8"/>
      <c r="T216" s="1"/>
      <c r="U216" s="1"/>
    </row>
    <row r="217" spans="1:21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8"/>
      <c r="T217" s="1"/>
      <c r="U217" s="1"/>
    </row>
    <row r="218" spans="1:21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8"/>
      <c r="T218" s="1"/>
      <c r="U218" s="1"/>
    </row>
    <row r="219" spans="1:21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8"/>
      <c r="T219" s="1"/>
      <c r="U219" s="1"/>
    </row>
    <row r="220" spans="1:21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8"/>
      <c r="T220" s="1"/>
      <c r="U220" s="1"/>
    </row>
    <row r="221" spans="1:21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8"/>
      <c r="T221" s="1"/>
      <c r="U221" s="1"/>
    </row>
    <row r="222" spans="1:21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8"/>
      <c r="T222" s="1"/>
      <c r="U222" s="1"/>
    </row>
    <row r="223" spans="1:21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8"/>
      <c r="T223" s="1"/>
      <c r="U223" s="1"/>
    </row>
    <row r="224" spans="1:21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8"/>
      <c r="T224" s="1"/>
      <c r="U224" s="1"/>
    </row>
    <row r="225" spans="1:21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8"/>
      <c r="T225" s="1"/>
      <c r="U225" s="1"/>
    </row>
    <row r="226" spans="1:21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8"/>
      <c r="T226" s="1"/>
      <c r="U226" s="1"/>
    </row>
    <row r="227" spans="1:21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8"/>
      <c r="T227" s="1"/>
      <c r="U227" s="1"/>
    </row>
    <row r="228" spans="1:21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8"/>
      <c r="T228" s="1"/>
      <c r="U228" s="1"/>
    </row>
    <row r="229" spans="1:21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8"/>
      <c r="T229" s="1"/>
      <c r="U229" s="1"/>
    </row>
    <row r="230" spans="1:21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8"/>
      <c r="T230" s="1"/>
      <c r="U230" s="1"/>
    </row>
    <row r="231" spans="1:21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8"/>
      <c r="T231" s="1"/>
      <c r="U231" s="1"/>
    </row>
    <row r="232" spans="1:21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8"/>
      <c r="T232" s="1"/>
      <c r="U232" s="1"/>
    </row>
    <row r="233" spans="1:21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8"/>
      <c r="T233" s="1"/>
      <c r="U233" s="1"/>
    </row>
    <row r="234" spans="1:21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8"/>
      <c r="T234" s="1"/>
      <c r="U234" s="1"/>
    </row>
    <row r="235" spans="1:21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8"/>
      <c r="T235" s="1"/>
      <c r="U235" s="1"/>
    </row>
    <row r="236" spans="1:21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8"/>
      <c r="T236" s="1"/>
      <c r="U236" s="1"/>
    </row>
    <row r="237" spans="1:21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8"/>
      <c r="T237" s="1"/>
      <c r="U237" s="1"/>
    </row>
    <row r="238" spans="1:21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8"/>
      <c r="T238" s="1"/>
      <c r="U238" s="1"/>
    </row>
    <row r="239" spans="1:21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8"/>
      <c r="T239" s="1"/>
      <c r="U239" s="1"/>
    </row>
    <row r="240" spans="1:21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8"/>
      <c r="T240" s="1"/>
      <c r="U240" s="1"/>
    </row>
    <row r="241" spans="1:21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8"/>
      <c r="T241" s="1"/>
      <c r="U241" s="1"/>
    </row>
    <row r="242" spans="1:21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8"/>
      <c r="T242" s="1"/>
      <c r="U242" s="1"/>
    </row>
    <row r="243" spans="1:21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8"/>
      <c r="T243" s="1"/>
      <c r="U243" s="1"/>
    </row>
    <row r="244" spans="1:21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8"/>
      <c r="T244" s="1"/>
      <c r="U244" s="1"/>
    </row>
    <row r="245" spans="1:21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8"/>
      <c r="T245" s="1"/>
      <c r="U245" s="1"/>
    </row>
    <row r="246" spans="1:21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8"/>
      <c r="T246" s="1"/>
      <c r="U246" s="1"/>
    </row>
    <row r="247" spans="1:21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8"/>
      <c r="T247" s="1"/>
      <c r="U247" s="1"/>
    </row>
    <row r="248" spans="1:21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8"/>
      <c r="T248" s="1"/>
      <c r="U248" s="1"/>
    </row>
    <row r="249" spans="1:21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8"/>
      <c r="T249" s="1"/>
      <c r="U249" s="1"/>
    </row>
    <row r="250" spans="1:21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8"/>
      <c r="T250" s="1"/>
      <c r="U250" s="1"/>
    </row>
    <row r="251" spans="1:21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8"/>
      <c r="T251" s="1"/>
      <c r="U251" s="1"/>
    </row>
    <row r="252" spans="1:21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8"/>
      <c r="T252" s="1"/>
      <c r="U252" s="1"/>
    </row>
    <row r="253" spans="1:21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8"/>
      <c r="T253" s="1"/>
      <c r="U253" s="1"/>
    </row>
    <row r="254" spans="1:21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8"/>
      <c r="T254" s="1"/>
      <c r="U254" s="1"/>
    </row>
    <row r="255" spans="1:21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8"/>
      <c r="T255" s="1"/>
      <c r="U255" s="1"/>
    </row>
    <row r="256" spans="1:21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8"/>
      <c r="T256" s="1"/>
      <c r="U256" s="1"/>
    </row>
    <row r="257" spans="1:21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8"/>
      <c r="T257" s="1"/>
      <c r="U257" s="1"/>
    </row>
    <row r="258" spans="1:21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8"/>
      <c r="T258" s="1"/>
      <c r="U258" s="1"/>
    </row>
    <row r="259" spans="1:21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8"/>
      <c r="T259" s="1"/>
      <c r="U259" s="1"/>
    </row>
    <row r="260" spans="1:21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8"/>
      <c r="T260" s="1"/>
      <c r="U260" s="1"/>
    </row>
    <row r="261" spans="1:21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8"/>
      <c r="T261" s="1"/>
      <c r="U261" s="1"/>
    </row>
    <row r="262" spans="1:21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8"/>
      <c r="T262" s="1"/>
      <c r="U262" s="1"/>
    </row>
    <row r="263" spans="1:21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8"/>
      <c r="T263" s="1"/>
      <c r="U263" s="1"/>
    </row>
    <row r="264" spans="1:21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8"/>
      <c r="T264" s="1"/>
      <c r="U264" s="1"/>
    </row>
    <row r="265" spans="1:21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8"/>
      <c r="T265" s="1"/>
      <c r="U265" s="1"/>
    </row>
    <row r="266" spans="1:21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8"/>
      <c r="T266" s="1"/>
      <c r="U266" s="1"/>
    </row>
    <row r="267" spans="1:21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8"/>
      <c r="T267" s="1"/>
      <c r="U267" s="1"/>
    </row>
    <row r="268" spans="1:21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8"/>
      <c r="T268" s="1"/>
      <c r="U268" s="1"/>
    </row>
    <row r="269" spans="1:21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8"/>
      <c r="T269" s="1"/>
      <c r="U269" s="1"/>
    </row>
    <row r="270" spans="1:21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8"/>
      <c r="T270" s="1"/>
      <c r="U270" s="1"/>
    </row>
    <row r="271" spans="1:21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8"/>
      <c r="T271" s="1"/>
      <c r="U271" s="1"/>
    </row>
    <row r="272" spans="1:21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8"/>
      <c r="T272" s="1"/>
      <c r="U272" s="1"/>
    </row>
    <row r="273" spans="1:21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8"/>
      <c r="T273" s="1"/>
      <c r="U273" s="1"/>
    </row>
    <row r="274" spans="1:21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8"/>
      <c r="T274" s="1"/>
      <c r="U274" s="1"/>
    </row>
    <row r="275" spans="1:21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8"/>
      <c r="T275" s="1"/>
      <c r="U275" s="1"/>
    </row>
    <row r="276" spans="1:21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8"/>
      <c r="T276" s="1"/>
      <c r="U276" s="1"/>
    </row>
    <row r="277" spans="1:21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8"/>
      <c r="T277" s="1"/>
      <c r="U277" s="1"/>
    </row>
    <row r="278" spans="1:21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8"/>
      <c r="T278" s="1"/>
      <c r="U278" s="1"/>
    </row>
    <row r="279" spans="1:21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8"/>
      <c r="T279" s="1"/>
      <c r="U279" s="1"/>
    </row>
    <row r="280" spans="1:21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8"/>
      <c r="T280" s="1"/>
      <c r="U280" s="1"/>
    </row>
    <row r="281" spans="1:21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8"/>
      <c r="T281" s="1"/>
      <c r="U281" s="1"/>
    </row>
    <row r="282" spans="1:21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8"/>
      <c r="T282" s="1"/>
      <c r="U282" s="1"/>
    </row>
    <row r="283" spans="1:21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8"/>
      <c r="T283" s="1"/>
      <c r="U283" s="1"/>
    </row>
    <row r="284" spans="1:21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8"/>
      <c r="T284" s="1"/>
      <c r="U284" s="1"/>
    </row>
    <row r="285" spans="1:21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8"/>
      <c r="T285" s="1"/>
      <c r="U285" s="1"/>
    </row>
    <row r="286" spans="1:21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8"/>
      <c r="T286" s="1"/>
      <c r="U286" s="1"/>
    </row>
    <row r="287" spans="1:21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8"/>
      <c r="T287" s="1"/>
      <c r="U287" s="1"/>
    </row>
    <row r="288" spans="1:21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8"/>
      <c r="T288" s="1"/>
      <c r="U288" s="1"/>
    </row>
    <row r="289" spans="1:21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8"/>
      <c r="T289" s="1"/>
      <c r="U289" s="1"/>
    </row>
    <row r="290" spans="1:21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8"/>
      <c r="T290" s="1"/>
      <c r="U290" s="1"/>
    </row>
    <row r="291" spans="1:21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8"/>
      <c r="T291" s="1"/>
      <c r="U291" s="1"/>
    </row>
    <row r="292" spans="1:21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8"/>
      <c r="T292" s="1"/>
      <c r="U292" s="1"/>
    </row>
    <row r="293" spans="1:21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8"/>
      <c r="T293" s="1"/>
      <c r="U293" s="1"/>
    </row>
    <row r="294" spans="1:21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8"/>
      <c r="T294" s="1"/>
      <c r="U294" s="1"/>
    </row>
    <row r="295" spans="1:21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8"/>
      <c r="T295" s="1"/>
      <c r="U295" s="1"/>
    </row>
    <row r="296" spans="1:21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8"/>
      <c r="T296" s="1"/>
      <c r="U296" s="1"/>
    </row>
    <row r="297" spans="1:21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8"/>
      <c r="T297" s="1"/>
      <c r="U297" s="1"/>
    </row>
    <row r="298" spans="1:21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8"/>
      <c r="T298" s="1"/>
      <c r="U298" s="1"/>
    </row>
    <row r="299" spans="1:21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8"/>
      <c r="T299" s="1"/>
      <c r="U299" s="1"/>
    </row>
    <row r="300" spans="1:21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8"/>
      <c r="T300" s="1"/>
      <c r="U300" s="1"/>
    </row>
    <row r="301" spans="1:21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8"/>
      <c r="T301" s="1"/>
      <c r="U301" s="1"/>
    </row>
    <row r="302" spans="1:21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8"/>
      <c r="T302" s="1"/>
      <c r="U302" s="1"/>
    </row>
    <row r="303" spans="1:21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8"/>
      <c r="T303" s="1"/>
      <c r="U303" s="1"/>
    </row>
    <row r="304" spans="1:21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8"/>
      <c r="T304" s="1"/>
      <c r="U304" s="1"/>
    </row>
    <row r="305" spans="1:21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8"/>
      <c r="T305" s="1"/>
      <c r="U305" s="1"/>
    </row>
    <row r="306" spans="1:21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8"/>
      <c r="T306" s="1"/>
      <c r="U306" s="1"/>
    </row>
    <row r="307" spans="1:21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8"/>
      <c r="T307" s="1"/>
      <c r="U307" s="1"/>
    </row>
    <row r="308" spans="1:21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8"/>
      <c r="T308" s="1"/>
      <c r="U308" s="1"/>
    </row>
    <row r="309" spans="1:21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8"/>
      <c r="T309" s="1"/>
      <c r="U309" s="1"/>
    </row>
    <row r="310" spans="1:21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8"/>
      <c r="T310" s="1"/>
      <c r="U310" s="1"/>
    </row>
    <row r="311" spans="1:21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8"/>
      <c r="T311" s="1"/>
      <c r="U311" s="1"/>
    </row>
    <row r="312" spans="1:21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8"/>
      <c r="T312" s="1"/>
      <c r="U312" s="1"/>
    </row>
    <row r="313" spans="1:21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8"/>
      <c r="T313" s="1"/>
      <c r="U313" s="1"/>
    </row>
    <row r="314" spans="1:21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8"/>
      <c r="T314" s="1"/>
      <c r="U314" s="1"/>
    </row>
    <row r="315" spans="1:21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8"/>
      <c r="T315" s="1"/>
      <c r="U315" s="1"/>
    </row>
    <row r="316" spans="1:21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8"/>
      <c r="T316" s="1"/>
      <c r="U316" s="1"/>
    </row>
    <row r="317" spans="1:21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8"/>
      <c r="T317" s="1"/>
      <c r="U317" s="1"/>
    </row>
    <row r="318" spans="1:21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8"/>
      <c r="T318" s="1"/>
      <c r="U318" s="1"/>
    </row>
    <row r="319" spans="1:21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8"/>
      <c r="T319" s="1"/>
      <c r="U319" s="1"/>
    </row>
    <row r="320" spans="1:21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8"/>
      <c r="T320" s="1"/>
      <c r="U320" s="1"/>
    </row>
    <row r="321" spans="1:21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8"/>
      <c r="T321" s="1"/>
      <c r="U321" s="1"/>
    </row>
    <row r="322" spans="1:21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8"/>
      <c r="T322" s="1"/>
      <c r="U322" s="1"/>
    </row>
    <row r="323" spans="1:21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8"/>
      <c r="T323" s="1"/>
      <c r="U323" s="1"/>
    </row>
    <row r="324" spans="1:21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8"/>
      <c r="T324" s="1"/>
      <c r="U324" s="1"/>
    </row>
    <row r="325" spans="1:21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8"/>
      <c r="T325" s="1"/>
      <c r="U325" s="1"/>
    </row>
    <row r="326" spans="1:21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8"/>
      <c r="T326" s="1"/>
      <c r="U326" s="1"/>
    </row>
    <row r="327" spans="1:21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8"/>
      <c r="T327" s="1"/>
      <c r="U327" s="1"/>
    </row>
    <row r="328" spans="1:21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8"/>
      <c r="T328" s="1"/>
      <c r="U328" s="1"/>
    </row>
    <row r="329" spans="1:21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8"/>
      <c r="T329" s="1"/>
      <c r="U329" s="1"/>
    </row>
    <row r="330" spans="1:21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8"/>
      <c r="T330" s="1"/>
      <c r="U330" s="1"/>
    </row>
    <row r="331" spans="1:21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8"/>
      <c r="T331" s="1"/>
      <c r="U331" s="1"/>
    </row>
    <row r="332" spans="1:21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8"/>
      <c r="T332" s="1"/>
      <c r="U332" s="1"/>
    </row>
    <row r="333" spans="1:21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8"/>
      <c r="T333" s="1"/>
      <c r="U333" s="1"/>
    </row>
    <row r="334" spans="1:21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8"/>
      <c r="T334" s="1"/>
      <c r="U334" s="1"/>
    </row>
    <row r="335" spans="1:21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8"/>
      <c r="T335" s="1"/>
      <c r="U335" s="1"/>
    </row>
    <row r="336" spans="1:21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8"/>
      <c r="T336" s="1"/>
      <c r="U336" s="1"/>
    </row>
    <row r="337" spans="1:21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8"/>
      <c r="T337" s="1"/>
      <c r="U337" s="1"/>
    </row>
    <row r="338" spans="1:21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8"/>
      <c r="T338" s="1"/>
      <c r="U338" s="1"/>
    </row>
    <row r="339" spans="1:21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8"/>
      <c r="T339" s="1"/>
      <c r="U339" s="1"/>
    </row>
    <row r="340" spans="1:21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8"/>
      <c r="T340" s="1"/>
      <c r="U340" s="1"/>
    </row>
    <row r="341" spans="1:21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8"/>
      <c r="T341" s="1"/>
      <c r="U341" s="1"/>
    </row>
    <row r="342" spans="1:21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8"/>
      <c r="T342" s="1"/>
      <c r="U342" s="1"/>
    </row>
    <row r="343" spans="1:21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8"/>
      <c r="T343" s="1"/>
      <c r="U343" s="1"/>
    </row>
    <row r="344" spans="1:21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8"/>
      <c r="T344" s="1"/>
      <c r="U344" s="1"/>
    </row>
    <row r="345" spans="1:21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8"/>
      <c r="T345" s="1"/>
      <c r="U345" s="1"/>
    </row>
    <row r="346" spans="1:21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8"/>
      <c r="T346" s="1"/>
      <c r="U346" s="1"/>
    </row>
    <row r="347" spans="1:21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8"/>
      <c r="T347" s="1"/>
      <c r="U347" s="1"/>
    </row>
    <row r="348" spans="1:21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8"/>
      <c r="T348" s="1"/>
      <c r="U348" s="1"/>
    </row>
    <row r="349" spans="1:21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8"/>
      <c r="T349" s="1"/>
      <c r="U349" s="1"/>
    </row>
    <row r="350" spans="1:21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8"/>
      <c r="T350" s="1"/>
      <c r="U350" s="1"/>
    </row>
    <row r="351" spans="1:21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8"/>
      <c r="T351" s="1"/>
      <c r="U351" s="1"/>
    </row>
    <row r="352" spans="1:21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8"/>
      <c r="T352" s="1"/>
      <c r="U352" s="1"/>
    </row>
    <row r="353" spans="1:21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8"/>
      <c r="T353" s="1"/>
      <c r="U353" s="1"/>
    </row>
    <row r="354" spans="1:21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8"/>
      <c r="T354" s="1"/>
      <c r="U354" s="1"/>
    </row>
    <row r="355" spans="1:21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8"/>
      <c r="T355" s="1"/>
      <c r="U355" s="1"/>
    </row>
    <row r="356" spans="1:21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8"/>
      <c r="T356" s="1"/>
      <c r="U356" s="1"/>
    </row>
    <row r="357" spans="1:21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8"/>
      <c r="T357" s="1"/>
      <c r="U357" s="1"/>
    </row>
    <row r="358" spans="1:21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8"/>
      <c r="T358" s="1"/>
      <c r="U358" s="1"/>
    </row>
    <row r="359" spans="1:21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8"/>
      <c r="T359" s="1"/>
      <c r="U359" s="1"/>
    </row>
    <row r="360" spans="1:21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8"/>
      <c r="T360" s="1"/>
      <c r="U360" s="1"/>
    </row>
    <row r="361" spans="1:21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8"/>
      <c r="T361" s="1"/>
      <c r="U361" s="1"/>
    </row>
    <row r="362" spans="1:21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8"/>
      <c r="T362" s="1"/>
      <c r="U362" s="1"/>
    </row>
    <row r="363" spans="1:21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8"/>
      <c r="T363" s="1"/>
      <c r="U363" s="1"/>
    </row>
    <row r="364" spans="1:21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8"/>
      <c r="T364" s="1"/>
      <c r="U364" s="1"/>
    </row>
    <row r="365" spans="1:21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8"/>
      <c r="T365" s="1"/>
      <c r="U365" s="1"/>
    </row>
    <row r="366" spans="1:21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8"/>
      <c r="T366" s="1"/>
      <c r="U366" s="1"/>
    </row>
    <row r="367" spans="1:21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8"/>
      <c r="T367" s="1"/>
      <c r="U367" s="1"/>
    </row>
    <row r="368" spans="1:21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8"/>
      <c r="T368" s="1"/>
      <c r="U368" s="1"/>
    </row>
    <row r="369" spans="1:21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8"/>
      <c r="T369" s="1"/>
      <c r="U369" s="1"/>
    </row>
    <row r="370" spans="1:21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8"/>
      <c r="T370" s="1"/>
      <c r="U370" s="1"/>
    </row>
    <row r="371" spans="1:21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8"/>
      <c r="T371" s="1"/>
      <c r="U371" s="1"/>
    </row>
    <row r="372" spans="1:21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8"/>
      <c r="T372" s="1"/>
      <c r="U372" s="1"/>
    </row>
    <row r="373" spans="1:21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8"/>
      <c r="T373" s="1"/>
      <c r="U373" s="1"/>
    </row>
    <row r="374" spans="1:21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8"/>
      <c r="T374" s="1"/>
      <c r="U374" s="1"/>
    </row>
    <row r="375" spans="1:21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8"/>
      <c r="T375" s="1"/>
      <c r="U375" s="1"/>
    </row>
    <row r="376" spans="1:21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8"/>
      <c r="T376" s="1"/>
      <c r="U376" s="1"/>
    </row>
    <row r="377" spans="1:21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8"/>
      <c r="T377" s="1"/>
      <c r="U377" s="1"/>
    </row>
    <row r="378" spans="1:21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8"/>
      <c r="T378" s="1"/>
      <c r="U378" s="1"/>
    </row>
    <row r="379" spans="1:21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8"/>
      <c r="T379" s="1"/>
      <c r="U379" s="1"/>
    </row>
    <row r="380" spans="1:21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8"/>
      <c r="T380" s="1"/>
      <c r="U380" s="1"/>
    </row>
    <row r="381" spans="1:21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8"/>
      <c r="T381" s="1"/>
      <c r="U381" s="1"/>
    </row>
    <row r="382" spans="1:21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8"/>
      <c r="T382" s="1"/>
      <c r="U382" s="1"/>
    </row>
    <row r="383" spans="1:21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8"/>
      <c r="T383" s="1"/>
      <c r="U383" s="1"/>
    </row>
    <row r="384" spans="1:21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8"/>
      <c r="T384" s="1"/>
      <c r="U384" s="1"/>
    </row>
    <row r="385" spans="1:21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8"/>
      <c r="T385" s="1"/>
      <c r="U385" s="1"/>
    </row>
    <row r="386" spans="1:21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8"/>
      <c r="T386" s="1"/>
      <c r="U386" s="1"/>
    </row>
    <row r="387" spans="1:21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8"/>
      <c r="T387" s="1"/>
      <c r="U387" s="1"/>
    </row>
    <row r="388" spans="1:21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8"/>
      <c r="T388" s="1"/>
      <c r="U388" s="1"/>
    </row>
    <row r="389" spans="1:21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8"/>
      <c r="T389" s="1"/>
      <c r="U389" s="1"/>
    </row>
    <row r="390" spans="1:21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8"/>
      <c r="T390" s="1"/>
      <c r="U390" s="1"/>
    </row>
    <row r="391" spans="1:21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8"/>
      <c r="T391" s="1"/>
      <c r="U391" s="1"/>
    </row>
    <row r="392" spans="1:21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8"/>
      <c r="T392" s="1"/>
      <c r="U392" s="1"/>
    </row>
    <row r="393" spans="1:21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8"/>
      <c r="T393" s="1"/>
      <c r="U393" s="1"/>
    </row>
    <row r="394" spans="1:21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8"/>
      <c r="T394" s="1"/>
      <c r="U394" s="1"/>
    </row>
    <row r="395" spans="1:21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8"/>
      <c r="T395" s="1"/>
      <c r="U395" s="1"/>
    </row>
    <row r="396" spans="1:21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8"/>
      <c r="T396" s="1"/>
      <c r="U396" s="1"/>
    </row>
    <row r="397" spans="1:21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8"/>
      <c r="T397" s="1"/>
      <c r="U397" s="1"/>
    </row>
    <row r="398" spans="1:21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8"/>
      <c r="T398" s="1"/>
      <c r="U398" s="1"/>
    </row>
    <row r="399" spans="1:21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8"/>
      <c r="T399" s="1"/>
      <c r="U399" s="1"/>
    </row>
    <row r="400" spans="1:21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8"/>
      <c r="T400" s="1"/>
      <c r="U400" s="1"/>
    </row>
    <row r="401" spans="1:21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8"/>
      <c r="T401" s="1"/>
      <c r="U401" s="1"/>
    </row>
    <row r="402" spans="1:21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8"/>
      <c r="T402" s="1"/>
      <c r="U402" s="1"/>
    </row>
    <row r="403" spans="1:21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8"/>
      <c r="T403" s="1"/>
      <c r="U403" s="1"/>
    </row>
    <row r="404" spans="1:21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8"/>
      <c r="T404" s="1"/>
      <c r="U404" s="1"/>
    </row>
    <row r="405" spans="1:21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8"/>
      <c r="T405" s="1"/>
      <c r="U405" s="1"/>
    </row>
    <row r="406" spans="1:21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8"/>
      <c r="T406" s="1"/>
      <c r="U406" s="1"/>
    </row>
    <row r="407" spans="1:21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8"/>
      <c r="T407" s="1"/>
      <c r="U407" s="1"/>
    </row>
    <row r="408" spans="1:21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8"/>
      <c r="T408" s="1"/>
      <c r="U408" s="1"/>
    </row>
    <row r="409" spans="1:21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8"/>
      <c r="T409" s="1"/>
      <c r="U409" s="1"/>
    </row>
    <row r="410" spans="1:21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8"/>
      <c r="T410" s="1"/>
      <c r="U410" s="1"/>
    </row>
    <row r="411" spans="1:21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8"/>
      <c r="T411" s="1"/>
      <c r="U411" s="1"/>
    </row>
    <row r="412" spans="1:21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8"/>
      <c r="T412" s="1"/>
      <c r="U412" s="1"/>
    </row>
    <row r="413" spans="1:21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8"/>
      <c r="T413" s="1"/>
      <c r="U413" s="1"/>
    </row>
    <row r="414" spans="1:21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8"/>
      <c r="T414" s="1"/>
      <c r="U414" s="1"/>
    </row>
    <row r="415" spans="1:21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8"/>
      <c r="T415" s="1"/>
      <c r="U415" s="1"/>
    </row>
    <row r="416" spans="1:21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8"/>
      <c r="T416" s="1"/>
      <c r="U416" s="1"/>
    </row>
    <row r="417" spans="1:21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8"/>
      <c r="T417" s="1"/>
      <c r="U417" s="1"/>
    </row>
    <row r="418" spans="1:21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8"/>
      <c r="T418" s="1"/>
      <c r="U418" s="1"/>
    </row>
    <row r="419" spans="1:21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8"/>
      <c r="T419" s="1"/>
      <c r="U419" s="1"/>
    </row>
    <row r="420" spans="1:21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8"/>
      <c r="T420" s="1"/>
      <c r="U420" s="1"/>
    </row>
    <row r="421" spans="1:21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8"/>
      <c r="T421" s="1"/>
      <c r="U421" s="1"/>
    </row>
    <row r="422" spans="1:21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8"/>
      <c r="T422" s="1"/>
      <c r="U422" s="1"/>
    </row>
    <row r="423" spans="1:21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8"/>
      <c r="T423" s="1"/>
      <c r="U423" s="1"/>
    </row>
    <row r="424" spans="1:21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8"/>
      <c r="T424" s="1"/>
      <c r="U424" s="1"/>
    </row>
    <row r="425" spans="1:21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8"/>
      <c r="T425" s="1"/>
      <c r="U425" s="1"/>
    </row>
    <row r="426" spans="1:21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8"/>
      <c r="T426" s="1"/>
      <c r="U426" s="1"/>
    </row>
    <row r="427" spans="1:21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8"/>
      <c r="T427" s="1"/>
      <c r="U427" s="1"/>
    </row>
    <row r="428" spans="1:21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8"/>
      <c r="T428" s="1"/>
      <c r="U428" s="1"/>
    </row>
    <row r="429" spans="1:21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8"/>
      <c r="T429" s="1"/>
      <c r="U429" s="1"/>
    </row>
    <row r="430" spans="1:21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8"/>
      <c r="T430" s="1"/>
      <c r="U430" s="1"/>
    </row>
    <row r="431" spans="1:21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8"/>
      <c r="T431" s="1"/>
      <c r="U431" s="1"/>
    </row>
    <row r="432" spans="1:21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8"/>
      <c r="T432" s="1"/>
      <c r="U432" s="1"/>
    </row>
    <row r="433" spans="1:21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8"/>
      <c r="T433" s="1"/>
      <c r="U433" s="1"/>
    </row>
    <row r="434" spans="1:21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8"/>
      <c r="T434" s="1"/>
      <c r="U434" s="1"/>
    </row>
    <row r="435" spans="1:21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8"/>
      <c r="T435" s="1"/>
      <c r="U435" s="1"/>
    </row>
    <row r="436" spans="1:21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8"/>
      <c r="T436" s="1"/>
      <c r="U436" s="1"/>
    </row>
    <row r="437" spans="1:21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8"/>
      <c r="T437" s="1"/>
      <c r="U437" s="1"/>
    </row>
    <row r="438" spans="1:21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8"/>
      <c r="T438" s="1"/>
      <c r="U438" s="1"/>
    </row>
    <row r="439" spans="1:21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8"/>
      <c r="T439" s="1"/>
      <c r="U439" s="1"/>
    </row>
    <row r="440" spans="1:21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8"/>
      <c r="T440" s="1"/>
      <c r="U440" s="1"/>
    </row>
    <row r="441" spans="1:21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8"/>
      <c r="T441" s="1"/>
      <c r="U441" s="1"/>
    </row>
    <row r="442" spans="1:21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8"/>
      <c r="T442" s="1"/>
      <c r="U442" s="1"/>
    </row>
    <row r="443" spans="1:21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8"/>
      <c r="T443" s="1"/>
      <c r="U443" s="1"/>
    </row>
    <row r="444" spans="1:21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8"/>
      <c r="T444" s="1"/>
      <c r="U444" s="1"/>
    </row>
    <row r="445" spans="1:21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8"/>
      <c r="T445" s="1"/>
      <c r="U445" s="1"/>
    </row>
    <row r="446" spans="1:21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8"/>
      <c r="T446" s="1"/>
      <c r="U446" s="1"/>
    </row>
    <row r="447" spans="1:21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8"/>
      <c r="T447" s="1"/>
      <c r="U447" s="1"/>
    </row>
    <row r="448" spans="1:21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8"/>
      <c r="T448" s="1"/>
      <c r="U448" s="1"/>
    </row>
    <row r="449" spans="1:21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8"/>
      <c r="T449" s="1"/>
      <c r="U449" s="1"/>
    </row>
    <row r="450" spans="1:21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8"/>
      <c r="T450" s="1"/>
      <c r="U450" s="1"/>
    </row>
    <row r="451" spans="1:21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8"/>
      <c r="T451" s="1"/>
      <c r="U451" s="1"/>
    </row>
    <row r="452" spans="1:21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8"/>
      <c r="T452" s="1"/>
      <c r="U452" s="1"/>
    </row>
    <row r="453" spans="1:21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8"/>
      <c r="T453" s="1"/>
      <c r="U453" s="1"/>
    </row>
    <row r="454" spans="1:21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8"/>
      <c r="T454" s="1"/>
      <c r="U454" s="1"/>
    </row>
    <row r="455" spans="1:21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8"/>
      <c r="T455" s="1"/>
      <c r="U455" s="1"/>
    </row>
    <row r="456" spans="1:21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8"/>
      <c r="T456" s="1"/>
      <c r="U456" s="1"/>
    </row>
    <row r="457" spans="1:21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8"/>
      <c r="T457" s="1"/>
      <c r="U457" s="1"/>
    </row>
    <row r="458" spans="1:21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8"/>
      <c r="T458" s="1"/>
      <c r="U458" s="1"/>
    </row>
    <row r="459" spans="1:21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8"/>
      <c r="T459" s="1"/>
      <c r="U459" s="1"/>
    </row>
    <row r="460" spans="1:21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8"/>
      <c r="T460" s="1"/>
      <c r="U460" s="1"/>
    </row>
    <row r="461" spans="1:21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8"/>
      <c r="T461" s="1"/>
      <c r="U461" s="1"/>
    </row>
    <row r="462" spans="1:21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8"/>
      <c r="T462" s="1"/>
      <c r="U462" s="1"/>
    </row>
    <row r="463" spans="1:21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8"/>
      <c r="T463" s="1"/>
      <c r="U463" s="1"/>
    </row>
    <row r="464" spans="1:21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8"/>
      <c r="T464" s="1"/>
      <c r="U464" s="1"/>
    </row>
    <row r="465" spans="1:21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8"/>
      <c r="T465" s="1"/>
      <c r="U465" s="1"/>
    </row>
    <row r="466" spans="1:21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8"/>
      <c r="T466" s="1"/>
      <c r="U466" s="1"/>
    </row>
    <row r="467" spans="1:21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8"/>
      <c r="T467" s="1"/>
      <c r="U467" s="1"/>
    </row>
    <row r="468" spans="1:21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8"/>
      <c r="T468" s="1"/>
      <c r="U468" s="1"/>
    </row>
    <row r="469" spans="1:21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8"/>
      <c r="T469" s="1"/>
      <c r="U469" s="1"/>
    </row>
    <row r="470" spans="1:21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8"/>
      <c r="T470" s="1"/>
      <c r="U470" s="1"/>
    </row>
    <row r="471" spans="1:21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8"/>
      <c r="T471" s="1"/>
      <c r="U471" s="1"/>
    </row>
    <row r="472" spans="1:21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8"/>
      <c r="T472" s="1"/>
      <c r="U472" s="1"/>
    </row>
    <row r="473" spans="1:21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8"/>
      <c r="T473" s="1"/>
      <c r="U473" s="1"/>
    </row>
    <row r="474" spans="1:21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8"/>
      <c r="T474" s="1"/>
      <c r="U474" s="1"/>
    </row>
    <row r="475" spans="1:21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8"/>
      <c r="T475" s="1"/>
      <c r="U475" s="1"/>
    </row>
    <row r="476" spans="1:21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8"/>
      <c r="T476" s="1"/>
      <c r="U476" s="1"/>
    </row>
    <row r="477" spans="1:21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8"/>
      <c r="T477" s="1"/>
      <c r="U477" s="1"/>
    </row>
    <row r="478" spans="1:21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8"/>
      <c r="T478" s="1"/>
      <c r="U478" s="1"/>
    </row>
    <row r="479" spans="1:21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8"/>
      <c r="T479" s="1"/>
      <c r="U479" s="1"/>
    </row>
    <row r="480" spans="1:21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8"/>
      <c r="T480" s="1"/>
      <c r="U480" s="1"/>
    </row>
    <row r="481" spans="1:21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8"/>
      <c r="T481" s="1"/>
      <c r="U481" s="1"/>
    </row>
    <row r="482" spans="1:21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8"/>
      <c r="T482" s="1"/>
      <c r="U482" s="1"/>
    </row>
    <row r="483" spans="1:21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8"/>
      <c r="T483" s="1"/>
      <c r="U483" s="1"/>
    </row>
    <row r="484" spans="1:21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8"/>
      <c r="T484" s="1"/>
      <c r="U484" s="1"/>
    </row>
    <row r="485" spans="1:21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8"/>
      <c r="T485" s="1"/>
      <c r="U485" s="1"/>
    </row>
    <row r="486" spans="1:21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8"/>
      <c r="T486" s="1"/>
      <c r="U486" s="1"/>
    </row>
    <row r="487" spans="1:21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8"/>
      <c r="T487" s="1"/>
      <c r="U487" s="1"/>
    </row>
    <row r="488" spans="1:21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8"/>
      <c r="T488" s="1"/>
      <c r="U488" s="1"/>
    </row>
    <row r="489" spans="1:21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8"/>
      <c r="T489" s="1"/>
      <c r="U489" s="1"/>
    </row>
    <row r="490" spans="1:21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8"/>
      <c r="T490" s="1"/>
      <c r="U490" s="1"/>
    </row>
    <row r="491" spans="1:21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8"/>
      <c r="T491" s="1"/>
      <c r="U491" s="1"/>
    </row>
    <row r="492" spans="1:21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8"/>
      <c r="T492" s="1"/>
      <c r="U492" s="1"/>
    </row>
    <row r="493" spans="1:21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8"/>
      <c r="T493" s="1"/>
      <c r="U493" s="1"/>
    </row>
    <row r="494" spans="1:21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8"/>
      <c r="T494" s="1"/>
      <c r="U494" s="1"/>
    </row>
    <row r="495" spans="1:21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8"/>
      <c r="T495" s="1"/>
      <c r="U495" s="1"/>
    </row>
    <row r="496" spans="1:21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8"/>
      <c r="T496" s="1"/>
      <c r="U496" s="1"/>
    </row>
    <row r="497" spans="1:21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8"/>
      <c r="T497" s="1"/>
      <c r="U497" s="1"/>
    </row>
    <row r="498" spans="1:21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8"/>
      <c r="T498" s="1"/>
      <c r="U498" s="1"/>
    </row>
    <row r="499" spans="1:21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8"/>
      <c r="T499" s="1"/>
      <c r="U499" s="1"/>
    </row>
    <row r="500" spans="1:21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8"/>
      <c r="T500" s="1"/>
      <c r="U500" s="1"/>
    </row>
    <row r="501" spans="1:21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8"/>
      <c r="T501" s="1"/>
      <c r="U501" s="1"/>
    </row>
    <row r="502" spans="1:21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28"/>
      <c r="T502" s="1"/>
      <c r="U502" s="1"/>
    </row>
    <row r="503" spans="1:21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8"/>
      <c r="T503" s="1"/>
      <c r="U503" s="1"/>
    </row>
    <row r="504" spans="1:21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8"/>
      <c r="T504" s="1"/>
      <c r="U504" s="1"/>
    </row>
    <row r="505" spans="1:21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8"/>
      <c r="T505" s="1"/>
      <c r="U505" s="1"/>
    </row>
    <row r="506" spans="1:21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8"/>
      <c r="T506" s="1"/>
      <c r="U506" s="1"/>
    </row>
    <row r="507" spans="1:21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8"/>
      <c r="T507" s="1"/>
      <c r="U507" s="1"/>
    </row>
    <row r="508" spans="1:21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8"/>
      <c r="T508" s="1"/>
      <c r="U508" s="1"/>
    </row>
    <row r="509" spans="1:21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8"/>
      <c r="T509" s="1"/>
      <c r="U509" s="1"/>
    </row>
    <row r="510" spans="1:21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28"/>
      <c r="T510" s="1"/>
      <c r="U510" s="1"/>
    </row>
    <row r="511" spans="1:21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8"/>
      <c r="T511" s="1"/>
      <c r="U511" s="1"/>
    </row>
    <row r="512" spans="1:21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8"/>
      <c r="T512" s="1"/>
      <c r="U512" s="1"/>
    </row>
    <row r="513" spans="1:21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8"/>
      <c r="T513" s="1"/>
      <c r="U513" s="1"/>
    </row>
    <row r="514" spans="1:21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8"/>
      <c r="T514" s="1"/>
      <c r="U514" s="1"/>
    </row>
    <row r="515" spans="1:21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8"/>
      <c r="T515" s="1"/>
      <c r="U515" s="1"/>
    </row>
    <row r="516" spans="1:21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8"/>
      <c r="T516" s="1"/>
      <c r="U516" s="1"/>
    </row>
    <row r="517" spans="1:21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8"/>
      <c r="T517" s="1"/>
      <c r="U517" s="1"/>
    </row>
    <row r="518" spans="1:21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8"/>
      <c r="T518" s="1"/>
      <c r="U518" s="1"/>
    </row>
    <row r="519" spans="1:21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8"/>
      <c r="T519" s="1"/>
      <c r="U519" s="1"/>
    </row>
    <row r="520" spans="1:21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8"/>
      <c r="T520" s="1"/>
      <c r="U520" s="1"/>
    </row>
    <row r="521" spans="1:21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8"/>
      <c r="T521" s="1"/>
      <c r="U521" s="1"/>
    </row>
    <row r="522" spans="1:21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8"/>
      <c r="T522" s="1"/>
      <c r="U522" s="1"/>
    </row>
    <row r="523" spans="1:21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28"/>
      <c r="T523" s="1"/>
      <c r="U523" s="1"/>
    </row>
    <row r="524" spans="1:21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8"/>
      <c r="T524" s="1"/>
      <c r="U524" s="1"/>
    </row>
    <row r="525" spans="1:21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8"/>
      <c r="T525" s="1"/>
      <c r="U525" s="1"/>
    </row>
    <row r="526" spans="1:21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28"/>
      <c r="T526" s="1"/>
      <c r="U526" s="1"/>
    </row>
    <row r="527" spans="1:21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8"/>
      <c r="T527" s="1"/>
      <c r="U527" s="1"/>
    </row>
    <row r="528" spans="1:21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28"/>
      <c r="T528" s="1"/>
      <c r="U528" s="1"/>
    </row>
    <row r="529" spans="1:21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8"/>
      <c r="T529" s="1"/>
      <c r="U529" s="1"/>
    </row>
    <row r="530" spans="1:21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8"/>
      <c r="T530" s="1"/>
      <c r="U530" s="1"/>
    </row>
    <row r="531" spans="1:21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8"/>
      <c r="T531" s="1"/>
      <c r="U531" s="1"/>
    </row>
    <row r="532" spans="1:21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8"/>
      <c r="T532" s="1"/>
      <c r="U532" s="1"/>
    </row>
    <row r="533" spans="1:21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8"/>
      <c r="T533" s="1"/>
      <c r="U533" s="1"/>
    </row>
    <row r="534" spans="1:21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8"/>
      <c r="T534" s="1"/>
      <c r="U534" s="1"/>
    </row>
    <row r="535" spans="1:21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8"/>
      <c r="T535" s="1"/>
      <c r="U535" s="1"/>
    </row>
    <row r="536" spans="1:21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8"/>
      <c r="T536" s="1"/>
      <c r="U536" s="1"/>
    </row>
    <row r="537" spans="1:21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8"/>
      <c r="T537" s="1"/>
      <c r="U537" s="1"/>
    </row>
    <row r="538" spans="1:21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8"/>
      <c r="T538" s="1"/>
      <c r="U538" s="1"/>
    </row>
    <row r="539" spans="1:21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8"/>
      <c r="T539" s="1"/>
      <c r="U539" s="1"/>
    </row>
    <row r="540" spans="1:21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8"/>
      <c r="T540" s="1"/>
      <c r="U540" s="1"/>
    </row>
    <row r="541" spans="1:21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8"/>
      <c r="T541" s="1"/>
      <c r="U541" s="1"/>
    </row>
    <row r="542" spans="1:21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28"/>
      <c r="T542" s="1"/>
      <c r="U542" s="1"/>
    </row>
    <row r="543" spans="1:21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8"/>
      <c r="T543" s="1"/>
      <c r="U543" s="1"/>
    </row>
    <row r="544" spans="1:21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8"/>
      <c r="T544" s="1"/>
      <c r="U544" s="1"/>
    </row>
    <row r="545" spans="1:21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8"/>
      <c r="T545" s="1"/>
      <c r="U545" s="1"/>
    </row>
    <row r="546" spans="1:21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8"/>
      <c r="T546" s="1"/>
      <c r="U546" s="1"/>
    </row>
    <row r="547" spans="1:21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8"/>
      <c r="T547" s="1"/>
      <c r="U547" s="1"/>
    </row>
    <row r="548" spans="1:21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8"/>
      <c r="T548" s="1"/>
      <c r="U548" s="1"/>
    </row>
    <row r="549" spans="1:21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8"/>
      <c r="T549" s="1"/>
      <c r="U549" s="1"/>
    </row>
    <row r="550" spans="1:21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8"/>
      <c r="T550" s="1"/>
      <c r="U550" s="1"/>
    </row>
    <row r="551" spans="1:21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8"/>
      <c r="T551" s="1"/>
      <c r="U551" s="1"/>
    </row>
    <row r="552" spans="1:21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8"/>
      <c r="T552" s="1"/>
      <c r="U552" s="1"/>
    </row>
    <row r="553" spans="1:21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8"/>
      <c r="T553" s="1"/>
      <c r="U553" s="1"/>
    </row>
    <row r="554" spans="1:21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8"/>
      <c r="T554" s="1"/>
      <c r="U554" s="1"/>
    </row>
    <row r="555" spans="1:21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8"/>
      <c r="T555" s="1"/>
      <c r="U555" s="1"/>
    </row>
    <row r="556" spans="1:21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8"/>
      <c r="T556" s="1"/>
      <c r="U556" s="1"/>
    </row>
    <row r="557" spans="1:21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8"/>
      <c r="T557" s="1"/>
      <c r="U557" s="1"/>
    </row>
    <row r="558" spans="1:21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8"/>
      <c r="T558" s="1"/>
      <c r="U558" s="1"/>
    </row>
    <row r="559" spans="1:21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8"/>
      <c r="T559" s="1"/>
      <c r="U559" s="1"/>
    </row>
    <row r="560" spans="1:21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8"/>
      <c r="T560" s="1"/>
      <c r="U560" s="1"/>
    </row>
    <row r="561" spans="1:21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8"/>
      <c r="T561" s="1"/>
      <c r="U561" s="1"/>
    </row>
    <row r="562" spans="1:21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8"/>
      <c r="T562" s="1"/>
      <c r="U562" s="1"/>
    </row>
    <row r="563" spans="1:21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8"/>
      <c r="T563" s="1"/>
      <c r="U563" s="1"/>
    </row>
    <row r="564" spans="1:21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28"/>
      <c r="T564" s="1"/>
      <c r="U564" s="1"/>
    </row>
    <row r="565" spans="1:21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8"/>
      <c r="T565" s="1"/>
      <c r="U565" s="1"/>
    </row>
    <row r="566" spans="1:21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8"/>
      <c r="T566" s="1"/>
      <c r="U566" s="1"/>
    </row>
    <row r="567" spans="1:21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8"/>
      <c r="T567" s="1"/>
      <c r="U567" s="1"/>
    </row>
    <row r="568" spans="1:21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8"/>
      <c r="T568" s="1"/>
      <c r="U568" s="1"/>
    </row>
    <row r="569" spans="1:21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8"/>
      <c r="T569" s="1"/>
      <c r="U569" s="1"/>
    </row>
    <row r="570" spans="1:21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8"/>
      <c r="T570" s="1"/>
      <c r="U570" s="1"/>
    </row>
    <row r="571" spans="1:21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8"/>
      <c r="T571" s="1"/>
      <c r="U571" s="1"/>
    </row>
    <row r="572" spans="1:21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8"/>
      <c r="T572" s="1"/>
      <c r="U572" s="1"/>
    </row>
    <row r="573" spans="1:21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8"/>
      <c r="T573" s="1"/>
      <c r="U573" s="1"/>
    </row>
    <row r="574" spans="1:21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8"/>
      <c r="T574" s="1"/>
      <c r="U574" s="1"/>
    </row>
    <row r="575" spans="1:21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8"/>
      <c r="T575" s="1"/>
      <c r="U575" s="1"/>
    </row>
    <row r="576" spans="1:21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8"/>
      <c r="T576" s="1"/>
      <c r="U576" s="1"/>
    </row>
    <row r="577" spans="1:21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28"/>
      <c r="T577" s="1"/>
      <c r="U577" s="1"/>
    </row>
    <row r="578" spans="1:21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8"/>
      <c r="T578" s="1"/>
      <c r="U578" s="1"/>
    </row>
    <row r="579" spans="1:21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8"/>
      <c r="T579" s="1"/>
      <c r="U579" s="1"/>
    </row>
    <row r="580" spans="1:21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28"/>
      <c r="T580" s="1"/>
      <c r="U580" s="1"/>
    </row>
    <row r="581" spans="1:21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8"/>
      <c r="T581" s="1"/>
      <c r="U581" s="1"/>
    </row>
    <row r="582" spans="1:21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8"/>
      <c r="T582" s="1"/>
      <c r="U582" s="1"/>
    </row>
    <row r="583" spans="1:21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8"/>
      <c r="T583" s="1"/>
      <c r="U583" s="1"/>
    </row>
    <row r="584" spans="1:21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8"/>
      <c r="T584" s="1"/>
      <c r="U584" s="1"/>
    </row>
    <row r="585" spans="1:21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28"/>
      <c r="T585" s="1"/>
      <c r="U585" s="1"/>
    </row>
    <row r="586" spans="1:21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8"/>
      <c r="T586" s="1"/>
      <c r="U586" s="1"/>
    </row>
    <row r="587" spans="1:21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8"/>
      <c r="T587" s="1"/>
      <c r="U587" s="1"/>
    </row>
    <row r="588" spans="1:21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8"/>
      <c r="T588" s="1"/>
      <c r="U588" s="1"/>
    </row>
    <row r="589" spans="1:21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8"/>
      <c r="T589" s="1"/>
      <c r="U589" s="1"/>
    </row>
    <row r="590" spans="1:21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8"/>
      <c r="T590" s="1"/>
      <c r="U590" s="1"/>
    </row>
    <row r="591" spans="1:21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28"/>
      <c r="T591" s="1"/>
      <c r="U591" s="1"/>
    </row>
    <row r="592" spans="1:21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8"/>
      <c r="T592" s="1"/>
      <c r="U592" s="1"/>
    </row>
    <row r="593" spans="1:21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8"/>
      <c r="T593" s="1"/>
      <c r="U593" s="1"/>
    </row>
    <row r="594" spans="1:21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8"/>
      <c r="T594" s="1"/>
      <c r="U594" s="1"/>
    </row>
    <row r="595" spans="1:21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8"/>
      <c r="T595" s="1"/>
      <c r="U595" s="1"/>
    </row>
    <row r="596" spans="1:21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8"/>
      <c r="T596" s="1"/>
      <c r="U596" s="1"/>
    </row>
    <row r="597" spans="1:21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8"/>
      <c r="T597" s="1"/>
      <c r="U597" s="1"/>
    </row>
    <row r="598" spans="1:21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28"/>
      <c r="T598" s="1"/>
      <c r="U598" s="1"/>
    </row>
    <row r="599" spans="1:21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8"/>
      <c r="T599" s="1"/>
      <c r="U599" s="1"/>
    </row>
    <row r="600" spans="1:21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8"/>
      <c r="T600" s="1"/>
      <c r="U600" s="1"/>
    </row>
    <row r="601" spans="1:21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8"/>
      <c r="T601" s="1"/>
      <c r="U601" s="1"/>
    </row>
    <row r="602" spans="1:21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8"/>
      <c r="T602" s="1"/>
      <c r="U602" s="1"/>
    </row>
    <row r="603" spans="1:21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8"/>
      <c r="T603" s="1"/>
      <c r="U603" s="1"/>
    </row>
    <row r="604" spans="1:21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8"/>
      <c r="T604" s="1"/>
      <c r="U604" s="1"/>
    </row>
    <row r="605" spans="1:21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8"/>
      <c r="T605" s="1"/>
      <c r="U605" s="1"/>
    </row>
    <row r="606" spans="1:21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8"/>
      <c r="T606" s="1"/>
      <c r="U606" s="1"/>
    </row>
    <row r="607" spans="1:21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8"/>
      <c r="T607" s="1"/>
      <c r="U607" s="1"/>
    </row>
    <row r="608" spans="1:21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8"/>
      <c r="T608" s="1"/>
      <c r="U608" s="1"/>
    </row>
    <row r="609" spans="1:21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8"/>
      <c r="T609" s="1"/>
      <c r="U609" s="1"/>
    </row>
    <row r="610" spans="1:21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8"/>
      <c r="T610" s="1"/>
      <c r="U610" s="1"/>
    </row>
    <row r="611" spans="1:21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8"/>
      <c r="T611" s="1"/>
      <c r="U611" s="1"/>
    </row>
    <row r="612" spans="1:21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8"/>
      <c r="T612" s="1"/>
      <c r="U612" s="1"/>
    </row>
    <row r="613" spans="1:21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8"/>
      <c r="T613" s="1"/>
      <c r="U613" s="1"/>
    </row>
    <row r="614" spans="1:21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8"/>
      <c r="T614" s="1"/>
      <c r="U614" s="1"/>
    </row>
    <row r="615" spans="1:21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8"/>
      <c r="T615" s="1"/>
      <c r="U615" s="1"/>
    </row>
    <row r="616" spans="1:21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8"/>
      <c r="T616" s="1"/>
      <c r="U616" s="1"/>
    </row>
    <row r="617" spans="1:21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8"/>
      <c r="T617" s="1"/>
      <c r="U617" s="1"/>
    </row>
    <row r="618" spans="1:21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28"/>
      <c r="T618" s="1"/>
      <c r="U618" s="1"/>
    </row>
    <row r="619" spans="1:21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8"/>
      <c r="T619" s="1"/>
      <c r="U619" s="1"/>
    </row>
    <row r="620" spans="1:21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28"/>
      <c r="T620" s="1"/>
      <c r="U620" s="1"/>
    </row>
    <row r="621" spans="1:21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8"/>
      <c r="T621" s="1"/>
      <c r="U621" s="1"/>
    </row>
    <row r="622" spans="1:21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8"/>
      <c r="T622" s="1"/>
      <c r="U622" s="1"/>
    </row>
    <row r="623" spans="1:21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8"/>
      <c r="T623" s="1"/>
      <c r="U623" s="1"/>
    </row>
    <row r="624" spans="1:21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8"/>
      <c r="T624" s="1"/>
      <c r="U624" s="1"/>
    </row>
    <row r="625" spans="1:21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8"/>
      <c r="T625" s="1"/>
      <c r="U625" s="1"/>
    </row>
    <row r="626" spans="1:21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8"/>
      <c r="T626" s="1"/>
      <c r="U626" s="1"/>
    </row>
    <row r="627" spans="1:21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8"/>
      <c r="T627" s="1"/>
      <c r="U627" s="1"/>
    </row>
    <row r="628" spans="1:21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8"/>
      <c r="T628" s="1"/>
      <c r="U628" s="1"/>
    </row>
    <row r="629" spans="1:21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8"/>
      <c r="T629" s="1"/>
      <c r="U629" s="1"/>
    </row>
    <row r="630" spans="1:21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8"/>
      <c r="T630" s="1"/>
      <c r="U630" s="1"/>
    </row>
    <row r="631" spans="1:21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8"/>
      <c r="T631" s="1"/>
      <c r="U631" s="1"/>
    </row>
    <row r="632" spans="1:21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8"/>
      <c r="T632" s="1"/>
      <c r="U632" s="1"/>
    </row>
    <row r="633" spans="1:21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8"/>
      <c r="T633" s="1"/>
      <c r="U633" s="1"/>
    </row>
    <row r="634" spans="1:21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8"/>
      <c r="T634" s="1"/>
      <c r="U634" s="1"/>
    </row>
    <row r="635" spans="1:21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8"/>
      <c r="T635" s="1"/>
      <c r="U635" s="1"/>
    </row>
    <row r="636" spans="1:21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8"/>
      <c r="T636" s="1"/>
      <c r="U636" s="1"/>
    </row>
    <row r="637" spans="1:21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8"/>
      <c r="T637" s="1"/>
      <c r="U637" s="1"/>
    </row>
    <row r="638" spans="1:21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8"/>
      <c r="T638" s="1"/>
      <c r="U638" s="1"/>
    </row>
    <row r="639" spans="1:21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8"/>
      <c r="T639" s="1"/>
      <c r="U639" s="1"/>
    </row>
    <row r="640" spans="1:21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8"/>
      <c r="T640" s="1"/>
      <c r="U640" s="1"/>
    </row>
    <row r="641" spans="1:21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8"/>
      <c r="T641" s="1"/>
      <c r="U641" s="1"/>
    </row>
    <row r="642" spans="1:21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8"/>
      <c r="T642" s="1"/>
      <c r="U642" s="1"/>
    </row>
    <row r="643" spans="1:21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8"/>
      <c r="T643" s="1"/>
      <c r="U643" s="1"/>
    </row>
    <row r="644" spans="1:21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8"/>
      <c r="T644" s="1"/>
      <c r="U644" s="1"/>
    </row>
    <row r="645" spans="1:21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8"/>
      <c r="T645" s="1"/>
      <c r="U645" s="1"/>
    </row>
    <row r="646" spans="1:21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8"/>
      <c r="T646" s="1"/>
      <c r="U646" s="1"/>
    </row>
    <row r="647" spans="1:21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8"/>
      <c r="T647" s="1"/>
      <c r="U647" s="1"/>
    </row>
    <row r="648" spans="1:21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8"/>
      <c r="T648" s="1"/>
      <c r="U648" s="1"/>
    </row>
    <row r="649" spans="1:21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8"/>
      <c r="T649" s="1"/>
      <c r="U649" s="1"/>
    </row>
    <row r="650" spans="1:21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8"/>
      <c r="T650" s="1"/>
      <c r="U650" s="1"/>
    </row>
    <row r="651" spans="1:21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8"/>
      <c r="T651" s="1"/>
      <c r="U651" s="1"/>
    </row>
    <row r="652" spans="1:21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8"/>
      <c r="T652" s="1"/>
      <c r="U652" s="1"/>
    </row>
    <row r="653" spans="1:21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8"/>
      <c r="T653" s="1"/>
      <c r="U653" s="1"/>
    </row>
    <row r="654" spans="1:21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8"/>
      <c r="T654" s="1"/>
      <c r="U654" s="1"/>
    </row>
    <row r="655" spans="1:21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8"/>
      <c r="T655" s="1"/>
      <c r="U655" s="1"/>
    </row>
    <row r="656" spans="1:21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8"/>
      <c r="T656" s="1"/>
      <c r="U656" s="1"/>
    </row>
    <row r="657" spans="1:21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8"/>
      <c r="T657" s="1"/>
      <c r="U657" s="1"/>
    </row>
    <row r="658" spans="1:21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8"/>
      <c r="T658" s="1"/>
      <c r="U658" s="1"/>
    </row>
    <row r="659" spans="1:21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28"/>
      <c r="T659" s="1"/>
      <c r="U659" s="1"/>
    </row>
    <row r="660" spans="1:21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8"/>
      <c r="T660" s="1"/>
      <c r="U660" s="1"/>
    </row>
    <row r="661" spans="1:21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8"/>
      <c r="T661" s="1"/>
      <c r="U661" s="1"/>
    </row>
    <row r="662" spans="1:21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8"/>
      <c r="T662" s="1"/>
      <c r="U662" s="1"/>
    </row>
    <row r="663" spans="1:21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8"/>
      <c r="T663" s="1"/>
      <c r="U663" s="1"/>
    </row>
    <row r="664" spans="1:21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8"/>
      <c r="T664" s="1"/>
      <c r="U664" s="1"/>
    </row>
    <row r="665" spans="1:21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8"/>
      <c r="T665" s="1"/>
      <c r="U665" s="1"/>
    </row>
    <row r="666" spans="1:21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8"/>
      <c r="T666" s="1"/>
      <c r="U666" s="1"/>
    </row>
    <row r="667" spans="1:21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8"/>
      <c r="T667" s="1"/>
      <c r="U667" s="1"/>
    </row>
    <row r="668" spans="1:21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8"/>
      <c r="T668" s="1"/>
      <c r="U668" s="1"/>
    </row>
    <row r="669" spans="1:21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8"/>
      <c r="T669" s="1"/>
      <c r="U669" s="1"/>
    </row>
    <row r="670" spans="1:21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8"/>
      <c r="T670" s="1"/>
      <c r="U670" s="1"/>
    </row>
    <row r="671" spans="1:21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8"/>
      <c r="T671" s="1"/>
      <c r="U671" s="1"/>
    </row>
    <row r="672" spans="1:21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8"/>
      <c r="T672" s="1"/>
      <c r="U672" s="1"/>
    </row>
    <row r="673" spans="1:21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8"/>
      <c r="T673" s="1"/>
      <c r="U673" s="1"/>
    </row>
    <row r="674" spans="1:21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8"/>
      <c r="T674" s="1"/>
      <c r="U674" s="1"/>
    </row>
    <row r="675" spans="1:21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8"/>
      <c r="T675" s="1"/>
      <c r="U675" s="1"/>
    </row>
    <row r="676" spans="1:21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8"/>
      <c r="T676" s="1"/>
      <c r="U676" s="1"/>
    </row>
    <row r="677" spans="1:21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8"/>
      <c r="T677" s="1"/>
      <c r="U677" s="1"/>
    </row>
    <row r="678" spans="1:21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8"/>
      <c r="T678" s="1"/>
      <c r="U678" s="1"/>
    </row>
    <row r="679" spans="1:21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8"/>
      <c r="T679" s="1"/>
      <c r="U679" s="1"/>
    </row>
    <row r="680" spans="1:21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8"/>
      <c r="T680" s="1"/>
      <c r="U680" s="1"/>
    </row>
    <row r="681" spans="1:21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8"/>
      <c r="T681" s="1"/>
      <c r="U681" s="1"/>
    </row>
    <row r="682" spans="1:21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28"/>
      <c r="T682" s="1"/>
      <c r="U682" s="1"/>
    </row>
    <row r="683" spans="1:21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8"/>
      <c r="T683" s="1"/>
      <c r="U683" s="1"/>
    </row>
    <row r="684" spans="1:21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8"/>
      <c r="T684" s="1"/>
      <c r="U684" s="1"/>
    </row>
    <row r="685" spans="1:21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8"/>
      <c r="T685" s="1"/>
      <c r="U685" s="1"/>
    </row>
    <row r="686" spans="1:21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8"/>
      <c r="T686" s="1"/>
      <c r="U686" s="1"/>
    </row>
    <row r="687" spans="1:21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8"/>
      <c r="T687" s="1"/>
      <c r="U687" s="1"/>
    </row>
    <row r="688" spans="1:21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8"/>
      <c r="T688" s="1"/>
      <c r="U688" s="1"/>
    </row>
    <row r="689" spans="1:21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8"/>
      <c r="T689" s="1"/>
      <c r="U689" s="1"/>
    </row>
    <row r="690" spans="1:21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8"/>
      <c r="T690" s="1"/>
      <c r="U690" s="1"/>
    </row>
    <row r="691" spans="1:21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8"/>
      <c r="T691" s="1"/>
      <c r="U691" s="1"/>
    </row>
    <row r="692" spans="1:21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8"/>
      <c r="T692" s="1"/>
      <c r="U692" s="1"/>
    </row>
    <row r="693" spans="1:21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8"/>
      <c r="T693" s="1"/>
      <c r="U693" s="1"/>
    </row>
    <row r="694" spans="1:21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8"/>
      <c r="T694" s="1"/>
      <c r="U694" s="1"/>
    </row>
    <row r="695" spans="1:21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8"/>
      <c r="T695" s="1"/>
      <c r="U695" s="1"/>
    </row>
    <row r="696" spans="1:21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8"/>
      <c r="T696" s="1"/>
      <c r="U696" s="1"/>
    </row>
    <row r="697" spans="1:21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8"/>
      <c r="T697" s="1"/>
      <c r="U697" s="1"/>
    </row>
    <row r="698" spans="1:21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8"/>
      <c r="T698" s="1"/>
      <c r="U698" s="1"/>
    </row>
    <row r="699" spans="1:21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8"/>
      <c r="T699" s="1"/>
      <c r="U699" s="1"/>
    </row>
    <row r="700" spans="1:21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8"/>
      <c r="T700" s="1"/>
      <c r="U700" s="1"/>
    </row>
    <row r="701" spans="1:21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8"/>
      <c r="T701" s="1"/>
      <c r="U701" s="1"/>
    </row>
    <row r="702" spans="1:21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8"/>
      <c r="T702" s="1"/>
      <c r="U702" s="1"/>
    </row>
    <row r="703" spans="1:21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8"/>
      <c r="T703" s="1"/>
      <c r="U703" s="1"/>
    </row>
    <row r="704" spans="1:21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8"/>
      <c r="T704" s="1"/>
      <c r="U704" s="1"/>
    </row>
    <row r="705" spans="1:21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8"/>
      <c r="T705" s="1"/>
      <c r="U705" s="1"/>
    </row>
    <row r="706" spans="1:21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8"/>
      <c r="T706" s="1"/>
      <c r="U706" s="1"/>
    </row>
    <row r="707" spans="1:21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8"/>
      <c r="T707" s="1"/>
      <c r="U707" s="1"/>
    </row>
    <row r="708" spans="1:21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8"/>
      <c r="T708" s="1"/>
      <c r="U708" s="1"/>
    </row>
    <row r="709" spans="1:21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8"/>
      <c r="T709" s="1"/>
      <c r="U709" s="1"/>
    </row>
    <row r="710" spans="1:21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8"/>
      <c r="T710" s="1"/>
      <c r="U710" s="1"/>
    </row>
    <row r="711" spans="1:21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8"/>
      <c r="T711" s="1"/>
      <c r="U711" s="1"/>
    </row>
    <row r="712" spans="1:21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8"/>
      <c r="T712" s="1"/>
      <c r="U712" s="1"/>
    </row>
    <row r="713" spans="1:21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8"/>
      <c r="T713" s="1"/>
      <c r="U713" s="1"/>
    </row>
    <row r="714" spans="1:21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8"/>
      <c r="T714" s="1"/>
      <c r="U714" s="1"/>
    </row>
    <row r="715" spans="1:21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8"/>
      <c r="T715" s="1"/>
      <c r="U715" s="1"/>
    </row>
    <row r="716" spans="1:21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8"/>
      <c r="T716" s="1"/>
      <c r="U716" s="1"/>
    </row>
    <row r="717" spans="1:21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8"/>
      <c r="T717" s="1"/>
      <c r="U717" s="1"/>
    </row>
    <row r="718" spans="1:21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8"/>
      <c r="T718" s="1"/>
      <c r="U718" s="1"/>
    </row>
    <row r="719" spans="1:21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8"/>
      <c r="T719" s="1"/>
      <c r="U719" s="1"/>
    </row>
    <row r="720" spans="1:21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8"/>
      <c r="T720" s="1"/>
      <c r="U720" s="1"/>
    </row>
    <row r="721" spans="1:21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8"/>
      <c r="T721" s="1"/>
      <c r="U721" s="1"/>
    </row>
    <row r="722" spans="1:21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8"/>
      <c r="T722" s="1"/>
      <c r="U722" s="1"/>
    </row>
    <row r="723" spans="1:21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8"/>
      <c r="T723" s="1"/>
      <c r="U723" s="1"/>
    </row>
    <row r="724" spans="1:21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8"/>
      <c r="T724" s="1"/>
      <c r="U724" s="1"/>
    </row>
    <row r="725" spans="1:21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8"/>
      <c r="T725" s="1"/>
      <c r="U725" s="1"/>
    </row>
    <row r="726" spans="1:21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8"/>
      <c r="T726" s="1"/>
      <c r="U726" s="1"/>
    </row>
    <row r="727" spans="1:21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8"/>
      <c r="T727" s="1"/>
      <c r="U727" s="1"/>
    </row>
    <row r="728" spans="1:21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8"/>
      <c r="T728" s="1"/>
      <c r="U728" s="1"/>
    </row>
    <row r="729" spans="1:21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8"/>
      <c r="T729" s="1"/>
      <c r="U729" s="1"/>
    </row>
    <row r="730" spans="1:21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8"/>
      <c r="T730" s="1"/>
      <c r="U730" s="1"/>
    </row>
    <row r="731" spans="1:21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8"/>
      <c r="T731" s="1"/>
      <c r="U731" s="1"/>
    </row>
    <row r="732" spans="1:21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8"/>
      <c r="T732" s="1"/>
      <c r="U732" s="1"/>
    </row>
    <row r="733" spans="1:21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8"/>
      <c r="T733" s="1"/>
      <c r="U733" s="1"/>
    </row>
    <row r="734" spans="1:21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8"/>
      <c r="T734" s="1"/>
      <c r="U734" s="1"/>
    </row>
    <row r="735" spans="1:21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8"/>
      <c r="T735" s="1"/>
      <c r="U735" s="1"/>
    </row>
    <row r="736" spans="1:21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8"/>
      <c r="T736" s="1"/>
      <c r="U736" s="1"/>
    </row>
    <row r="737" spans="1:21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8"/>
      <c r="T737" s="1"/>
      <c r="U737" s="1"/>
    </row>
    <row r="738" spans="1:21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8"/>
      <c r="T738" s="1"/>
      <c r="U738" s="1"/>
    </row>
    <row r="739" spans="1:21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8"/>
      <c r="T739" s="1"/>
      <c r="U739" s="1"/>
    </row>
    <row r="740" spans="1:21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8"/>
      <c r="T740" s="1"/>
      <c r="U740" s="1"/>
    </row>
    <row r="741" spans="1:21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8"/>
      <c r="T741" s="1"/>
      <c r="U741" s="1"/>
    </row>
    <row r="742" spans="1:21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8"/>
      <c r="T742" s="1"/>
      <c r="U742" s="1"/>
    </row>
    <row r="743" spans="1:21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8"/>
      <c r="T743" s="1"/>
      <c r="U743" s="1"/>
    </row>
    <row r="744" spans="1:21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8"/>
      <c r="T744" s="1"/>
      <c r="U744" s="1"/>
    </row>
    <row r="745" spans="1:21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8"/>
      <c r="T745" s="1"/>
      <c r="U745" s="1"/>
    </row>
    <row r="746" spans="1:21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8"/>
      <c r="T746" s="1"/>
      <c r="U746" s="1"/>
    </row>
    <row r="747" spans="1:21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8"/>
      <c r="T747" s="1"/>
      <c r="U747" s="1"/>
    </row>
    <row r="748" spans="1:21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8"/>
      <c r="T748" s="1"/>
      <c r="U748" s="1"/>
    </row>
    <row r="749" spans="1:21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8"/>
      <c r="T749" s="1"/>
      <c r="U749" s="1"/>
    </row>
    <row r="750" spans="1:21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8"/>
      <c r="T750" s="1"/>
      <c r="U750" s="1"/>
    </row>
    <row r="751" spans="1:21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8"/>
      <c r="T751" s="1"/>
      <c r="U751" s="1"/>
    </row>
    <row r="752" spans="1:21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8"/>
      <c r="T752" s="1"/>
      <c r="U752" s="1"/>
    </row>
    <row r="753" spans="1:21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8"/>
      <c r="T753" s="1"/>
      <c r="U753" s="1"/>
    </row>
    <row r="754" spans="1:21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8"/>
      <c r="T754" s="1"/>
      <c r="U754" s="1"/>
    </row>
    <row r="755" spans="1:21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8"/>
      <c r="T755" s="1"/>
      <c r="U755" s="1"/>
    </row>
    <row r="756" spans="1:21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8"/>
      <c r="T756" s="1"/>
      <c r="U756" s="1"/>
    </row>
    <row r="757" spans="1:21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8"/>
      <c r="T757" s="1"/>
      <c r="U757" s="1"/>
    </row>
    <row r="758" spans="1:21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8"/>
      <c r="T758" s="1"/>
      <c r="U758" s="1"/>
    </row>
    <row r="759" spans="1:21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8"/>
      <c r="T759" s="1"/>
      <c r="U759" s="1"/>
    </row>
    <row r="760" spans="1:21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8"/>
      <c r="T760" s="1"/>
      <c r="U760" s="1"/>
    </row>
    <row r="761" spans="1:21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8"/>
      <c r="T761" s="1"/>
      <c r="U761" s="1"/>
    </row>
    <row r="762" spans="1:21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8"/>
      <c r="T762" s="1"/>
      <c r="U762" s="1"/>
    </row>
    <row r="763" spans="1:21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8"/>
      <c r="T763" s="1"/>
      <c r="U763" s="1"/>
    </row>
    <row r="764" spans="1:21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8"/>
      <c r="T764" s="1"/>
      <c r="U764" s="1"/>
    </row>
    <row r="765" spans="1:21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8"/>
      <c r="T765" s="1"/>
      <c r="U765" s="1"/>
    </row>
    <row r="766" spans="1:21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8"/>
      <c r="T766" s="1"/>
      <c r="U766" s="1"/>
    </row>
    <row r="767" spans="1:21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8"/>
      <c r="T767" s="1"/>
      <c r="U767" s="1"/>
    </row>
    <row r="768" spans="1:21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8"/>
      <c r="T768" s="1"/>
      <c r="U768" s="1"/>
    </row>
    <row r="769" spans="1:21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8"/>
      <c r="T769" s="1"/>
      <c r="U769" s="1"/>
    </row>
    <row r="770" spans="1:21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8"/>
      <c r="T770" s="1"/>
      <c r="U770" s="1"/>
    </row>
    <row r="771" spans="1:21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8"/>
      <c r="T771" s="1"/>
      <c r="U771" s="1"/>
    </row>
    <row r="772" spans="1:21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8"/>
      <c r="T772" s="1"/>
      <c r="U772" s="1"/>
    </row>
    <row r="773" spans="1:21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8"/>
      <c r="T773" s="1"/>
      <c r="U773" s="1"/>
    </row>
    <row r="774" spans="1:21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8"/>
      <c r="T774" s="1"/>
      <c r="U774" s="1"/>
    </row>
    <row r="775" spans="1:21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8"/>
      <c r="T775" s="1"/>
      <c r="U775" s="1"/>
    </row>
    <row r="776" spans="1:21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8"/>
      <c r="T776" s="1"/>
      <c r="U776" s="1"/>
    </row>
    <row r="777" spans="1:21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8"/>
      <c r="T777" s="1"/>
      <c r="U777" s="1"/>
    </row>
    <row r="778" spans="1:21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8"/>
      <c r="T778" s="1"/>
      <c r="U778" s="1"/>
    </row>
    <row r="779" spans="1:21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8"/>
      <c r="T779" s="1"/>
      <c r="U779" s="1"/>
    </row>
    <row r="780" spans="1:21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8"/>
      <c r="T780" s="1"/>
      <c r="U780" s="1"/>
    </row>
    <row r="781" spans="1:21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8"/>
      <c r="T781" s="1"/>
      <c r="U781" s="1"/>
    </row>
    <row r="782" spans="1:21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8"/>
      <c r="T782" s="1"/>
      <c r="U782" s="1"/>
    </row>
    <row r="783" spans="1:21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8"/>
      <c r="T783" s="1"/>
      <c r="U783" s="1"/>
    </row>
    <row r="784" spans="1:21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8"/>
      <c r="T784" s="1"/>
      <c r="U784" s="1"/>
    </row>
    <row r="785" spans="1:21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8"/>
      <c r="T785" s="1"/>
      <c r="U785" s="1"/>
    </row>
    <row r="786" spans="1:21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8"/>
      <c r="T786" s="1"/>
      <c r="U786" s="1"/>
    </row>
    <row r="787" spans="1:21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8"/>
      <c r="T787" s="1"/>
      <c r="U787" s="1"/>
    </row>
    <row r="788" spans="1:21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8"/>
      <c r="T788" s="1"/>
      <c r="U788" s="1"/>
    </row>
    <row r="789" spans="1:21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8"/>
      <c r="T789" s="1"/>
      <c r="U789" s="1"/>
    </row>
    <row r="790" spans="1:21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8"/>
      <c r="T790" s="1"/>
      <c r="U790" s="1"/>
    </row>
    <row r="791" spans="1:21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8"/>
      <c r="T791" s="1"/>
      <c r="U791" s="1"/>
    </row>
    <row r="792" spans="1:21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8"/>
      <c r="T792" s="1"/>
      <c r="U792" s="1"/>
    </row>
    <row r="793" spans="1:21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8"/>
      <c r="T793" s="1"/>
      <c r="U793" s="1"/>
    </row>
    <row r="794" spans="1:21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8"/>
      <c r="T794" s="1"/>
      <c r="U794" s="1"/>
    </row>
    <row r="795" spans="1:21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8"/>
      <c r="T795" s="1"/>
      <c r="U795" s="1"/>
    </row>
    <row r="796" spans="1:21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8"/>
      <c r="T796" s="1"/>
      <c r="U796" s="1"/>
    </row>
    <row r="797" spans="1:21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8"/>
      <c r="T797" s="1"/>
      <c r="U797" s="1"/>
    </row>
    <row r="798" spans="1:21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8"/>
      <c r="T798" s="1"/>
      <c r="U798" s="1"/>
    </row>
    <row r="799" spans="1:21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8"/>
      <c r="T799" s="1"/>
      <c r="U799" s="1"/>
    </row>
    <row r="800" spans="1:21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8"/>
      <c r="T800" s="1"/>
      <c r="U800" s="1"/>
    </row>
    <row r="801" spans="1:21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8"/>
      <c r="T801" s="1"/>
      <c r="U801" s="1"/>
    </row>
    <row r="802" spans="1:21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8"/>
      <c r="T802" s="1"/>
      <c r="U802" s="1"/>
    </row>
    <row r="803" spans="1:21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8"/>
      <c r="T803" s="1"/>
      <c r="U803" s="1"/>
    </row>
    <row r="804" spans="1:21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8"/>
      <c r="T804" s="1"/>
      <c r="U804" s="1"/>
    </row>
    <row r="805" spans="1:21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8"/>
      <c r="T805" s="1"/>
      <c r="U805" s="1"/>
    </row>
    <row r="806" spans="1:21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8"/>
      <c r="T806" s="1"/>
      <c r="U806" s="1"/>
    </row>
    <row r="807" spans="1:21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8"/>
      <c r="T807" s="1"/>
      <c r="U807" s="1"/>
    </row>
    <row r="808" spans="1:21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8"/>
      <c r="T808" s="1"/>
      <c r="U808" s="1"/>
    </row>
    <row r="809" spans="1:21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8"/>
      <c r="T809" s="1"/>
      <c r="U809" s="1"/>
    </row>
    <row r="810" spans="1:21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8"/>
      <c r="T810" s="1"/>
      <c r="U810" s="1"/>
    </row>
    <row r="811" spans="1:21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8"/>
      <c r="T811" s="1"/>
      <c r="U811" s="1"/>
    </row>
    <row r="812" spans="1:21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8"/>
      <c r="T812" s="1"/>
      <c r="U812" s="1"/>
    </row>
    <row r="813" spans="1:21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8"/>
      <c r="T813" s="1"/>
      <c r="U813" s="1"/>
    </row>
    <row r="814" spans="1:21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8"/>
      <c r="T814" s="1"/>
      <c r="U814" s="1"/>
    </row>
    <row r="815" spans="1:21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8"/>
      <c r="T815" s="1"/>
      <c r="U815" s="1"/>
    </row>
    <row r="816" spans="1:21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8"/>
      <c r="T816" s="1"/>
      <c r="U816" s="1"/>
    </row>
    <row r="817" spans="1:21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8"/>
      <c r="T817" s="1"/>
      <c r="U817" s="1"/>
    </row>
    <row r="818" spans="1:21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8"/>
      <c r="T818" s="1"/>
      <c r="U818" s="1"/>
    </row>
    <row r="819" spans="1:21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8"/>
      <c r="T819" s="1"/>
      <c r="U819" s="1"/>
    </row>
    <row r="820" spans="1:21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8"/>
      <c r="T820" s="1"/>
      <c r="U820" s="1"/>
    </row>
    <row r="821" spans="1:21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8"/>
      <c r="T821" s="1"/>
      <c r="U821" s="1"/>
    </row>
    <row r="822" spans="1:21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8"/>
      <c r="T822" s="1"/>
      <c r="U822" s="1"/>
    </row>
    <row r="823" spans="1:21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8"/>
      <c r="T823" s="1"/>
      <c r="U823" s="1"/>
    </row>
    <row r="824" spans="1:21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8"/>
      <c r="T824" s="1"/>
      <c r="U824" s="1"/>
    </row>
    <row r="825" spans="1:21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8"/>
      <c r="T825" s="1"/>
      <c r="U825" s="1"/>
    </row>
    <row r="826" spans="1:21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8"/>
      <c r="T826" s="1"/>
      <c r="U826" s="1"/>
    </row>
    <row r="827" spans="1:21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8"/>
      <c r="T827" s="1"/>
      <c r="U827" s="1"/>
    </row>
    <row r="828" spans="1:21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8"/>
      <c r="T828" s="1"/>
      <c r="U828" s="1"/>
    </row>
    <row r="829" spans="1:21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8"/>
      <c r="T829" s="1"/>
      <c r="U829" s="1"/>
    </row>
    <row r="830" spans="1:21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8"/>
      <c r="T830" s="1"/>
      <c r="U830" s="1"/>
    </row>
    <row r="831" spans="1:21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8"/>
      <c r="T831" s="1"/>
      <c r="U831" s="1"/>
    </row>
    <row r="832" spans="1:21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8"/>
      <c r="T832" s="1"/>
      <c r="U832" s="1"/>
    </row>
    <row r="833" spans="1:21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8"/>
      <c r="T833" s="1"/>
      <c r="U833" s="1"/>
    </row>
    <row r="834" spans="1:21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8"/>
      <c r="T834" s="1"/>
      <c r="U834" s="1"/>
    </row>
    <row r="835" spans="1:21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8"/>
      <c r="T835" s="1"/>
      <c r="U835" s="1"/>
    </row>
    <row r="836" spans="1:21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8"/>
      <c r="T836" s="1"/>
      <c r="U836" s="1"/>
    </row>
    <row r="837" spans="1:21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8"/>
      <c r="T837" s="1"/>
      <c r="U837" s="1"/>
    </row>
    <row r="838" spans="1:21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8"/>
      <c r="T838" s="1"/>
      <c r="U838" s="1"/>
    </row>
    <row r="839" spans="1:21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8"/>
      <c r="T839" s="1"/>
      <c r="U839" s="1"/>
    </row>
    <row r="840" spans="1:21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8"/>
      <c r="T840" s="1"/>
      <c r="U840" s="1"/>
    </row>
    <row r="841" spans="1:21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8"/>
      <c r="T841" s="1"/>
      <c r="U841" s="1"/>
    </row>
    <row r="842" spans="1:21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8"/>
      <c r="T842" s="1"/>
      <c r="U842" s="1"/>
    </row>
    <row r="843" spans="1:21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8"/>
      <c r="T843" s="1"/>
      <c r="U843" s="1"/>
    </row>
    <row r="844" spans="1:21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8"/>
      <c r="T844" s="1"/>
      <c r="U844" s="1"/>
    </row>
    <row r="845" spans="1:21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8"/>
      <c r="T845" s="1"/>
      <c r="U845" s="1"/>
    </row>
    <row r="846" spans="1:21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8"/>
      <c r="T846" s="1"/>
      <c r="U846" s="1"/>
    </row>
    <row r="847" spans="1:21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8"/>
      <c r="T847" s="1"/>
      <c r="U847" s="1"/>
    </row>
    <row r="848" spans="1:21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8"/>
      <c r="T848" s="1"/>
      <c r="U848" s="1"/>
    </row>
    <row r="849" spans="1:21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8"/>
      <c r="T849" s="1"/>
      <c r="U849" s="1"/>
    </row>
    <row r="850" spans="1:21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8"/>
      <c r="T850" s="1"/>
      <c r="U850" s="1"/>
    </row>
    <row r="851" spans="1:21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8"/>
      <c r="T851" s="1"/>
      <c r="U851" s="1"/>
    </row>
    <row r="852" spans="1:21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8"/>
      <c r="T852" s="1"/>
      <c r="U852" s="1"/>
    </row>
    <row r="853" spans="1:21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8"/>
      <c r="T853" s="1"/>
      <c r="U853" s="1"/>
    </row>
    <row r="854" spans="1:21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8"/>
      <c r="T854" s="1"/>
      <c r="U854" s="1"/>
    </row>
    <row r="855" spans="1:21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8"/>
      <c r="T855" s="1"/>
      <c r="U855" s="1"/>
    </row>
    <row r="856" spans="1:21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8"/>
      <c r="T856" s="1"/>
      <c r="U856" s="1"/>
    </row>
    <row r="857" spans="1:21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8"/>
      <c r="T857" s="1"/>
      <c r="U857" s="1"/>
    </row>
    <row r="858" spans="1:21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8"/>
      <c r="T858" s="1"/>
      <c r="U858" s="1"/>
    </row>
    <row r="859" spans="1:21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8"/>
      <c r="T859" s="1"/>
      <c r="U859" s="1"/>
    </row>
    <row r="860" spans="1:21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8"/>
      <c r="T860" s="1"/>
      <c r="U860" s="1"/>
    </row>
    <row r="861" spans="1:21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8"/>
      <c r="T861" s="1"/>
      <c r="U861" s="1"/>
    </row>
    <row r="862" spans="1:21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8"/>
      <c r="T862" s="1"/>
      <c r="U862" s="1"/>
    </row>
    <row r="863" spans="1:21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8"/>
      <c r="T863" s="1"/>
      <c r="U863" s="1"/>
    </row>
    <row r="864" spans="1:21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8"/>
      <c r="T864" s="1"/>
      <c r="U864" s="1"/>
    </row>
    <row r="865" spans="1:21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8"/>
      <c r="T865" s="1"/>
      <c r="U865" s="1"/>
    </row>
    <row r="866" spans="1:21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8"/>
      <c r="T866" s="1"/>
      <c r="U866" s="1"/>
    </row>
    <row r="867" spans="1:21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8"/>
      <c r="T867" s="1"/>
      <c r="U867" s="1"/>
    </row>
    <row r="868" spans="1:21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8"/>
      <c r="T868" s="1"/>
      <c r="U868" s="1"/>
    </row>
    <row r="869" spans="1:21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8"/>
      <c r="T869" s="1"/>
      <c r="U869" s="1"/>
    </row>
    <row r="870" spans="1:21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8"/>
      <c r="T870" s="1"/>
      <c r="U870" s="1"/>
    </row>
    <row r="871" spans="1:21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8"/>
      <c r="T871" s="1"/>
      <c r="U871" s="1"/>
    </row>
    <row r="872" spans="1:21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8"/>
      <c r="T872" s="1"/>
      <c r="U872" s="1"/>
    </row>
    <row r="873" spans="1:21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8"/>
      <c r="T873" s="1"/>
      <c r="U873" s="1"/>
    </row>
    <row r="874" spans="1:21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8"/>
      <c r="T874" s="1"/>
      <c r="U874" s="1"/>
    </row>
    <row r="875" spans="1:21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8"/>
      <c r="T875" s="1"/>
      <c r="U875" s="1"/>
    </row>
    <row r="876" spans="1:21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8"/>
      <c r="T876" s="1"/>
      <c r="U876" s="1"/>
    </row>
    <row r="877" spans="1:21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8"/>
      <c r="T877" s="1"/>
      <c r="U877" s="1"/>
    </row>
    <row r="878" spans="1:21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8"/>
      <c r="T878" s="1"/>
      <c r="U878" s="1"/>
    </row>
    <row r="879" spans="1:21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8"/>
      <c r="T879" s="1"/>
      <c r="U879" s="1"/>
    </row>
    <row r="880" spans="1:21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8"/>
      <c r="T880" s="1"/>
      <c r="U880" s="1"/>
    </row>
    <row r="881" spans="1:21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8"/>
      <c r="T881" s="1"/>
      <c r="U881" s="1"/>
    </row>
    <row r="882" spans="1:21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8"/>
      <c r="T882" s="1"/>
      <c r="U882" s="1"/>
    </row>
    <row r="883" spans="1:21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8"/>
      <c r="T883" s="1"/>
      <c r="U883" s="1"/>
    </row>
    <row r="884" spans="1:21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8"/>
      <c r="T884" s="1"/>
      <c r="U884" s="1"/>
    </row>
    <row r="885" spans="1:21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8"/>
      <c r="T885" s="1"/>
      <c r="U885" s="1"/>
    </row>
    <row r="886" spans="1:21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8"/>
      <c r="T886" s="1"/>
      <c r="U886" s="1"/>
    </row>
    <row r="887" spans="1:21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8"/>
      <c r="T887" s="1"/>
      <c r="U887" s="1"/>
    </row>
    <row r="888" spans="1:21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8"/>
      <c r="T888" s="1"/>
      <c r="U888" s="1"/>
    </row>
    <row r="889" spans="1:21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8"/>
      <c r="T889" s="1"/>
      <c r="U889" s="1"/>
    </row>
    <row r="890" spans="1:21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8"/>
      <c r="T890" s="1"/>
      <c r="U890" s="1"/>
    </row>
    <row r="891" spans="1:21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8"/>
      <c r="T891" s="1"/>
      <c r="U891" s="1"/>
    </row>
    <row r="892" spans="1:21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8"/>
      <c r="T892" s="1"/>
      <c r="U892" s="1"/>
    </row>
    <row r="893" spans="1:21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8"/>
      <c r="T893" s="1"/>
      <c r="U893" s="1"/>
    </row>
    <row r="894" spans="1:21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8"/>
      <c r="T894" s="1"/>
      <c r="U894" s="1"/>
    </row>
    <row r="895" spans="1:21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8"/>
      <c r="T895" s="1"/>
      <c r="U895" s="1"/>
    </row>
    <row r="896" spans="1:21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8"/>
      <c r="T896" s="1"/>
      <c r="U896" s="1"/>
    </row>
    <row r="897" spans="1:21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8"/>
      <c r="T897" s="1"/>
      <c r="U897" s="1"/>
    </row>
    <row r="898" spans="1:21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8"/>
      <c r="T898" s="1"/>
      <c r="U898" s="1"/>
    </row>
    <row r="899" spans="1:21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8"/>
      <c r="T899" s="1"/>
      <c r="U899" s="1"/>
    </row>
    <row r="900" spans="1:21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8"/>
      <c r="T900" s="1"/>
      <c r="U900" s="1"/>
    </row>
    <row r="901" spans="1:21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8"/>
      <c r="T901" s="1"/>
      <c r="U901" s="1"/>
    </row>
    <row r="902" spans="1:21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8"/>
      <c r="T902" s="1"/>
      <c r="U902" s="1"/>
    </row>
    <row r="903" spans="1:21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8"/>
      <c r="T903" s="1"/>
      <c r="U903" s="1"/>
    </row>
    <row r="904" spans="1:21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8"/>
      <c r="T904" s="1"/>
      <c r="U904" s="1"/>
    </row>
    <row r="905" spans="1:21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8"/>
      <c r="T905" s="1"/>
      <c r="U905" s="1"/>
    </row>
    <row r="906" spans="1:21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8"/>
      <c r="T906" s="1"/>
      <c r="U906" s="1"/>
    </row>
    <row r="907" spans="1:21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8"/>
      <c r="T907" s="1"/>
      <c r="U907" s="1"/>
    </row>
    <row r="908" spans="1:21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8"/>
      <c r="T908" s="1"/>
      <c r="U908" s="1"/>
    </row>
    <row r="909" spans="1:21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8"/>
      <c r="T909" s="1"/>
      <c r="U909" s="1"/>
    </row>
    <row r="910" spans="1:21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8"/>
      <c r="T910" s="1"/>
      <c r="U910" s="1"/>
    </row>
    <row r="911" spans="1:21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8"/>
      <c r="T911" s="1"/>
      <c r="U911" s="1"/>
    </row>
    <row r="912" spans="1:21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8"/>
      <c r="T912" s="1"/>
      <c r="U912" s="1"/>
    </row>
    <row r="913" spans="1:21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8"/>
      <c r="T913" s="1"/>
      <c r="U913" s="1"/>
    </row>
    <row r="914" spans="1:21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8"/>
      <c r="T914" s="1"/>
      <c r="U914" s="1"/>
    </row>
    <row r="915" spans="1:21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8"/>
      <c r="T915" s="1"/>
      <c r="U915" s="1"/>
    </row>
    <row r="916" spans="1:21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8"/>
      <c r="T916" s="1"/>
      <c r="U916" s="1"/>
    </row>
    <row r="917" spans="1:21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8"/>
      <c r="T917" s="1"/>
      <c r="U917" s="1"/>
    </row>
    <row r="918" spans="1:21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8"/>
      <c r="T918" s="1"/>
      <c r="U918" s="1"/>
    </row>
    <row r="919" spans="1:21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8"/>
      <c r="T919" s="1"/>
      <c r="U919" s="1"/>
    </row>
    <row r="920" spans="1:21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8"/>
      <c r="T920" s="1"/>
      <c r="U920" s="1"/>
    </row>
    <row r="921" spans="1:21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8"/>
      <c r="T921" s="1"/>
      <c r="U921" s="1"/>
    </row>
    <row r="922" spans="1:21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8"/>
      <c r="T922" s="1"/>
      <c r="U922" s="1"/>
    </row>
    <row r="923" spans="1:21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8"/>
      <c r="T923" s="1"/>
      <c r="U923" s="1"/>
    </row>
    <row r="924" spans="1:21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8"/>
      <c r="T924" s="1"/>
      <c r="U924" s="1"/>
    </row>
    <row r="925" spans="1:21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8"/>
      <c r="T925" s="1"/>
      <c r="U925" s="1"/>
    </row>
    <row r="926" spans="1:21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8"/>
      <c r="T926" s="1"/>
      <c r="U926" s="1"/>
    </row>
    <row r="927" spans="1:21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8"/>
      <c r="T927" s="1"/>
      <c r="U927" s="1"/>
    </row>
    <row r="928" spans="1:21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8"/>
      <c r="T928" s="1"/>
      <c r="U928" s="1"/>
    </row>
    <row r="929" spans="1:21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8"/>
      <c r="T929" s="1"/>
      <c r="U929" s="1"/>
    </row>
    <row r="930" spans="1:21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8"/>
      <c r="T930" s="1"/>
      <c r="U930" s="1"/>
    </row>
    <row r="931" spans="1:21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8"/>
      <c r="T931" s="1"/>
      <c r="U931" s="1"/>
    </row>
    <row r="932" spans="1:21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8"/>
      <c r="T932" s="1"/>
      <c r="U932" s="1"/>
    </row>
    <row r="933" spans="1:21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8"/>
      <c r="T933" s="1"/>
      <c r="U933" s="1"/>
    </row>
    <row r="934" spans="1:21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8"/>
      <c r="T934" s="1"/>
      <c r="U934" s="1"/>
    </row>
    <row r="935" spans="1:21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8"/>
      <c r="T935" s="1"/>
      <c r="U935" s="1"/>
    </row>
    <row r="936" spans="1:21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8"/>
      <c r="T936" s="1"/>
      <c r="U936" s="1"/>
    </row>
    <row r="937" spans="1:21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8"/>
      <c r="T937" s="1"/>
      <c r="U937" s="1"/>
    </row>
    <row r="938" spans="1:21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8"/>
      <c r="T938" s="1"/>
      <c r="U938" s="1"/>
    </row>
    <row r="939" spans="1:21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8"/>
      <c r="T939" s="1"/>
      <c r="U939" s="1"/>
    </row>
    <row r="940" spans="1:21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8"/>
      <c r="T940" s="1"/>
      <c r="U940" s="1"/>
    </row>
    <row r="941" spans="1:21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8"/>
      <c r="T941" s="1"/>
      <c r="U941" s="1"/>
    </row>
    <row r="942" spans="1:21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8"/>
      <c r="T942" s="1"/>
      <c r="U942" s="1"/>
    </row>
    <row r="943" spans="1:21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8"/>
      <c r="T943" s="1"/>
      <c r="U943" s="1"/>
    </row>
    <row r="944" spans="1:21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8"/>
      <c r="T944" s="1"/>
      <c r="U944" s="1"/>
    </row>
    <row r="945" spans="1:21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8"/>
      <c r="T945" s="1"/>
      <c r="U945" s="1"/>
    </row>
    <row r="946" spans="1:21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8"/>
      <c r="T946" s="1"/>
      <c r="U946" s="1"/>
    </row>
    <row r="947" spans="1:21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8"/>
      <c r="T947" s="1"/>
      <c r="U947" s="1"/>
    </row>
    <row r="948" spans="1:21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8"/>
      <c r="T948" s="1"/>
      <c r="U948" s="1"/>
    </row>
    <row r="949" spans="1:21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8"/>
      <c r="T949" s="1"/>
      <c r="U949" s="1"/>
    </row>
    <row r="950" spans="1:21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8"/>
      <c r="T950" s="1"/>
      <c r="U950" s="1"/>
    </row>
    <row r="951" spans="1:21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8"/>
      <c r="T951" s="1"/>
      <c r="U951" s="1"/>
    </row>
    <row r="952" spans="1:21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8"/>
      <c r="T952" s="1"/>
      <c r="U952" s="1"/>
    </row>
    <row r="953" spans="1:21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8"/>
      <c r="T953" s="1"/>
      <c r="U953" s="1"/>
    </row>
    <row r="954" spans="1:21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8"/>
      <c r="T954" s="1"/>
      <c r="U954" s="1"/>
    </row>
    <row r="955" spans="1:21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8"/>
      <c r="T955" s="1"/>
      <c r="U955" s="1"/>
    </row>
    <row r="956" spans="1:21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8"/>
      <c r="T956" s="1"/>
      <c r="U956" s="1"/>
    </row>
    <row r="957" spans="1:21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8"/>
      <c r="T957" s="1"/>
      <c r="U957" s="1"/>
    </row>
    <row r="958" spans="1:21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8"/>
      <c r="T958" s="1"/>
      <c r="U958" s="1"/>
    </row>
    <row r="959" spans="1:21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8"/>
      <c r="T959" s="1"/>
      <c r="U959" s="1"/>
    </row>
    <row r="960" spans="1:21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8"/>
      <c r="T960" s="1"/>
      <c r="U960" s="1"/>
    </row>
    <row r="961" spans="1:21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8"/>
      <c r="T961" s="1"/>
      <c r="U961" s="1"/>
    </row>
    <row r="962" spans="1:21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8"/>
      <c r="T962" s="1"/>
      <c r="U962" s="1"/>
    </row>
    <row r="963" spans="1:21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8"/>
      <c r="T963" s="1"/>
      <c r="U963" s="1"/>
    </row>
    <row r="964" spans="1:21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8"/>
      <c r="T964" s="1"/>
      <c r="U964" s="1"/>
    </row>
    <row r="965" spans="1:21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8"/>
      <c r="T965" s="1"/>
      <c r="U965" s="1"/>
    </row>
    <row r="966" spans="1:21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8"/>
      <c r="T966" s="1"/>
      <c r="U966" s="1"/>
    </row>
    <row r="967" spans="1:21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8"/>
      <c r="T967" s="1"/>
      <c r="U967" s="1"/>
    </row>
    <row r="968" spans="1:21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8"/>
      <c r="T968" s="1"/>
      <c r="U968" s="1"/>
    </row>
    <row r="969" spans="1:21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8"/>
      <c r="T969" s="1"/>
      <c r="U969" s="1"/>
    </row>
    <row r="970" spans="1:21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8"/>
      <c r="T970" s="1"/>
      <c r="U970" s="1"/>
    </row>
    <row r="971" spans="1:21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8"/>
      <c r="T971" s="1"/>
      <c r="U971" s="1"/>
    </row>
    <row r="972" spans="1:21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8"/>
      <c r="T972" s="1"/>
      <c r="U972" s="1"/>
    </row>
    <row r="973" spans="1:21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8"/>
      <c r="T973" s="1"/>
      <c r="U973" s="1"/>
    </row>
    <row r="974" spans="1:21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8"/>
      <c r="T974" s="1"/>
      <c r="U974" s="1"/>
    </row>
    <row r="975" spans="1:21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8"/>
      <c r="T975" s="1"/>
      <c r="U975" s="1"/>
    </row>
    <row r="976" spans="1:21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8"/>
      <c r="T976" s="1"/>
      <c r="U976" s="1"/>
    </row>
    <row r="977" spans="1:21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8"/>
      <c r="T977" s="1"/>
      <c r="U977" s="1"/>
    </row>
    <row r="978" spans="1:21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8"/>
      <c r="T978" s="1"/>
      <c r="U978" s="1"/>
    </row>
    <row r="979" spans="1:21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8"/>
      <c r="T979" s="1"/>
      <c r="U979" s="1"/>
    </row>
    <row r="980" spans="1:21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8"/>
      <c r="T980" s="1"/>
      <c r="U980" s="1"/>
    </row>
    <row r="981" spans="1:21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8"/>
      <c r="T981" s="1"/>
      <c r="U981" s="1"/>
    </row>
    <row r="982" spans="1:21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8"/>
      <c r="T982" s="1"/>
      <c r="U982" s="1"/>
    </row>
    <row r="983" spans="1:21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8"/>
      <c r="T983" s="1"/>
      <c r="U983" s="1"/>
    </row>
    <row r="984" spans="1:21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8"/>
      <c r="T984" s="1"/>
      <c r="U984" s="1"/>
    </row>
    <row r="985" spans="1:21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8"/>
      <c r="T985" s="1"/>
      <c r="U985" s="1"/>
    </row>
    <row r="986" spans="1:21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8"/>
      <c r="T986" s="1"/>
      <c r="U986" s="1"/>
    </row>
    <row r="987" spans="1:21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8"/>
      <c r="T987" s="1"/>
      <c r="U987" s="1"/>
    </row>
    <row r="988" spans="1:21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8"/>
      <c r="T988" s="1"/>
      <c r="U988" s="1"/>
    </row>
    <row r="989" spans="1:21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8"/>
      <c r="T989" s="1"/>
      <c r="U989" s="1"/>
    </row>
    <row r="990" spans="1:21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8"/>
      <c r="T990" s="1"/>
      <c r="U990" s="1"/>
    </row>
    <row r="991" spans="1:21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8"/>
      <c r="T991" s="1"/>
      <c r="U991" s="1"/>
    </row>
    <row r="992" spans="1:21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8"/>
      <c r="T992" s="1"/>
      <c r="U992" s="1"/>
    </row>
    <row r="993" spans="1:21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8"/>
      <c r="T993" s="1"/>
      <c r="U993" s="1"/>
    </row>
    <row r="994" spans="1:21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8"/>
      <c r="T994" s="1"/>
      <c r="U994" s="1"/>
    </row>
    <row r="995" spans="1:21" ht="20.100000000000001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8"/>
      <c r="T995" s="1"/>
      <c r="U995" s="1"/>
    </row>
    <row r="996" spans="1:21" ht="20.100000000000001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8"/>
      <c r="T996" s="1"/>
      <c r="U996" s="1"/>
    </row>
    <row r="997" spans="1:21" ht="20.100000000000001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8"/>
      <c r="T997" s="1"/>
      <c r="U997" s="1"/>
    </row>
    <row r="998" spans="1:21" ht="20.100000000000001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8"/>
      <c r="T998" s="1"/>
      <c r="U998" s="1"/>
    </row>
    <row r="999" spans="1:21" ht="20.100000000000001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8"/>
      <c r="T999" s="1"/>
      <c r="U999" s="1"/>
    </row>
    <row r="1000" spans="1:21" ht="20.100000000000001" customHeight="1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8"/>
      <c r="T1000" s="1"/>
      <c r="U1000" s="1"/>
    </row>
    <row r="1001" spans="1:21" ht="20.100000000000001" customHeight="1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8"/>
      <c r="T1001" s="1"/>
      <c r="U1001" s="1"/>
    </row>
    <row r="1002" spans="1:21" ht="20.100000000000001" customHeight="1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8"/>
      <c r="T1002" s="1"/>
      <c r="U1002" s="1"/>
    </row>
    <row r="1003" spans="1:21" ht="20.100000000000001" customHeight="1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28"/>
      <c r="T1003" s="1"/>
      <c r="U1003" s="1"/>
    </row>
    <row r="1004" spans="1:21" ht="20.100000000000001" customHeight="1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8"/>
      <c r="T1004" s="1"/>
      <c r="U1004" s="1"/>
    </row>
  </sheetData>
  <mergeCells count="1">
    <mergeCell ref="S1:U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21"/>
  <sheetViews>
    <sheetView tabSelected="1" workbookViewId="0">
      <selection activeCell="J10" sqref="J10"/>
    </sheetView>
  </sheetViews>
  <sheetFormatPr defaultRowHeight="14.4" x14ac:dyDescent="0.3"/>
  <cols>
    <col min="1" max="1" width="11.5546875" customWidth="1"/>
    <col min="2" max="2" width="16" bestFit="1" customWidth="1"/>
    <col min="3" max="3" width="11.88671875" bestFit="1" customWidth="1"/>
    <col min="6" max="6" width="42.6640625" bestFit="1" customWidth="1"/>
    <col min="7" max="7" width="13.44140625" bestFit="1" customWidth="1"/>
    <col min="8" max="8" width="11.109375" customWidth="1"/>
  </cols>
  <sheetData>
    <row r="3" spans="1:9" x14ac:dyDescent="0.3">
      <c r="A3" s="16" t="s">
        <v>0</v>
      </c>
      <c r="B3" s="16" t="s">
        <v>108</v>
      </c>
      <c r="C3" s="16" t="s">
        <v>109</v>
      </c>
      <c r="D3" s="16" t="s">
        <v>110</v>
      </c>
      <c r="F3" s="60" t="s">
        <v>122</v>
      </c>
      <c r="G3" s="60"/>
      <c r="H3" s="60"/>
      <c r="I3" s="60"/>
    </row>
    <row r="4" spans="1:9" x14ac:dyDescent="0.3">
      <c r="A4" s="17">
        <v>44563</v>
      </c>
      <c r="B4" s="15" t="s">
        <v>111</v>
      </c>
      <c r="C4" s="15" t="s">
        <v>112</v>
      </c>
      <c r="D4" s="15">
        <v>5000</v>
      </c>
    </row>
    <row r="5" spans="1:9" x14ac:dyDescent="0.3">
      <c r="A5" s="17">
        <v>44594</v>
      </c>
      <c r="B5" s="15" t="s">
        <v>113</v>
      </c>
      <c r="C5" s="15" t="s">
        <v>114</v>
      </c>
      <c r="D5" s="15">
        <v>4000</v>
      </c>
    </row>
    <row r="6" spans="1:9" x14ac:dyDescent="0.3">
      <c r="A6" s="17">
        <v>44622</v>
      </c>
      <c r="B6" s="15" t="s">
        <v>115</v>
      </c>
      <c r="C6" s="15" t="s">
        <v>112</v>
      </c>
      <c r="D6" s="15">
        <v>2000</v>
      </c>
      <c r="F6" s="11" t="s">
        <v>116</v>
      </c>
    </row>
    <row r="7" spans="1:9" ht="15" thickBot="1" x14ac:dyDescent="0.35">
      <c r="A7" s="17">
        <v>44653</v>
      </c>
      <c r="B7" s="15" t="s">
        <v>113</v>
      </c>
      <c r="C7" s="15" t="s">
        <v>112</v>
      </c>
      <c r="D7" s="15">
        <v>3000</v>
      </c>
    </row>
    <row r="8" spans="1:9" x14ac:dyDescent="0.3">
      <c r="A8" s="17">
        <v>44683</v>
      </c>
      <c r="B8" s="15" t="s">
        <v>111</v>
      </c>
      <c r="C8" s="15" t="s">
        <v>114</v>
      </c>
      <c r="D8" s="15">
        <v>1000</v>
      </c>
      <c r="G8" s="18" t="s">
        <v>117</v>
      </c>
      <c r="H8" s="19" t="s">
        <v>117</v>
      </c>
    </row>
    <row r="9" spans="1:9" x14ac:dyDescent="0.3">
      <c r="A9" s="17">
        <v>44714</v>
      </c>
      <c r="B9" s="15" t="s">
        <v>118</v>
      </c>
      <c r="C9" s="15" t="s">
        <v>114</v>
      </c>
      <c r="D9" s="15">
        <v>1000</v>
      </c>
      <c r="F9" s="20" t="s">
        <v>108</v>
      </c>
      <c r="G9" s="21" t="s">
        <v>119</v>
      </c>
      <c r="H9" s="22" t="s">
        <v>120</v>
      </c>
    </row>
    <row r="10" spans="1:9" x14ac:dyDescent="0.3">
      <c r="A10" s="17">
        <v>44744</v>
      </c>
      <c r="B10" s="15" t="s">
        <v>118</v>
      </c>
      <c r="C10" s="15" t="s">
        <v>112</v>
      </c>
      <c r="D10" s="15">
        <v>9000</v>
      </c>
      <c r="F10" s="23" t="s">
        <v>111</v>
      </c>
      <c r="G10" s="24">
        <f>SUMIFS($D$4:$D$15,$B$4:$B$15,$F10,$C$4:$C$15,G$9)</f>
        <v>11000</v>
      </c>
      <c r="H10" s="24">
        <f>SUMIFS($D$4:$D$15,$B$4:$B$15,$F10,$C$4:$C$15,H$9)</f>
        <v>1000</v>
      </c>
    </row>
    <row r="11" spans="1:9" x14ac:dyDescent="0.3">
      <c r="A11" s="17">
        <v>44775</v>
      </c>
      <c r="B11" s="15" t="s">
        <v>115</v>
      </c>
      <c r="C11" s="15" t="s">
        <v>114</v>
      </c>
      <c r="D11" s="15">
        <v>7000</v>
      </c>
      <c r="F11" s="23" t="s">
        <v>115</v>
      </c>
      <c r="G11" s="24">
        <f t="shared" ref="G11:H13" si="0">SUMIFS($D$4:$D$15,$B$4:$B$15,$F11,$C$4:$C$15,G$9)</f>
        <v>2000</v>
      </c>
      <c r="H11" s="24">
        <f t="shared" si="0"/>
        <v>7000</v>
      </c>
    </row>
    <row r="12" spans="1:9" x14ac:dyDescent="0.3">
      <c r="A12" s="17">
        <v>44806</v>
      </c>
      <c r="B12" s="15" t="s">
        <v>111</v>
      </c>
      <c r="C12" s="15" t="s">
        <v>112</v>
      </c>
      <c r="D12" s="15">
        <v>6000</v>
      </c>
      <c r="F12" s="23" t="s">
        <v>118</v>
      </c>
      <c r="G12" s="24">
        <f t="shared" si="0"/>
        <v>9000</v>
      </c>
      <c r="H12" s="24">
        <f t="shared" si="0"/>
        <v>1000</v>
      </c>
    </row>
    <row r="13" spans="1:9" x14ac:dyDescent="0.3">
      <c r="A13" s="17">
        <v>44836</v>
      </c>
      <c r="B13" s="15" t="s">
        <v>113</v>
      </c>
      <c r="C13" s="15" t="s">
        <v>114</v>
      </c>
      <c r="D13" s="15">
        <v>4000</v>
      </c>
      <c r="F13" s="23" t="s">
        <v>113</v>
      </c>
      <c r="G13" s="24">
        <f t="shared" si="0"/>
        <v>4000</v>
      </c>
      <c r="H13" s="24">
        <f t="shared" si="0"/>
        <v>8000</v>
      </c>
    </row>
    <row r="14" spans="1:9" x14ac:dyDescent="0.3">
      <c r="A14" s="17">
        <v>44867</v>
      </c>
      <c r="B14" s="15" t="s">
        <v>121</v>
      </c>
      <c r="C14" s="15" t="s">
        <v>114</v>
      </c>
      <c r="D14" s="15">
        <v>2000</v>
      </c>
    </row>
    <row r="15" spans="1:9" x14ac:dyDescent="0.3">
      <c r="A15" s="17">
        <v>44897</v>
      </c>
      <c r="B15" s="15" t="s">
        <v>113</v>
      </c>
      <c r="C15" s="15" t="s">
        <v>112</v>
      </c>
      <c r="D15" s="15">
        <v>1000</v>
      </c>
    </row>
    <row r="16" spans="1:9" x14ac:dyDescent="0.3">
      <c r="A16" s="25"/>
    </row>
    <row r="17" spans="1:6" x14ac:dyDescent="0.3">
      <c r="A17" s="25"/>
    </row>
    <row r="21" spans="1:6" x14ac:dyDescent="0.3">
      <c r="F21">
        <f>SUMIFS(D4:D15,B4:B15,"online",C4:C15,"Debit")</f>
        <v>11000</v>
      </c>
    </row>
  </sheetData>
  <mergeCells count="1"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SumIF</vt:lpstr>
      <vt:lpstr>Sumifs Simple</vt:lpstr>
      <vt:lpstr>LARGE DATA Practice</vt:lpstr>
      <vt:lpstr>SUMIFS Advance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2023-01-09T05:42:11Z</dcterms:created>
  <dcterms:modified xsi:type="dcterms:W3CDTF">2026-08-19T11:15:13Z</dcterms:modified>
</cp:coreProperties>
</file>