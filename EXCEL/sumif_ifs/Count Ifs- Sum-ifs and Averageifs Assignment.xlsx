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sumif_ifs/"/>
    </mc:Choice>
  </mc:AlternateContent>
  <xr:revisionPtr revIDLastSave="7" documentId="8_{74B86E84-492F-4C64-9A89-3FE81D082DD7}" xr6:coauthVersionLast="47" xr6:coauthVersionMax="47" xr10:uidLastSave="{18EF9D80-999A-4B64-BFF6-36DEC5720B1B}"/>
  <bookViews>
    <workbookView xWindow="-108" yWindow="-108" windowWidth="23256" windowHeight="13896" xr2:uid="{00000000-000D-0000-FFFF-FFFF00000000}"/>
  </bookViews>
  <sheets>
    <sheet name="Countifs Sumifs Averageifs" sheetId="1" r:id="rId1"/>
    <sheet name="Sum ifs - Count Ifs" sheetId="2" r:id="rId2"/>
    <sheet name="Sum Ifs" sheetId="3" r:id="rId3"/>
  </sheets>
  <definedNames>
    <definedName name="_xlnm._FilterDatabase" localSheetId="0" hidden="1">'Countifs Sumifs Averageifs'!$A$3:$D$22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6" i="1"/>
  <c r="J11" i="2"/>
  <c r="H16" i="2"/>
  <c r="I5" i="2"/>
  <c r="J5" i="2"/>
  <c r="K5" i="2"/>
  <c r="L6" i="3"/>
  <c r="L7" i="3"/>
  <c r="L5" i="3"/>
  <c r="I10" i="1"/>
</calcChain>
</file>

<file path=xl/sharedStrings.xml><?xml version="1.0" encoding="utf-8"?>
<sst xmlns="http://schemas.openxmlformats.org/spreadsheetml/2006/main" count="198" uniqueCount="78">
  <si>
    <t>Criteria Based Calculations using SUMIFS, AVERAGEIFS &amp; COUNTIFS</t>
  </si>
  <si>
    <t>Month</t>
  </si>
  <si>
    <t>Product</t>
  </si>
  <si>
    <t>Country</t>
  </si>
  <si>
    <t>Sales Revenue</t>
  </si>
  <si>
    <t>Jan</t>
  </si>
  <si>
    <t>Shirt white</t>
  </si>
  <si>
    <t>India</t>
  </si>
  <si>
    <t>Find total sales for the below criteria:/ sum ifs</t>
  </si>
  <si>
    <t>Shirt blue</t>
  </si>
  <si>
    <t>USA</t>
  </si>
  <si>
    <t>Feb</t>
  </si>
  <si>
    <t>Find average sales for the below criteria: Average ifs</t>
  </si>
  <si>
    <t>Apr</t>
  </si>
  <si>
    <t>Shirt yellow</t>
  </si>
  <si>
    <t>UK</t>
  </si>
  <si>
    <t>Mar</t>
  </si>
  <si>
    <t>Find out how many shirts were sold for the below criteria: Countifs</t>
  </si>
  <si>
    <t>May</t>
  </si>
  <si>
    <t>Practice using SUMIFS, AVERAGEIFS &amp; COUNTIFS</t>
  </si>
  <si>
    <t>Entities</t>
  </si>
  <si>
    <t>Business Unit</t>
  </si>
  <si>
    <t>Main Unit</t>
  </si>
  <si>
    <t>Robots Used</t>
  </si>
  <si>
    <t>Revenue</t>
  </si>
  <si>
    <t>Find total sales for the following Business Unit using SUMIFS:</t>
  </si>
  <si>
    <t>Entity A</t>
  </si>
  <si>
    <t>BU_1</t>
  </si>
  <si>
    <t>VC_A</t>
  </si>
  <si>
    <t>BU_3</t>
  </si>
  <si>
    <t>Entity B</t>
  </si>
  <si>
    <t>Entity C</t>
  </si>
  <si>
    <t>Entity D</t>
  </si>
  <si>
    <t>Entity E</t>
  </si>
  <si>
    <t>BU_2</t>
  </si>
  <si>
    <r>
      <t xml:space="preserve">Find </t>
    </r>
    <r>
      <rPr>
        <b/>
        <sz val="11"/>
        <color rgb="FF000000"/>
        <rFont val="Calibri"/>
        <family val="2"/>
        <scheme val="minor"/>
      </rPr>
      <t>average revenue</t>
    </r>
    <r>
      <rPr>
        <sz val="11"/>
        <color rgb="FF000000"/>
        <rFont val="Calibri"/>
        <family val="2"/>
        <scheme val="minor"/>
      </rPr>
      <t xml:space="preserve"> for the following criteria using </t>
    </r>
    <r>
      <rPr>
        <b/>
        <sz val="11"/>
        <color rgb="FF000000"/>
        <rFont val="Calibri"/>
        <family val="2"/>
        <scheme val="minor"/>
      </rPr>
      <t>AVERAGEIFS</t>
    </r>
    <r>
      <rPr>
        <sz val="11"/>
        <color rgb="FF000000"/>
        <rFont val="Calibri"/>
        <family val="2"/>
        <scheme val="minor"/>
      </rPr>
      <t>:</t>
    </r>
  </si>
  <si>
    <t>Entity F</t>
  </si>
  <si>
    <t>Entity G</t>
  </si>
  <si>
    <t>Entity H</t>
  </si>
  <si>
    <t>Entity I</t>
  </si>
  <si>
    <t>VC_B</t>
  </si>
  <si>
    <t>Entity J</t>
  </si>
  <si>
    <t>Entity K</t>
  </si>
  <si>
    <t>Entity L</t>
  </si>
  <si>
    <t>BU_4</t>
  </si>
  <si>
    <t>Entity M</t>
  </si>
  <si>
    <t>Entity N</t>
  </si>
  <si>
    <t>Entity O</t>
  </si>
  <si>
    <t>Entity P</t>
  </si>
  <si>
    <t>BU_5</t>
  </si>
  <si>
    <t>Entity Q</t>
  </si>
  <si>
    <t>BU_6</t>
  </si>
  <si>
    <t>VC_C</t>
  </si>
  <si>
    <t>Entity R</t>
  </si>
  <si>
    <t>Entity S</t>
  </si>
  <si>
    <t>Entity T</t>
  </si>
  <si>
    <t>Entity U</t>
  </si>
  <si>
    <t>BU_7</t>
  </si>
  <si>
    <t>Entity V</t>
  </si>
  <si>
    <t>Entity W</t>
  </si>
  <si>
    <t>Entity X</t>
  </si>
  <si>
    <t>Entity Y</t>
  </si>
  <si>
    <t>BU_8</t>
  </si>
  <si>
    <t>Entity Z</t>
  </si>
  <si>
    <t>Brand</t>
  </si>
  <si>
    <t>Item</t>
  </si>
  <si>
    <t>Price</t>
  </si>
  <si>
    <t>Unit</t>
  </si>
  <si>
    <t>Total Sales</t>
  </si>
  <si>
    <t>Samsung</t>
  </si>
  <si>
    <t>Air conditioner</t>
  </si>
  <si>
    <t>HP</t>
  </si>
  <si>
    <t>Computer</t>
  </si>
  <si>
    <t>T.V</t>
  </si>
  <si>
    <t>sony</t>
  </si>
  <si>
    <t>LG</t>
  </si>
  <si>
    <t>Lenovo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</si>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</sst>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5E0B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horizontal="right" wrapText="1"/>
    </xf>
    <xf numFmtId="0" fontId="3" fillId="0" borderId="4" xfId="0" applyFont="1" applyBorder="1" applyAlignment="1">
      <alignment wrapText="1"/>
    </xf>
    <xf numFmtId="3" fontId="0" fillId="0" borderId="2" xfId="0" applyNumberFormat="1" applyBorder="1" applyAlignment="1">
      <alignment horizontal="right"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4" fillId="0" borderId="1" xfId="0" applyFont="1" applyBorder="1" applyAlignment="1">
      <alignment vertical="center"/>
    </xf>
    <xf numFmtId="0" fontId="0" fillId="5" borderId="4" xfId="0" applyFill="1" applyBorder="1" applyAlignment="1">
      <alignment horizontal="right" wrapText="1"/>
    </xf>
    <xf numFmtId="0" fontId="1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16" sqref="I16"/>
    </sheetView>
  </sheetViews>
  <sheetFormatPr defaultRowHeight="14.4" x14ac:dyDescent="0.3"/>
  <cols>
    <col min="2" max="2" width="10.44140625" customWidth="1"/>
    <col min="4" max="4" width="14.88671875" customWidth="1"/>
    <col min="7" max="7" width="63.33203125" customWidth="1"/>
    <col min="8" max="8" width="20.5546875" customWidth="1"/>
  </cols>
  <sheetData>
    <row r="1" spans="1:26" ht="20.100000000000001" customHeight="1" thickBot="1" x14ac:dyDescent="0.3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100000000000001" customHeight="1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100000000000001" customHeight="1" thickBot="1" x14ac:dyDescent="0.35">
      <c r="A3" s="4" t="s">
        <v>1</v>
      </c>
      <c r="B3" s="4" t="s">
        <v>2</v>
      </c>
      <c r="C3" s="4" t="s">
        <v>3</v>
      </c>
      <c r="D3" s="4" t="s">
        <v>4</v>
      </c>
      <c r="E3" s="3"/>
      <c r="F3" s="3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100000000000001" customHeight="1" thickBot="1" x14ac:dyDescent="0.35">
      <c r="A4" s="3" t="s">
        <v>13</v>
      </c>
      <c r="B4" s="3" t="s">
        <v>9</v>
      </c>
      <c r="C4" s="3" t="s">
        <v>10</v>
      </c>
      <c r="D4" s="5">
        <v>568</v>
      </c>
      <c r="E4" s="3"/>
      <c r="F4" s="6"/>
      <c r="G4" s="8" t="s">
        <v>8</v>
      </c>
      <c r="H4" s="7"/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0.100000000000001" customHeight="1" thickBot="1" x14ac:dyDescent="0.35">
      <c r="A5" s="12" t="s">
        <v>13</v>
      </c>
      <c r="B5" s="12" t="s">
        <v>6</v>
      </c>
      <c r="C5" s="12" t="s">
        <v>10</v>
      </c>
      <c r="D5" s="13">
        <v>432</v>
      </c>
      <c r="E5" s="3"/>
      <c r="F5" s="6"/>
      <c r="G5" s="8" t="s">
        <v>11</v>
      </c>
      <c r="H5" s="7"/>
      <c r="I5" s="7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.100000000000001" customHeight="1" thickBot="1" x14ac:dyDescent="0.35">
      <c r="A6" s="12" t="s">
        <v>13</v>
      </c>
      <c r="B6" s="12" t="s">
        <v>6</v>
      </c>
      <c r="C6" s="12" t="s">
        <v>10</v>
      </c>
      <c r="D6" s="13">
        <v>434</v>
      </c>
      <c r="E6" s="3"/>
      <c r="F6" s="6"/>
      <c r="G6" s="9" t="s">
        <v>11</v>
      </c>
      <c r="H6" s="8" t="s">
        <v>6</v>
      </c>
      <c r="I6" s="10">
        <f>SUMIFS(D4:D22,A4:A22,A9)</f>
        <v>4103</v>
      </c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0.100000000000001" customHeight="1" thickBot="1" x14ac:dyDescent="0.35">
      <c r="A7" s="3" t="s">
        <v>13</v>
      </c>
      <c r="B7" s="3" t="s">
        <v>9</v>
      </c>
      <c r="C7" s="3" t="s">
        <v>15</v>
      </c>
      <c r="D7" s="5">
        <v>479</v>
      </c>
      <c r="E7" s="3"/>
      <c r="F7" s="6"/>
      <c r="G7" s="7"/>
      <c r="H7" s="8"/>
      <c r="I7" s="7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0.100000000000001" customHeight="1" thickBot="1" x14ac:dyDescent="0.35">
      <c r="A8" s="3" t="s">
        <v>13</v>
      </c>
      <c r="B8" s="3" t="s">
        <v>14</v>
      </c>
      <c r="C8" s="3" t="s">
        <v>15</v>
      </c>
      <c r="D8" s="5">
        <v>471</v>
      </c>
      <c r="E8" s="3"/>
      <c r="F8" s="6"/>
      <c r="G8" s="7"/>
      <c r="H8" s="8"/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0.100000000000001" customHeight="1" thickBot="1" x14ac:dyDescent="0.35">
      <c r="A9" s="3" t="s">
        <v>11</v>
      </c>
      <c r="B9" s="3" t="s">
        <v>6</v>
      </c>
      <c r="C9" s="3" t="s">
        <v>7</v>
      </c>
      <c r="D9" s="5">
        <v>492</v>
      </c>
      <c r="E9" s="3"/>
      <c r="F9" s="6"/>
      <c r="G9" s="8" t="s">
        <v>12</v>
      </c>
      <c r="H9" s="8"/>
      <c r="I9" s="7"/>
      <c r="J9" s="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100000000000001" customHeight="1" thickBot="1" x14ac:dyDescent="0.35">
      <c r="A10" s="3" t="s">
        <v>11</v>
      </c>
      <c r="B10" s="3" t="s">
        <v>9</v>
      </c>
      <c r="C10" s="3" t="s">
        <v>10</v>
      </c>
      <c r="D10" s="5">
        <v>559</v>
      </c>
      <c r="E10" s="3"/>
      <c r="F10" s="6"/>
      <c r="G10" s="9" t="s">
        <v>13</v>
      </c>
      <c r="H10" s="8" t="s">
        <v>6</v>
      </c>
      <c r="I10" s="10">
        <f>AVERAGEIFS(D4:D22,A4:A22,A4)</f>
        <v>476.8</v>
      </c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.100000000000001" customHeight="1" thickBot="1" x14ac:dyDescent="0.35">
      <c r="A11" s="3" t="s">
        <v>11</v>
      </c>
      <c r="B11" s="3" t="s">
        <v>6</v>
      </c>
      <c r="C11" s="3" t="s">
        <v>10</v>
      </c>
      <c r="D11" s="5">
        <v>591</v>
      </c>
      <c r="E11" s="3"/>
      <c r="F11" s="6"/>
      <c r="G11" s="7"/>
      <c r="H11" s="8"/>
      <c r="I11" s="7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100000000000001" customHeight="1" thickBot="1" x14ac:dyDescent="0.35">
      <c r="A12" s="3" t="s">
        <v>11</v>
      </c>
      <c r="B12" s="3" t="s">
        <v>6</v>
      </c>
      <c r="C12" s="3" t="s">
        <v>7</v>
      </c>
      <c r="D12" s="5">
        <v>535</v>
      </c>
      <c r="E12" s="3"/>
      <c r="F12" s="6"/>
      <c r="G12" s="7"/>
      <c r="H12" s="8"/>
      <c r="I12" s="7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100000000000001" customHeight="1" thickBot="1" x14ac:dyDescent="0.35">
      <c r="A13" s="3" t="s">
        <v>11</v>
      </c>
      <c r="B13" s="3" t="s">
        <v>9</v>
      </c>
      <c r="C13" s="3" t="s">
        <v>10</v>
      </c>
      <c r="D13" s="5">
        <v>550</v>
      </c>
      <c r="E13" s="3"/>
      <c r="F13" s="6"/>
      <c r="G13" s="7"/>
      <c r="H13" s="8"/>
      <c r="I13" s="7"/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100000000000001" customHeight="1" thickBot="1" x14ac:dyDescent="0.35">
      <c r="A14" s="3" t="s">
        <v>11</v>
      </c>
      <c r="B14" s="3" t="s">
        <v>14</v>
      </c>
      <c r="C14" s="3" t="s">
        <v>10</v>
      </c>
      <c r="D14" s="5">
        <v>517</v>
      </c>
      <c r="E14" s="3"/>
      <c r="F14" s="6"/>
      <c r="G14" s="11" t="s">
        <v>17</v>
      </c>
      <c r="H14" s="8"/>
      <c r="I14" s="7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100000000000001" customHeight="1" thickBot="1" x14ac:dyDescent="0.35">
      <c r="A15" s="3" t="s">
        <v>11</v>
      </c>
      <c r="B15" s="3" t="s">
        <v>9</v>
      </c>
      <c r="C15" s="3" t="s">
        <v>15</v>
      </c>
      <c r="D15" s="5">
        <v>449</v>
      </c>
      <c r="E15" s="3"/>
      <c r="F15" s="6"/>
      <c r="G15" s="9" t="s">
        <v>11</v>
      </c>
      <c r="H15" s="8" t="s">
        <v>6</v>
      </c>
      <c r="I15" s="10">
        <f>COUNTIFS(A4:A22,"Feb",B4:B22,"Shirt white")</f>
        <v>4</v>
      </c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100000000000001" customHeight="1" thickBot="1" x14ac:dyDescent="0.35">
      <c r="A16" s="3" t="s">
        <v>11</v>
      </c>
      <c r="B16" s="3" t="s">
        <v>6</v>
      </c>
      <c r="C16" s="3" t="s">
        <v>15</v>
      </c>
      <c r="D16" s="5">
        <v>410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100000000000001" customHeight="1" thickBot="1" x14ac:dyDescent="0.35">
      <c r="A17" s="3" t="s">
        <v>5</v>
      </c>
      <c r="B17" s="3" t="s">
        <v>6</v>
      </c>
      <c r="C17" s="3" t="s">
        <v>7</v>
      </c>
      <c r="D17" s="5">
        <v>546</v>
      </c>
      <c r="E17" s="1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.100000000000001" customHeight="1" thickBot="1" x14ac:dyDescent="0.35">
      <c r="A18" s="3" t="s">
        <v>5</v>
      </c>
      <c r="B18" s="3" t="s">
        <v>9</v>
      </c>
      <c r="C18" s="3" t="s">
        <v>10</v>
      </c>
      <c r="D18" s="5">
        <v>519</v>
      </c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.100000000000001" customHeight="1" thickBot="1" x14ac:dyDescent="0.35">
      <c r="A19" s="3" t="s">
        <v>16</v>
      </c>
      <c r="B19" s="3" t="s">
        <v>6</v>
      </c>
      <c r="C19" s="3" t="s">
        <v>15</v>
      </c>
      <c r="D19" s="5">
        <v>435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0.100000000000001" customHeight="1" thickBot="1" x14ac:dyDescent="0.35">
      <c r="A20" s="3" t="s">
        <v>16</v>
      </c>
      <c r="B20" s="3" t="s">
        <v>14</v>
      </c>
      <c r="C20" s="3" t="s">
        <v>10</v>
      </c>
      <c r="D20" s="5">
        <v>468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.100000000000001" customHeight="1" thickBot="1" x14ac:dyDescent="0.35">
      <c r="A21" s="3" t="s">
        <v>18</v>
      </c>
      <c r="B21" s="3" t="s">
        <v>14</v>
      </c>
      <c r="C21" s="3" t="s">
        <v>10</v>
      </c>
      <c r="D21" s="5">
        <v>534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0.100000000000001" customHeight="1" thickBot="1" x14ac:dyDescent="0.35">
      <c r="A22" s="3" t="s">
        <v>18</v>
      </c>
      <c r="B22" s="3" t="s">
        <v>6</v>
      </c>
      <c r="C22" s="3" t="s">
        <v>15</v>
      </c>
      <c r="D22" s="5">
        <v>409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100000000000001" customHeight="1" thickBo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0.100000000000001" customHeight="1" thickBo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.100000000000001" customHeight="1" thickBo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0.100000000000001" customHeight="1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0.100000000000001" customHeight="1" thickBo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0.100000000000001" customHeight="1" thickBo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0.100000000000001" customHeight="1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0.100000000000001" customHeight="1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100000000000001" customHeight="1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0.100000000000001" customHeight="1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0.100000000000001" customHeight="1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0.100000000000001" customHeight="1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100000000000001" customHeight="1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0.100000000000001" customHeight="1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0.100000000000001" customHeight="1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100000000000001" customHeight="1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100000000000001" customHeight="1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100000000000001" customHeight="1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100000000000001" customHeight="1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0.100000000000001" customHeight="1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.100000000000001" customHeight="1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0.100000000000001" customHeight="1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100000000000001" customHeight="1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100000000000001" customHeight="1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0.100000000000001" customHeight="1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0.100000000000001" customHeight="1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0.100000000000001" customHeight="1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.100000000000001" customHeight="1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0.100000000000001" customHeight="1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0.100000000000001" customHeight="1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.100000000000001" customHeight="1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0.100000000000001" customHeight="1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0.100000000000001" customHeight="1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0.100000000000001" customHeight="1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0.100000000000001" customHeight="1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0.100000000000001" customHeight="1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0.100000000000001" customHeight="1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0.100000000000001" customHeight="1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0.100000000000001" customHeight="1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0.100000000000001" customHeight="1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.100000000000001" customHeight="1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0.100000000000001" customHeight="1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0.100000000000001" customHeight="1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0.100000000000001" customHeight="1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0.100000000000001" customHeight="1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0.100000000000001" customHeight="1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0.100000000000001" customHeight="1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0.100000000000001" customHeight="1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0.100000000000001" customHeight="1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0.100000000000001" customHeight="1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0.100000000000001" customHeight="1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0.100000000000001" customHeight="1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0.100000000000001" customHeight="1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0.100000000000001" customHeight="1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0.100000000000001" customHeight="1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0.100000000000001" customHeight="1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0.100000000000001" customHeight="1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0.100000000000001" customHeight="1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0.100000000000001" customHeight="1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0.100000000000001" customHeight="1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0.100000000000001" customHeight="1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0.100000000000001" customHeight="1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0.100000000000001" customHeight="1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0.100000000000001" customHeight="1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0.100000000000001" customHeight="1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0.100000000000001" customHeight="1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100000000000001" customHeight="1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0.100000000000001" customHeight="1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0.100000000000001" customHeight="1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0.100000000000001" customHeight="1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0.100000000000001" customHeight="1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0.100000000000001" customHeight="1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0.100000000000001" customHeight="1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0.100000000000001" customHeight="1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0.100000000000001" customHeight="1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0.100000000000001" customHeight="1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0.100000000000001" customHeight="1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0.100000000000001" customHeight="1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0.100000000000001" customHeight="1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0.100000000000001" customHeight="1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0.100000000000001" customHeight="1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0.100000000000001" customHeight="1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0.100000000000001" customHeight="1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0.100000000000001" customHeight="1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0.100000000000001" customHeight="1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0.100000000000001" customHeight="1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0.100000000000001" customHeight="1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0.100000000000001" customHeight="1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100000000000001" customHeight="1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0.100000000000001" customHeight="1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0.100000000000001" customHeight="1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0.100000000000001" customHeight="1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0.100000000000001" customHeight="1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0.100000000000001" customHeight="1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0.100000000000001" customHeight="1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0.100000000000001" customHeight="1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0.100000000000001" customHeight="1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0.100000000000001" customHeight="1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0.100000000000001" customHeight="1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0.100000000000001" customHeight="1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0.100000000000001" customHeight="1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0.100000000000001" customHeight="1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0.100000000000001" customHeight="1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0.100000000000001" customHeight="1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0.100000000000001" customHeight="1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0.100000000000001" customHeight="1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0.100000000000001" customHeight="1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0.100000000000001" customHeight="1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.100000000000001" customHeight="1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0.100000000000001" customHeight="1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0.100000000000001" customHeight="1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0.100000000000001" customHeight="1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0.100000000000001" customHeight="1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0.100000000000001" customHeight="1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0.100000000000001" customHeight="1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0.100000000000001" customHeight="1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0.100000000000001" customHeight="1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0.100000000000001" customHeight="1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0.100000000000001" customHeight="1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0.100000000000001" customHeight="1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0.100000000000001" customHeight="1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0.100000000000001" customHeight="1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0.100000000000001" customHeight="1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0.100000000000001" customHeight="1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0.100000000000001" customHeight="1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0.100000000000001" customHeight="1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0.100000000000001" customHeight="1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0.100000000000001" customHeight="1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0.100000000000001" customHeight="1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0.100000000000001" customHeight="1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0.100000000000001" customHeight="1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0.100000000000001" customHeight="1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0.100000000000001" customHeight="1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0.100000000000001" customHeight="1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0.100000000000001" customHeight="1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0.100000000000001" customHeight="1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0.100000000000001" customHeight="1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100000000000001" customHeight="1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0.100000000000001" customHeight="1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0.100000000000001" customHeight="1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0.100000000000001" customHeight="1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0.100000000000001" customHeight="1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0.100000000000001" customHeight="1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0.100000000000001" customHeight="1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0.100000000000001" customHeight="1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0.100000000000001" customHeight="1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0.100000000000001" customHeight="1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0.100000000000001" customHeight="1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0.100000000000001" customHeight="1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0.100000000000001" customHeight="1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0.100000000000001" customHeight="1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0.100000000000001" customHeight="1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0.100000000000001" customHeight="1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0.100000000000001" customHeight="1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0.100000000000001" customHeight="1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0.100000000000001" customHeight="1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0.100000000000001" customHeight="1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0.100000000000001" customHeight="1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0.100000000000001" customHeight="1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0.100000000000001" customHeight="1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0.100000000000001" customHeight="1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0.100000000000001" customHeight="1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0.100000000000001" customHeight="1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0.100000000000001" customHeight="1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0.100000000000001" customHeight="1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0.100000000000001" customHeight="1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0.100000000000001" customHeight="1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0.100000000000001" customHeight="1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0.100000000000001" customHeight="1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0.100000000000001" customHeight="1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0.100000000000001" customHeight="1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0.100000000000001" customHeight="1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0.100000000000001" customHeight="1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0.100000000000001" customHeight="1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0.100000000000001" customHeight="1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0.100000000000001" customHeight="1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0.100000000000001" customHeight="1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0.100000000000001" customHeight="1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0.100000000000001" customHeight="1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0.100000000000001" customHeight="1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0.100000000000001" customHeight="1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0.100000000000001" customHeight="1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0.100000000000001" customHeight="1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0.100000000000001" customHeight="1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0.100000000000001" customHeight="1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0.100000000000001" customHeight="1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0.100000000000001" customHeight="1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0.100000000000001" customHeight="1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0.100000000000001" customHeight="1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0.100000000000001" customHeight="1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0.100000000000001" customHeight="1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0.100000000000001" customHeight="1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0.100000000000001" customHeight="1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0.100000000000001" customHeight="1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0.100000000000001" customHeight="1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0.100000000000001" customHeight="1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0.100000000000001" customHeight="1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0.100000000000001" customHeight="1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0.100000000000001" customHeight="1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0.100000000000001" customHeight="1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0.100000000000001" customHeight="1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0.100000000000001" customHeight="1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0.100000000000001" customHeight="1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0.100000000000001" customHeight="1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0.100000000000001" customHeight="1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0.100000000000001" customHeight="1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0.100000000000001" customHeight="1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100000000000001" customHeight="1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0.100000000000001" customHeight="1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0.100000000000001" customHeight="1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0.100000000000001" customHeight="1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0.100000000000001" customHeight="1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0.100000000000001" customHeight="1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0.100000000000001" customHeight="1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0.100000000000001" customHeight="1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0.100000000000001" customHeight="1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0.100000000000001" customHeight="1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0.100000000000001" customHeight="1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0.100000000000001" customHeight="1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0.100000000000001" customHeight="1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0.100000000000001" customHeight="1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0.100000000000001" customHeight="1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0.100000000000001" customHeight="1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0.100000000000001" customHeight="1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0.100000000000001" customHeight="1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0.100000000000001" customHeight="1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0.100000000000001" customHeight="1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0.100000000000001" customHeight="1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0.100000000000001" customHeight="1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0.100000000000001" customHeight="1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0.100000000000001" customHeight="1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0.100000000000001" customHeight="1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0.100000000000001" customHeight="1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0.100000000000001" customHeight="1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0.100000000000001" customHeight="1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0.100000000000001" customHeight="1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0.100000000000001" customHeight="1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0.100000000000001" customHeight="1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0.100000000000001" customHeight="1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0.100000000000001" customHeight="1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0.100000000000001" customHeight="1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0.100000000000001" customHeight="1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0.100000000000001" customHeight="1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0.100000000000001" customHeight="1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0.100000000000001" customHeight="1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0.100000000000001" customHeight="1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0.100000000000001" customHeight="1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0.100000000000001" customHeight="1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0.100000000000001" customHeight="1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0.100000000000001" customHeight="1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0.100000000000001" customHeight="1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0.100000000000001" customHeight="1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0.100000000000001" customHeight="1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0.100000000000001" customHeight="1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0.100000000000001" customHeight="1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0.100000000000001" customHeight="1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0.100000000000001" customHeight="1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0.100000000000001" customHeight="1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0.100000000000001" customHeight="1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0.100000000000001" customHeight="1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0.100000000000001" customHeight="1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0.100000000000001" customHeight="1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0.100000000000001" customHeight="1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0.100000000000001" customHeight="1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0.100000000000001" customHeight="1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0.100000000000001" customHeight="1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0.100000000000001" customHeight="1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0.100000000000001" customHeight="1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0.100000000000001" customHeight="1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0.100000000000001" customHeight="1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0.100000000000001" customHeight="1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0.100000000000001" customHeight="1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0.100000000000001" customHeight="1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0.100000000000001" customHeight="1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0.100000000000001" customHeight="1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0.100000000000001" customHeight="1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0.100000000000001" customHeight="1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0.100000000000001" customHeight="1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0.100000000000001" customHeight="1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0.100000000000001" customHeight="1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0.100000000000001" customHeight="1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0.100000000000001" customHeight="1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0.100000000000001" customHeight="1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0.100000000000001" customHeight="1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0.100000000000001" customHeight="1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0.100000000000001" customHeight="1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0.100000000000001" customHeight="1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0.100000000000001" customHeight="1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0.100000000000001" customHeight="1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0.100000000000001" customHeight="1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0.100000000000001" customHeight="1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0.100000000000001" customHeight="1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0.100000000000001" customHeight="1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0.100000000000001" customHeight="1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0.100000000000001" customHeight="1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0.100000000000001" customHeight="1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0.100000000000001" customHeight="1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0.100000000000001" customHeight="1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0.100000000000001" customHeight="1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0.100000000000001" customHeight="1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0.100000000000001" customHeight="1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0.100000000000001" customHeight="1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0.100000000000001" customHeight="1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0.100000000000001" customHeight="1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0.100000000000001" customHeight="1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0.100000000000001" customHeight="1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0.100000000000001" customHeight="1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0.100000000000001" customHeight="1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0.100000000000001" customHeight="1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0.100000000000001" customHeight="1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0.100000000000001" customHeight="1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0.100000000000001" customHeight="1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0.100000000000001" customHeight="1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0.100000000000001" customHeight="1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0.100000000000001" customHeight="1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0.100000000000001" customHeight="1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0.100000000000001" customHeight="1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0.100000000000001" customHeight="1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0.100000000000001" customHeight="1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0.100000000000001" customHeight="1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0.100000000000001" customHeight="1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0.100000000000001" customHeight="1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0.100000000000001" customHeight="1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0.100000000000001" customHeight="1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0.100000000000001" customHeight="1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0.100000000000001" customHeight="1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0.100000000000001" customHeight="1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0.100000000000001" customHeight="1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0.100000000000001" customHeight="1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0.100000000000001" customHeight="1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0.100000000000001" customHeight="1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0.100000000000001" customHeight="1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0.100000000000001" customHeight="1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0.100000000000001" customHeight="1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0.100000000000001" customHeight="1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0.100000000000001" customHeight="1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0.100000000000001" customHeight="1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0.100000000000001" customHeight="1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0.100000000000001" customHeight="1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0.100000000000001" customHeight="1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0.100000000000001" customHeight="1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0.100000000000001" customHeight="1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0.100000000000001" customHeight="1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0.100000000000001" customHeight="1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0.100000000000001" customHeight="1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0.100000000000001" customHeight="1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0.100000000000001" customHeight="1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0.100000000000001" customHeight="1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0.100000000000001" customHeight="1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0.100000000000001" customHeight="1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0.100000000000001" customHeight="1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0.100000000000001" customHeight="1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0.100000000000001" customHeight="1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0.100000000000001" customHeight="1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0.100000000000001" customHeight="1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0.100000000000001" customHeight="1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0.100000000000001" customHeight="1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0.100000000000001" customHeight="1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0.100000000000001" customHeight="1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0.100000000000001" customHeight="1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0.100000000000001" customHeight="1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0.100000000000001" customHeight="1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0.100000000000001" customHeight="1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0.100000000000001" customHeight="1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0.100000000000001" customHeight="1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0.100000000000001" customHeight="1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0.100000000000001" customHeight="1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0.100000000000001" customHeight="1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0.100000000000001" customHeight="1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0.100000000000001" customHeight="1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0.100000000000001" customHeight="1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0.100000000000001" customHeight="1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0.100000000000001" customHeight="1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0.100000000000001" customHeight="1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0.100000000000001" customHeight="1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0.100000000000001" customHeight="1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0.100000000000001" customHeight="1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0.100000000000001" customHeight="1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0.100000000000001" customHeight="1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0.100000000000001" customHeight="1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0.100000000000001" customHeight="1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0.100000000000001" customHeight="1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0.100000000000001" customHeight="1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0.100000000000001" customHeight="1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0.100000000000001" customHeight="1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0.100000000000001" customHeight="1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0.100000000000001" customHeight="1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0.100000000000001" customHeight="1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0.100000000000001" customHeight="1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0.100000000000001" customHeight="1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0.100000000000001" customHeight="1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0.100000000000001" customHeight="1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0.100000000000001" customHeight="1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0.100000000000001" customHeight="1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0.100000000000001" customHeight="1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0.100000000000001" customHeight="1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0.100000000000001" customHeight="1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0.100000000000001" customHeight="1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0.100000000000001" customHeight="1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0.100000000000001" customHeight="1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0.100000000000001" customHeight="1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0.100000000000001" customHeight="1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0.100000000000001" customHeight="1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0.100000000000001" customHeight="1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0.100000000000001" customHeight="1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0.100000000000001" customHeight="1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0.100000000000001" customHeight="1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0.100000000000001" customHeight="1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0.100000000000001" customHeight="1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0.100000000000001" customHeight="1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0.100000000000001" customHeight="1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0.100000000000001" customHeight="1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0.100000000000001" customHeight="1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0.100000000000001" customHeight="1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0.100000000000001" customHeight="1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0.100000000000001" customHeight="1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0.100000000000001" customHeight="1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0.100000000000001" customHeight="1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0.100000000000001" customHeight="1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0.100000000000001" customHeight="1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0.100000000000001" customHeight="1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0.100000000000001" customHeight="1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0.100000000000001" customHeight="1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0.100000000000001" customHeight="1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0.100000000000001" customHeight="1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0.100000000000001" customHeight="1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0.100000000000001" customHeight="1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0.100000000000001" customHeight="1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0.100000000000001" customHeight="1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0.100000000000001" customHeight="1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0.100000000000001" customHeight="1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0.100000000000001" customHeight="1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0.100000000000001" customHeight="1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0.100000000000001" customHeight="1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0.100000000000001" customHeight="1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0.100000000000001" customHeight="1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0.100000000000001" customHeight="1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0.100000000000001" customHeight="1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0.100000000000001" customHeight="1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0.100000000000001" customHeight="1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0.100000000000001" customHeight="1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0.100000000000001" customHeight="1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0.100000000000001" customHeight="1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0.100000000000001" customHeight="1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0.100000000000001" customHeight="1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0.100000000000001" customHeight="1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0.100000000000001" customHeight="1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0.100000000000001" customHeight="1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0.100000000000001" customHeight="1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0.100000000000001" customHeight="1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0.100000000000001" customHeight="1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0.100000000000001" customHeight="1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0.100000000000001" customHeight="1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0.100000000000001" customHeight="1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0.100000000000001" customHeight="1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0.100000000000001" customHeight="1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0.100000000000001" customHeight="1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0.100000000000001" customHeight="1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0.100000000000001" customHeight="1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0.100000000000001" customHeight="1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0.100000000000001" customHeight="1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0.100000000000001" customHeight="1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0.100000000000001" customHeight="1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0.100000000000001" customHeight="1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0.100000000000001" customHeight="1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0.100000000000001" customHeight="1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0.100000000000001" customHeight="1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0.100000000000001" customHeight="1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0.100000000000001" customHeight="1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0.100000000000001" customHeight="1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0.100000000000001" customHeight="1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0.100000000000001" customHeight="1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0.100000000000001" customHeight="1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0.100000000000001" customHeight="1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0.100000000000001" customHeight="1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0.100000000000001" customHeight="1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0.100000000000001" customHeight="1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0.100000000000001" customHeight="1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0.100000000000001" customHeight="1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0.100000000000001" customHeight="1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0.100000000000001" customHeight="1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0.100000000000001" customHeight="1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0.100000000000001" customHeight="1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0.100000000000001" customHeight="1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0.100000000000001" customHeight="1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0.100000000000001" customHeight="1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0.100000000000001" customHeight="1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0.100000000000001" customHeight="1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0.100000000000001" customHeight="1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0.100000000000001" customHeight="1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0.100000000000001" customHeight="1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0.100000000000001" customHeight="1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0.100000000000001" customHeight="1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0.100000000000001" customHeight="1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0.100000000000001" customHeight="1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0.100000000000001" customHeight="1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0.100000000000001" customHeight="1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0.100000000000001" customHeight="1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0.100000000000001" customHeight="1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0.100000000000001" customHeight="1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0.100000000000001" customHeight="1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0.100000000000001" customHeight="1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0.100000000000001" customHeight="1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0.100000000000001" customHeight="1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0.100000000000001" customHeight="1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0.100000000000001" customHeight="1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0.100000000000001" customHeight="1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0.100000000000001" customHeight="1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0.100000000000001" customHeight="1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0.100000000000001" customHeight="1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0.100000000000001" customHeight="1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0.100000000000001" customHeight="1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0.100000000000001" customHeight="1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0.100000000000001" customHeight="1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0.100000000000001" customHeight="1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0.100000000000001" customHeight="1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0.100000000000001" customHeight="1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0.100000000000001" customHeight="1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0.100000000000001" customHeight="1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0.100000000000001" customHeight="1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0.100000000000001" customHeight="1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0.100000000000001" customHeight="1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0.100000000000001" customHeight="1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0.100000000000001" customHeight="1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0.100000000000001" customHeight="1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0.100000000000001" customHeight="1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0.100000000000001" customHeight="1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0.100000000000001" customHeight="1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0.100000000000001" customHeight="1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0.100000000000001" customHeight="1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0.100000000000001" customHeight="1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0.100000000000001" customHeight="1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0.100000000000001" customHeight="1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0.100000000000001" customHeight="1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0.100000000000001" customHeight="1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0.100000000000001" customHeight="1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0.100000000000001" customHeight="1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0.100000000000001" customHeight="1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0.100000000000001" customHeight="1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0.100000000000001" customHeight="1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0.100000000000001" customHeight="1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0.100000000000001" customHeight="1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0.100000000000001" customHeight="1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0.100000000000001" customHeight="1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0.100000000000001" customHeight="1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0.100000000000001" customHeight="1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0.100000000000001" customHeight="1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0.100000000000001" customHeight="1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0.100000000000001" customHeight="1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0.100000000000001" customHeight="1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0.100000000000001" customHeight="1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0.100000000000001" customHeight="1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0.100000000000001" customHeight="1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0.100000000000001" customHeight="1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0.100000000000001" customHeight="1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0.100000000000001" customHeight="1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0.100000000000001" customHeight="1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0.100000000000001" customHeight="1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0.100000000000001" customHeight="1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0.100000000000001" customHeight="1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0.100000000000001" customHeight="1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0.100000000000001" customHeight="1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0.100000000000001" customHeight="1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0.100000000000001" customHeight="1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0.100000000000001" customHeight="1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0.100000000000001" customHeight="1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0.100000000000001" customHeight="1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0.100000000000001" customHeight="1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0.100000000000001" customHeight="1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0.100000000000001" customHeight="1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0.100000000000001" customHeight="1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0.100000000000001" customHeight="1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0.100000000000001" customHeight="1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0.100000000000001" customHeight="1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0.100000000000001" customHeight="1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0.100000000000001" customHeight="1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0.100000000000001" customHeight="1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0.100000000000001" customHeight="1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0.100000000000001" customHeight="1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0.100000000000001" customHeight="1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0.100000000000001" customHeight="1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0.100000000000001" customHeight="1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0.100000000000001" customHeight="1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0.100000000000001" customHeight="1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0.100000000000001" customHeight="1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0.100000000000001" customHeight="1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0.100000000000001" customHeight="1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0.100000000000001" customHeight="1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0.100000000000001" customHeight="1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0.100000000000001" customHeight="1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0.100000000000001" customHeight="1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0.100000000000001" customHeight="1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0.100000000000001" customHeight="1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0.100000000000001" customHeight="1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0.100000000000001" customHeight="1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0.100000000000001" customHeight="1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0.100000000000001" customHeight="1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0.100000000000001" customHeight="1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0.100000000000001" customHeight="1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0.100000000000001" customHeight="1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0.100000000000001" customHeight="1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0.100000000000001" customHeight="1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0.100000000000001" customHeight="1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0.100000000000001" customHeight="1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0.100000000000001" customHeight="1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0.100000000000001" customHeight="1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0.100000000000001" customHeight="1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0.100000000000001" customHeight="1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0.100000000000001" customHeight="1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0.100000000000001" customHeight="1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0.100000000000001" customHeight="1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0.100000000000001" customHeight="1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0.100000000000001" customHeight="1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0.100000000000001" customHeight="1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0.100000000000001" customHeight="1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0.100000000000001" customHeight="1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0.100000000000001" customHeight="1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0.100000000000001" customHeight="1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0.100000000000001" customHeight="1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0.100000000000001" customHeight="1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0.100000000000001" customHeight="1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0.100000000000001" customHeight="1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0.100000000000001" customHeight="1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0.100000000000001" customHeight="1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0.100000000000001" customHeight="1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0.100000000000001" customHeight="1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0.100000000000001" customHeight="1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0.100000000000001" customHeight="1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0.100000000000001" customHeight="1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0.100000000000001" customHeight="1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0.100000000000001" customHeight="1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0.100000000000001" customHeight="1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0.100000000000001" customHeight="1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0.100000000000001" customHeight="1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0.100000000000001" customHeight="1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0.100000000000001" customHeight="1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0.100000000000001" customHeight="1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0.100000000000001" customHeight="1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0.100000000000001" customHeight="1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0.100000000000001" customHeight="1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0.100000000000001" customHeight="1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0.100000000000001" customHeight="1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0.100000000000001" customHeight="1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0.100000000000001" customHeight="1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0.100000000000001" customHeight="1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0.100000000000001" customHeight="1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0.100000000000001" customHeight="1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0.100000000000001" customHeight="1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0.100000000000001" customHeight="1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0.100000000000001" customHeight="1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0.100000000000001" customHeight="1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0.100000000000001" customHeight="1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0.100000000000001" customHeight="1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0.100000000000001" customHeight="1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0.100000000000001" customHeight="1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0.100000000000001" customHeight="1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0.100000000000001" customHeight="1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0.100000000000001" customHeight="1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0.100000000000001" customHeight="1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0.100000000000001" customHeight="1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0.100000000000001" customHeight="1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0.100000000000001" customHeight="1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0.100000000000001" customHeight="1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0.100000000000001" customHeight="1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0.100000000000001" customHeight="1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0.100000000000001" customHeight="1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0.100000000000001" customHeight="1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0.100000000000001" customHeight="1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0.100000000000001" customHeight="1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0.100000000000001" customHeight="1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0.100000000000001" customHeight="1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0.100000000000001" customHeight="1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0.100000000000001" customHeight="1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0.100000000000001" customHeight="1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0.100000000000001" customHeight="1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0.100000000000001" customHeight="1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0.100000000000001" customHeight="1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0.100000000000001" customHeight="1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0.100000000000001" customHeight="1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0.100000000000001" customHeight="1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0.100000000000001" customHeight="1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0.100000000000001" customHeight="1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0.100000000000001" customHeight="1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0.100000000000001" customHeight="1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0.100000000000001" customHeight="1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0.100000000000001" customHeight="1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0.100000000000001" customHeight="1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0.100000000000001" customHeight="1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0.100000000000001" customHeight="1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0.100000000000001" customHeight="1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0.100000000000001" customHeight="1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0.100000000000001" customHeight="1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0.100000000000001" customHeight="1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0.100000000000001" customHeight="1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0.100000000000001" customHeight="1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0.100000000000001" customHeight="1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0.100000000000001" customHeight="1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0.100000000000001" customHeight="1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0.100000000000001" customHeight="1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0.100000000000001" customHeight="1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0.100000000000001" customHeight="1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0.100000000000001" customHeight="1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0.100000000000001" customHeight="1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0.100000000000001" customHeight="1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0.100000000000001" customHeight="1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0.100000000000001" customHeight="1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0.100000000000001" customHeight="1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0.100000000000001" customHeight="1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0.100000000000001" customHeight="1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0.100000000000001" customHeight="1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0.100000000000001" customHeight="1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0.100000000000001" customHeight="1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0.100000000000001" customHeight="1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0.100000000000001" customHeight="1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0.100000000000001" customHeight="1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0.100000000000001" customHeight="1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0.100000000000001" customHeight="1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0.100000000000001" customHeight="1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0.100000000000001" customHeight="1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0.100000000000001" customHeight="1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0.100000000000001" customHeight="1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0.100000000000001" customHeight="1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0.100000000000001" customHeight="1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0.100000000000001" customHeight="1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0.100000000000001" customHeight="1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0.100000000000001" customHeight="1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0.100000000000001" customHeight="1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0.100000000000001" customHeight="1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0.100000000000001" customHeight="1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0.100000000000001" customHeight="1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0.100000000000001" customHeight="1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0.100000000000001" customHeight="1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0.100000000000001" customHeight="1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0.100000000000001" customHeight="1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0.100000000000001" customHeight="1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0.100000000000001" customHeight="1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0.100000000000001" customHeight="1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0.100000000000001" customHeight="1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0.100000000000001" customHeight="1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0.100000000000001" customHeight="1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0.100000000000001" customHeight="1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0.100000000000001" customHeight="1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0.100000000000001" customHeight="1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0.100000000000001" customHeight="1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0.100000000000001" customHeight="1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0.100000000000001" customHeight="1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0.100000000000001" customHeight="1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0.100000000000001" customHeight="1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0.100000000000001" customHeight="1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0.100000000000001" customHeight="1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0.100000000000001" customHeight="1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0.100000000000001" customHeight="1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0.100000000000001" customHeight="1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0.100000000000001" customHeight="1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0.100000000000001" customHeight="1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0.100000000000001" customHeight="1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0.100000000000001" customHeight="1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0.100000000000001" customHeight="1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0.100000000000001" customHeight="1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0.100000000000001" customHeight="1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0.100000000000001" customHeight="1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0.100000000000001" customHeight="1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0.100000000000001" customHeight="1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0.100000000000001" customHeight="1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0.100000000000001" customHeight="1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0.100000000000001" customHeight="1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0.100000000000001" customHeight="1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0.100000000000001" customHeight="1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0.100000000000001" customHeight="1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0.100000000000001" customHeight="1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0.100000000000001" customHeight="1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0.100000000000001" customHeight="1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0.100000000000001" customHeight="1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0.100000000000001" customHeight="1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0.100000000000001" customHeight="1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0.100000000000001" customHeight="1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0.100000000000001" customHeight="1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0.100000000000001" customHeight="1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0.100000000000001" customHeight="1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0.100000000000001" customHeight="1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0.100000000000001" customHeight="1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0.100000000000001" customHeight="1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0.100000000000001" customHeight="1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0.100000000000001" customHeight="1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0.100000000000001" customHeight="1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0.100000000000001" customHeight="1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0.100000000000001" customHeight="1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0.100000000000001" customHeight="1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0.100000000000001" customHeight="1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0.100000000000001" customHeight="1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0.100000000000001" customHeight="1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0.100000000000001" customHeight="1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0.100000000000001" customHeight="1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0.100000000000001" customHeight="1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0.100000000000001" customHeight="1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0.100000000000001" customHeight="1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0.100000000000001" customHeight="1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0.100000000000001" customHeight="1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0.100000000000001" customHeight="1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0.100000000000001" customHeight="1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0.100000000000001" customHeight="1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0.100000000000001" customHeight="1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0.100000000000001" customHeight="1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0.100000000000001" customHeight="1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0.100000000000001" customHeight="1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0.100000000000001" customHeight="1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0.100000000000001" customHeight="1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0.100000000000001" customHeight="1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0.100000000000001" customHeight="1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0.100000000000001" customHeight="1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0.100000000000001" customHeight="1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0.100000000000001" customHeight="1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0.100000000000001" customHeight="1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0.100000000000001" customHeight="1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0.100000000000001" customHeight="1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0.100000000000001" customHeight="1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0.100000000000001" customHeight="1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0.100000000000001" customHeight="1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0.100000000000001" customHeight="1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0.100000000000001" customHeight="1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0.100000000000001" customHeight="1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0.100000000000001" customHeight="1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0.100000000000001" customHeight="1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0.100000000000001" customHeight="1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0.100000000000001" customHeight="1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0.100000000000001" customHeight="1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0.100000000000001" customHeight="1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0.100000000000001" customHeight="1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0.100000000000001" customHeight="1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0.100000000000001" customHeight="1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0.100000000000001" customHeight="1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0.100000000000001" customHeight="1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0.100000000000001" customHeight="1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0.100000000000001" customHeight="1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0.100000000000001" customHeight="1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0.100000000000001" customHeight="1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0.100000000000001" customHeight="1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0.100000000000001" customHeight="1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0.100000000000001" customHeight="1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0.100000000000001" customHeight="1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0.100000000000001" customHeight="1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0.100000000000001" customHeight="1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0.100000000000001" customHeight="1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0.100000000000001" customHeight="1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0.100000000000001" customHeight="1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0.100000000000001" customHeight="1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0.100000000000001" customHeight="1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0.100000000000001" customHeight="1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0.100000000000001" customHeight="1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0.100000000000001" customHeight="1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0.100000000000001" customHeight="1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0.100000000000001" customHeight="1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0.100000000000001" customHeight="1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0.100000000000001" customHeight="1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0.100000000000001" customHeight="1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0.100000000000001" customHeight="1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0.100000000000001" customHeight="1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0.100000000000001" customHeight="1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0.100000000000001" customHeight="1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0.100000000000001" customHeight="1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0.100000000000001" customHeight="1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0.100000000000001" customHeight="1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0.100000000000001" customHeight="1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0.100000000000001" customHeight="1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0.100000000000001" customHeight="1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0.100000000000001" customHeight="1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0.100000000000001" customHeight="1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0.100000000000001" customHeight="1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0.100000000000001" customHeight="1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0.100000000000001" customHeight="1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0.100000000000001" customHeight="1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0.100000000000001" customHeight="1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0.100000000000001" customHeight="1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0.100000000000001" customHeight="1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0.100000000000001" customHeight="1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0.100000000000001" customHeight="1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0.100000000000001" customHeight="1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0.100000000000001" customHeight="1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0.100000000000001" customHeight="1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0.100000000000001" customHeight="1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0.100000000000001" customHeight="1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0.100000000000001" customHeight="1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0.100000000000001" customHeight="1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0.100000000000001" customHeight="1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0.100000000000001" customHeight="1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0.100000000000001" customHeight="1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0.100000000000001" customHeight="1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0.100000000000001" customHeight="1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0.100000000000001" customHeight="1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0.100000000000001" customHeight="1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0.100000000000001" customHeight="1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0.100000000000001" customHeight="1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0.100000000000001" customHeight="1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0.100000000000001" customHeight="1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0.100000000000001" customHeight="1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0.100000000000001" customHeight="1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0.100000000000001" customHeight="1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0.100000000000001" customHeight="1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0.100000000000001" customHeight="1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0.100000000000001" customHeight="1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0.100000000000001" customHeight="1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0.100000000000001" customHeight="1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0.100000000000001" customHeight="1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0.100000000000001" customHeight="1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0.100000000000001" customHeight="1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0.100000000000001" customHeight="1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0.100000000000001" customHeight="1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0.100000000000001" customHeight="1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0.100000000000001" customHeight="1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0.100000000000001" customHeight="1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0.100000000000001" customHeight="1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0.100000000000001" customHeight="1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0.100000000000001" customHeight="1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0.100000000000001" customHeight="1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0.100000000000001" customHeight="1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0.100000000000001" customHeight="1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0.100000000000001" customHeight="1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0.100000000000001" customHeight="1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0.100000000000001" customHeight="1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0.100000000000001" customHeight="1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0.100000000000001" customHeight="1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0.100000000000001" customHeight="1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0.100000000000001" customHeight="1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0.100000000000001" customHeight="1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0.100000000000001" customHeight="1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0.100000000000001" customHeight="1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0.100000000000001" customHeight="1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0.100000000000001" customHeight="1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0.100000000000001" customHeight="1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0.100000000000001" customHeight="1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0.100000000000001" customHeight="1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0.100000000000001" customHeight="1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0.100000000000001" customHeight="1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0.100000000000001" customHeight="1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0.100000000000001" customHeight="1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0.100000000000001" customHeight="1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0.100000000000001" customHeight="1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0.100000000000001" customHeight="1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0.100000000000001" customHeight="1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0.100000000000001" customHeight="1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0.100000000000001" customHeight="1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0.100000000000001" customHeight="1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0.100000000000001" customHeight="1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0.100000000000001" customHeight="1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0.100000000000001" customHeight="1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0.100000000000001" customHeight="1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0.100000000000001" customHeight="1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0.100000000000001" customHeight="1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0.100000000000001" customHeight="1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0.100000000000001" customHeight="1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0.100000000000001" customHeight="1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0.100000000000001" customHeight="1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0.100000000000001" customHeight="1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0.100000000000001" customHeight="1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0.100000000000001" customHeight="1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0.100000000000001" customHeight="1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0.100000000000001" customHeight="1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0.100000000000001" customHeight="1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0.100000000000001" customHeight="1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0.100000000000001" customHeight="1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0.100000000000001" customHeight="1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0.100000000000001" customHeight="1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0.100000000000001" customHeight="1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0.100000000000001" customHeight="1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0.100000000000001" customHeight="1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0.100000000000001" customHeight="1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0.100000000000001" customHeight="1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0.100000000000001" customHeight="1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0.100000000000001" customHeight="1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0.100000000000001" customHeight="1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0.100000000000001" customHeight="1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0.100000000000001" customHeight="1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0.100000000000001" customHeight="1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0.100000000000001" customHeight="1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0.100000000000001" customHeight="1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0.100000000000001" customHeight="1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0.100000000000001" customHeight="1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0.100000000000001" customHeight="1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ortState xmlns:xlrd2="http://schemas.microsoft.com/office/spreadsheetml/2017/richdata2" ref="A4:D22">
    <sortCondition ref="A3:A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K11" sqref="K11"/>
    </sheetView>
  </sheetViews>
  <sheetFormatPr defaultRowHeight="14.4" x14ac:dyDescent="0.3"/>
  <cols>
    <col min="2" max="2" width="12" bestFit="1" customWidth="1"/>
    <col min="3" max="3" width="9.109375" bestFit="1" customWidth="1"/>
    <col min="4" max="4" width="11.44140625" bestFit="1" customWidth="1"/>
    <col min="5" max="5" width="8" bestFit="1" customWidth="1"/>
    <col min="8" max="8" width="71.88671875" customWidth="1"/>
    <col min="9" max="9" width="11.44140625" bestFit="1" customWidth="1"/>
    <col min="10" max="10" width="11.5546875" bestFit="1" customWidth="1"/>
  </cols>
  <sheetData>
    <row r="1" spans="1:26" ht="20.100000000000001" customHeight="1" thickBot="1" x14ac:dyDescent="0.35">
      <c r="A1" s="1" t="s">
        <v>19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100000000000001" customHeight="1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100000000000001" customHeight="1" thickBot="1" x14ac:dyDescent="0.35">
      <c r="A3" s="3"/>
      <c r="B3" s="3"/>
      <c r="C3" s="3"/>
      <c r="D3" s="3"/>
      <c r="E3" s="3"/>
      <c r="F3" s="3"/>
      <c r="G3" s="3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100000000000001" customHeight="1" thickBot="1" x14ac:dyDescent="0.3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3"/>
      <c r="G4" s="6"/>
      <c r="H4" s="14" t="s">
        <v>25</v>
      </c>
      <c r="I4" s="7"/>
      <c r="J4" s="7"/>
      <c r="K4" s="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0.100000000000001" customHeight="1" thickBot="1" x14ac:dyDescent="0.35">
      <c r="A5" s="3" t="s">
        <v>26</v>
      </c>
      <c r="B5" s="3" t="s">
        <v>27</v>
      </c>
      <c r="C5" s="3" t="s">
        <v>28</v>
      </c>
      <c r="D5" s="5">
        <v>1</v>
      </c>
      <c r="E5" s="15">
        <v>10200</v>
      </c>
      <c r="F5" s="3"/>
      <c r="G5" s="6"/>
      <c r="H5" s="16" t="s">
        <v>29</v>
      </c>
      <c r="I5" s="7">
        <f>SUMIFS(E5:E30,B5:B30,B13)</f>
        <v>37856</v>
      </c>
      <c r="J5" s="7">
        <f>AVERAGEIFS(E5:E30,B5:B30,B13)</f>
        <v>12618.666666666666</v>
      </c>
      <c r="K5" s="17">
        <f>COUNTIFS(B5:B30,B13)</f>
        <v>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.100000000000001" customHeight="1" thickBot="1" x14ac:dyDescent="0.35">
      <c r="A6" s="3" t="s">
        <v>30</v>
      </c>
      <c r="B6" s="3" t="s">
        <v>27</v>
      </c>
      <c r="C6" s="3" t="s">
        <v>28</v>
      </c>
      <c r="D6" s="5">
        <v>0</v>
      </c>
      <c r="E6" s="15">
        <v>12240</v>
      </c>
      <c r="F6" s="3"/>
      <c r="G6" s="6"/>
      <c r="H6" s="7"/>
      <c r="I6" s="7"/>
      <c r="J6" s="7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0.100000000000001" customHeight="1" thickBot="1" x14ac:dyDescent="0.35">
      <c r="A7" s="3" t="s">
        <v>31</v>
      </c>
      <c r="B7" s="3" t="s">
        <v>27</v>
      </c>
      <c r="C7" s="3" t="s">
        <v>28</v>
      </c>
      <c r="D7" s="5">
        <v>0</v>
      </c>
      <c r="E7" s="15">
        <v>14688</v>
      </c>
      <c r="F7" s="3"/>
      <c r="G7" s="6"/>
      <c r="H7" s="7"/>
      <c r="I7" s="7"/>
      <c r="J7" s="7"/>
      <c r="K7" s="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0.100000000000001" customHeight="1" thickBot="1" x14ac:dyDescent="0.35">
      <c r="A8" s="3" t="s">
        <v>32</v>
      </c>
      <c r="B8" s="3" t="s">
        <v>27</v>
      </c>
      <c r="C8" s="3" t="s">
        <v>28</v>
      </c>
      <c r="D8" s="5">
        <v>0</v>
      </c>
      <c r="E8" s="15">
        <v>17626</v>
      </c>
      <c r="F8" s="3"/>
      <c r="G8" s="6"/>
      <c r="H8" s="7"/>
      <c r="I8" s="7"/>
      <c r="J8" s="7"/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0.100000000000001" customHeight="1" thickBot="1" x14ac:dyDescent="0.35">
      <c r="A9" s="3" t="s">
        <v>33</v>
      </c>
      <c r="B9" s="3" t="s">
        <v>34</v>
      </c>
      <c r="C9" s="3" t="s">
        <v>28</v>
      </c>
      <c r="D9" s="5">
        <v>1</v>
      </c>
      <c r="E9" s="15">
        <v>10300</v>
      </c>
      <c r="F9" s="3"/>
      <c r="G9" s="6"/>
      <c r="H9" s="18" t="s">
        <v>35</v>
      </c>
      <c r="I9" s="7"/>
      <c r="J9" s="7"/>
      <c r="K9" s="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100000000000001" customHeight="1" thickBot="1" x14ac:dyDescent="0.35">
      <c r="A10" s="3" t="s">
        <v>36</v>
      </c>
      <c r="B10" s="3" t="s">
        <v>34</v>
      </c>
      <c r="C10" s="3" t="s">
        <v>28</v>
      </c>
      <c r="D10" s="5">
        <v>0</v>
      </c>
      <c r="E10" s="15">
        <v>12360</v>
      </c>
      <c r="F10" s="3"/>
      <c r="G10" s="6"/>
      <c r="H10" s="8" t="s">
        <v>22</v>
      </c>
      <c r="I10" s="8" t="s">
        <v>23</v>
      </c>
      <c r="J10" s="7"/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.100000000000001" customHeight="1" thickBot="1" x14ac:dyDescent="0.35">
      <c r="A11" s="3" t="s">
        <v>37</v>
      </c>
      <c r="B11" s="3" t="s">
        <v>34</v>
      </c>
      <c r="C11" s="3" t="s">
        <v>28</v>
      </c>
      <c r="D11" s="5">
        <v>0</v>
      </c>
      <c r="E11" s="15">
        <v>14832</v>
      </c>
      <c r="F11" s="3"/>
      <c r="G11" s="6"/>
      <c r="H11" s="16" t="s">
        <v>28</v>
      </c>
      <c r="I11" s="19">
        <v>1</v>
      </c>
      <c r="J11" s="7">
        <f>AVERAGEIFS(E5:E30,C5:C30,C5,D5:D30,D5)</f>
        <v>10250</v>
      </c>
      <c r="K11" s="1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100000000000001" customHeight="1" thickBot="1" x14ac:dyDescent="0.35">
      <c r="A12" s="3" t="s">
        <v>38</v>
      </c>
      <c r="B12" s="3" t="s">
        <v>34</v>
      </c>
      <c r="C12" s="3" t="s">
        <v>28</v>
      </c>
      <c r="D12" s="5">
        <v>0</v>
      </c>
      <c r="E12" s="15">
        <v>17798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100000000000001" customHeight="1" thickBot="1" x14ac:dyDescent="0.35">
      <c r="A13" s="3" t="s">
        <v>39</v>
      </c>
      <c r="B13" s="3" t="s">
        <v>29</v>
      </c>
      <c r="C13" s="3" t="s">
        <v>40</v>
      </c>
      <c r="D13" s="5">
        <v>1</v>
      </c>
      <c r="E13" s="15">
        <v>10400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100000000000001" customHeight="1" thickBot="1" x14ac:dyDescent="0.35">
      <c r="A14" s="3" t="s">
        <v>41</v>
      </c>
      <c r="B14" s="3" t="s">
        <v>29</v>
      </c>
      <c r="C14" s="3" t="s">
        <v>40</v>
      </c>
      <c r="D14" s="5">
        <v>0</v>
      </c>
      <c r="E14" s="15">
        <v>12480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100000000000001" customHeight="1" thickBot="1" x14ac:dyDescent="0.35">
      <c r="A15" s="3" t="s">
        <v>42</v>
      </c>
      <c r="B15" s="3" t="s">
        <v>29</v>
      </c>
      <c r="C15" s="3" t="s">
        <v>40</v>
      </c>
      <c r="D15" s="5">
        <v>0</v>
      </c>
      <c r="E15" s="15">
        <v>14976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100000000000001" customHeight="1" thickBot="1" x14ac:dyDescent="0.35">
      <c r="A16" s="3" t="s">
        <v>43</v>
      </c>
      <c r="B16" s="3" t="s">
        <v>44</v>
      </c>
      <c r="C16" s="3" t="s">
        <v>40</v>
      </c>
      <c r="D16" s="5">
        <v>0</v>
      </c>
      <c r="E16" s="15">
        <v>20000</v>
      </c>
      <c r="F16" s="3"/>
      <c r="G16" s="3"/>
      <c r="H16" s="3">
        <f>SUMIF(B5:B30,"BU_3",E5:E30)</f>
        <v>37856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100000000000001" customHeight="1" thickBot="1" x14ac:dyDescent="0.35">
      <c r="A17" s="3" t="s">
        <v>45</v>
      </c>
      <c r="B17" s="3" t="s">
        <v>44</v>
      </c>
      <c r="C17" s="3" t="s">
        <v>40</v>
      </c>
      <c r="D17" s="5">
        <v>0</v>
      </c>
      <c r="E17" s="15">
        <v>24000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.100000000000001" customHeight="1" thickBot="1" x14ac:dyDescent="0.35">
      <c r="A18" s="3" t="s">
        <v>46</v>
      </c>
      <c r="B18" s="3" t="s">
        <v>44</v>
      </c>
      <c r="C18" s="3" t="s">
        <v>40</v>
      </c>
      <c r="D18" s="5">
        <v>0</v>
      </c>
      <c r="E18" s="15">
        <v>28800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.100000000000001" customHeight="1" thickBot="1" x14ac:dyDescent="0.35">
      <c r="A19" s="3" t="s">
        <v>47</v>
      </c>
      <c r="B19" s="3" t="s">
        <v>44</v>
      </c>
      <c r="C19" s="3" t="s">
        <v>40</v>
      </c>
      <c r="D19" s="5">
        <v>0</v>
      </c>
      <c r="E19" s="15">
        <v>34560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0.100000000000001" customHeight="1" thickBot="1" x14ac:dyDescent="0.35">
      <c r="A20" s="3" t="s">
        <v>48</v>
      </c>
      <c r="B20" s="3" t="s">
        <v>49</v>
      </c>
      <c r="C20" s="3" t="s">
        <v>40</v>
      </c>
      <c r="D20" s="5">
        <v>0</v>
      </c>
      <c r="E20" s="15">
        <v>41472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.100000000000001" customHeight="1" thickBot="1" x14ac:dyDescent="0.35">
      <c r="A21" s="3" t="s">
        <v>50</v>
      </c>
      <c r="B21" s="3" t="s">
        <v>51</v>
      </c>
      <c r="C21" s="3" t="s">
        <v>52</v>
      </c>
      <c r="D21" s="5">
        <v>0</v>
      </c>
      <c r="E21" s="15">
        <v>49766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0.100000000000001" customHeight="1" thickBot="1" x14ac:dyDescent="0.35">
      <c r="A22" s="3" t="s">
        <v>53</v>
      </c>
      <c r="B22" s="3" t="s">
        <v>51</v>
      </c>
      <c r="C22" s="3" t="s">
        <v>52</v>
      </c>
      <c r="D22" s="5">
        <v>1</v>
      </c>
      <c r="E22" s="15">
        <v>10500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100000000000001" customHeight="1" thickBot="1" x14ac:dyDescent="0.35">
      <c r="A23" s="3" t="s">
        <v>54</v>
      </c>
      <c r="B23" s="3" t="s">
        <v>51</v>
      </c>
      <c r="C23" s="3" t="s">
        <v>52</v>
      </c>
      <c r="D23" s="5">
        <v>0</v>
      </c>
      <c r="E23" s="15">
        <v>21151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0.100000000000001" customHeight="1" thickBot="1" x14ac:dyDescent="0.35">
      <c r="A24" s="3" t="s">
        <v>55</v>
      </c>
      <c r="B24" s="3" t="s">
        <v>51</v>
      </c>
      <c r="C24" s="3" t="s">
        <v>52</v>
      </c>
      <c r="D24" s="5">
        <v>0</v>
      </c>
      <c r="E24" s="15">
        <v>25381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.100000000000001" customHeight="1" thickBot="1" x14ac:dyDescent="0.35">
      <c r="A25" s="3" t="s">
        <v>56</v>
      </c>
      <c r="B25" s="3" t="s">
        <v>57</v>
      </c>
      <c r="C25" s="3" t="s">
        <v>52</v>
      </c>
      <c r="D25" s="5">
        <v>0</v>
      </c>
      <c r="E25" s="15">
        <v>30457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0.100000000000001" customHeight="1" thickBot="1" x14ac:dyDescent="0.35">
      <c r="A26" s="3" t="s">
        <v>58</v>
      </c>
      <c r="B26" s="3" t="s">
        <v>57</v>
      </c>
      <c r="C26" s="3" t="s">
        <v>52</v>
      </c>
      <c r="D26" s="5">
        <v>1</v>
      </c>
      <c r="E26" s="15">
        <v>10200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0.100000000000001" customHeight="1" thickBot="1" x14ac:dyDescent="0.35">
      <c r="A27" s="3" t="s">
        <v>59</v>
      </c>
      <c r="B27" s="3" t="s">
        <v>57</v>
      </c>
      <c r="C27" s="3" t="s">
        <v>52</v>
      </c>
      <c r="D27" s="5">
        <v>0</v>
      </c>
      <c r="E27" s="15">
        <v>12240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0.100000000000001" customHeight="1" thickBot="1" x14ac:dyDescent="0.35">
      <c r="A28" s="3" t="s">
        <v>60</v>
      </c>
      <c r="B28" s="3" t="s">
        <v>57</v>
      </c>
      <c r="C28" s="3" t="s">
        <v>52</v>
      </c>
      <c r="D28" s="5">
        <v>0</v>
      </c>
      <c r="E28" s="15">
        <v>14688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0.100000000000001" customHeight="1" thickBot="1" x14ac:dyDescent="0.35">
      <c r="A29" s="3" t="s">
        <v>61</v>
      </c>
      <c r="B29" s="3" t="s">
        <v>62</v>
      </c>
      <c r="C29" s="3" t="s">
        <v>52</v>
      </c>
      <c r="D29" s="5">
        <v>1</v>
      </c>
      <c r="E29" s="15">
        <v>10100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0.100000000000001" customHeight="1" thickBot="1" x14ac:dyDescent="0.35">
      <c r="A30" s="3" t="s">
        <v>63</v>
      </c>
      <c r="B30" s="3" t="s">
        <v>62</v>
      </c>
      <c r="C30" s="3" t="s">
        <v>52</v>
      </c>
      <c r="D30" s="5">
        <v>1</v>
      </c>
      <c r="E30" s="15">
        <v>10300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100000000000001" customHeight="1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0.100000000000001" customHeight="1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0.100000000000001" customHeight="1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0.100000000000001" customHeight="1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100000000000001" customHeight="1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0.100000000000001" customHeight="1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0.100000000000001" customHeight="1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100000000000001" customHeight="1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100000000000001" customHeight="1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100000000000001" customHeight="1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100000000000001" customHeight="1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0.100000000000001" customHeight="1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.100000000000001" customHeight="1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0.100000000000001" customHeight="1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100000000000001" customHeight="1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100000000000001" customHeight="1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0.100000000000001" customHeight="1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0.100000000000001" customHeight="1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0.100000000000001" customHeight="1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.100000000000001" customHeight="1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0.100000000000001" customHeight="1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0.100000000000001" customHeight="1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.100000000000001" customHeight="1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0.100000000000001" customHeight="1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0.100000000000001" customHeight="1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0.100000000000001" customHeight="1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0.100000000000001" customHeight="1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0.100000000000001" customHeight="1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0.100000000000001" customHeight="1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0.100000000000001" customHeight="1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0.100000000000001" customHeight="1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0.100000000000001" customHeight="1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.100000000000001" customHeight="1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0.100000000000001" customHeight="1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0.100000000000001" customHeight="1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0.100000000000001" customHeight="1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0.100000000000001" customHeight="1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0.100000000000001" customHeight="1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0.100000000000001" customHeight="1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0.100000000000001" customHeight="1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0.100000000000001" customHeight="1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0.100000000000001" customHeight="1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0.100000000000001" customHeight="1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0.100000000000001" customHeight="1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0.100000000000001" customHeight="1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0.100000000000001" customHeight="1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0.100000000000001" customHeight="1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0.100000000000001" customHeight="1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0.100000000000001" customHeight="1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0.100000000000001" customHeight="1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0.100000000000001" customHeight="1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0.100000000000001" customHeight="1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0.100000000000001" customHeight="1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0.100000000000001" customHeight="1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0.100000000000001" customHeight="1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0.100000000000001" customHeight="1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0.100000000000001" customHeight="1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0.100000000000001" customHeight="1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100000000000001" customHeight="1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0.100000000000001" customHeight="1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0.100000000000001" customHeight="1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0.100000000000001" customHeight="1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0.100000000000001" customHeight="1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0.100000000000001" customHeight="1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0.100000000000001" customHeight="1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0.100000000000001" customHeight="1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0.100000000000001" customHeight="1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0.100000000000001" customHeight="1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0.100000000000001" customHeight="1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0.100000000000001" customHeight="1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0.100000000000001" customHeight="1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0.100000000000001" customHeight="1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0.100000000000001" customHeight="1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0.100000000000001" customHeight="1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0.100000000000001" customHeight="1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0.100000000000001" customHeight="1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0.100000000000001" customHeight="1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0.100000000000001" customHeight="1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0.100000000000001" customHeight="1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0.100000000000001" customHeight="1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100000000000001" customHeight="1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0.100000000000001" customHeight="1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0.100000000000001" customHeight="1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0.100000000000001" customHeight="1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0.100000000000001" customHeight="1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0.100000000000001" customHeight="1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0.100000000000001" customHeight="1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0.100000000000001" customHeight="1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0.100000000000001" customHeight="1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0.100000000000001" customHeight="1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0.100000000000001" customHeight="1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0.100000000000001" customHeight="1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0.100000000000001" customHeight="1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0.100000000000001" customHeight="1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0.100000000000001" customHeight="1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0.100000000000001" customHeight="1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0.100000000000001" customHeight="1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0.100000000000001" customHeight="1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0.100000000000001" customHeight="1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0.100000000000001" customHeight="1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.100000000000001" customHeight="1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0.100000000000001" customHeight="1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0.100000000000001" customHeight="1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0.100000000000001" customHeight="1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0.100000000000001" customHeight="1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0.100000000000001" customHeight="1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0.100000000000001" customHeight="1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0.100000000000001" customHeight="1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0.100000000000001" customHeight="1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0.100000000000001" customHeight="1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0.100000000000001" customHeight="1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0.100000000000001" customHeight="1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0.100000000000001" customHeight="1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0.100000000000001" customHeight="1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0.100000000000001" customHeight="1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0.100000000000001" customHeight="1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0.100000000000001" customHeight="1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0.100000000000001" customHeight="1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0.100000000000001" customHeight="1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0.100000000000001" customHeight="1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0.100000000000001" customHeight="1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0.100000000000001" customHeight="1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0.100000000000001" customHeight="1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0.100000000000001" customHeight="1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0.100000000000001" customHeight="1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0.100000000000001" customHeight="1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0.100000000000001" customHeight="1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0.100000000000001" customHeight="1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0.100000000000001" customHeight="1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100000000000001" customHeight="1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0.100000000000001" customHeight="1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0.100000000000001" customHeight="1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0.100000000000001" customHeight="1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0.100000000000001" customHeight="1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0.100000000000001" customHeight="1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0.100000000000001" customHeight="1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0.100000000000001" customHeight="1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0.100000000000001" customHeight="1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0.100000000000001" customHeight="1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0.100000000000001" customHeight="1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0.100000000000001" customHeight="1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0.100000000000001" customHeight="1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0.100000000000001" customHeight="1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0.100000000000001" customHeight="1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0.100000000000001" customHeight="1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0.100000000000001" customHeight="1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0.100000000000001" customHeight="1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0.100000000000001" customHeight="1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0.100000000000001" customHeight="1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0.100000000000001" customHeight="1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0.100000000000001" customHeight="1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0.100000000000001" customHeight="1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0.100000000000001" customHeight="1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0.100000000000001" customHeight="1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0.100000000000001" customHeight="1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0.100000000000001" customHeight="1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0.100000000000001" customHeight="1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0.100000000000001" customHeight="1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0.100000000000001" customHeight="1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0.100000000000001" customHeight="1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0.100000000000001" customHeight="1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0.100000000000001" customHeight="1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0.100000000000001" customHeight="1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0.100000000000001" customHeight="1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0.100000000000001" customHeight="1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0.100000000000001" customHeight="1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0.100000000000001" customHeight="1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0.100000000000001" customHeight="1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0.100000000000001" customHeight="1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0.100000000000001" customHeight="1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0.100000000000001" customHeight="1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0.100000000000001" customHeight="1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0.100000000000001" customHeight="1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0.100000000000001" customHeight="1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0.100000000000001" customHeight="1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0.100000000000001" customHeight="1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0.100000000000001" customHeight="1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0.100000000000001" customHeight="1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0.100000000000001" customHeight="1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0.100000000000001" customHeight="1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0.100000000000001" customHeight="1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0.100000000000001" customHeight="1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0.100000000000001" customHeight="1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0.100000000000001" customHeight="1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0.100000000000001" customHeight="1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0.100000000000001" customHeight="1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0.100000000000001" customHeight="1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0.100000000000001" customHeight="1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0.100000000000001" customHeight="1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0.100000000000001" customHeight="1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0.100000000000001" customHeight="1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0.100000000000001" customHeight="1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0.100000000000001" customHeight="1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0.100000000000001" customHeight="1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0.100000000000001" customHeight="1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0.100000000000001" customHeight="1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0.100000000000001" customHeight="1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0.100000000000001" customHeight="1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0.100000000000001" customHeight="1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100000000000001" customHeight="1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0.100000000000001" customHeight="1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0.100000000000001" customHeight="1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0.100000000000001" customHeight="1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0.100000000000001" customHeight="1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0.100000000000001" customHeight="1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0.100000000000001" customHeight="1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0.100000000000001" customHeight="1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0.100000000000001" customHeight="1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0.100000000000001" customHeight="1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0.100000000000001" customHeight="1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0.100000000000001" customHeight="1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0.100000000000001" customHeight="1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0.100000000000001" customHeight="1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0.100000000000001" customHeight="1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0.100000000000001" customHeight="1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0.100000000000001" customHeight="1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0.100000000000001" customHeight="1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0.100000000000001" customHeight="1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0.100000000000001" customHeight="1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0.100000000000001" customHeight="1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0.100000000000001" customHeight="1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0.100000000000001" customHeight="1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0.100000000000001" customHeight="1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0.100000000000001" customHeight="1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0.100000000000001" customHeight="1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0.100000000000001" customHeight="1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0.100000000000001" customHeight="1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0.100000000000001" customHeight="1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0.100000000000001" customHeight="1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0.100000000000001" customHeight="1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0.100000000000001" customHeight="1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0.100000000000001" customHeight="1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0.100000000000001" customHeight="1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0.100000000000001" customHeight="1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0.100000000000001" customHeight="1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0.100000000000001" customHeight="1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0.100000000000001" customHeight="1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0.100000000000001" customHeight="1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0.100000000000001" customHeight="1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0.100000000000001" customHeight="1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0.100000000000001" customHeight="1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0.100000000000001" customHeight="1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0.100000000000001" customHeight="1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0.100000000000001" customHeight="1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0.100000000000001" customHeight="1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0.100000000000001" customHeight="1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0.100000000000001" customHeight="1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0.100000000000001" customHeight="1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0.100000000000001" customHeight="1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0.100000000000001" customHeight="1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0.100000000000001" customHeight="1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0.100000000000001" customHeight="1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0.100000000000001" customHeight="1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0.100000000000001" customHeight="1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0.100000000000001" customHeight="1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0.100000000000001" customHeight="1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0.100000000000001" customHeight="1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0.100000000000001" customHeight="1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0.100000000000001" customHeight="1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0.100000000000001" customHeight="1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0.100000000000001" customHeight="1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0.100000000000001" customHeight="1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0.100000000000001" customHeight="1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0.100000000000001" customHeight="1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0.100000000000001" customHeight="1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0.100000000000001" customHeight="1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0.100000000000001" customHeight="1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0.100000000000001" customHeight="1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0.100000000000001" customHeight="1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0.100000000000001" customHeight="1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0.100000000000001" customHeight="1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0.100000000000001" customHeight="1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0.100000000000001" customHeight="1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0.100000000000001" customHeight="1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0.100000000000001" customHeight="1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0.100000000000001" customHeight="1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0.100000000000001" customHeight="1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0.100000000000001" customHeight="1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0.100000000000001" customHeight="1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0.100000000000001" customHeight="1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0.100000000000001" customHeight="1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0.100000000000001" customHeight="1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0.100000000000001" customHeight="1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0.100000000000001" customHeight="1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0.100000000000001" customHeight="1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0.100000000000001" customHeight="1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0.100000000000001" customHeight="1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0.100000000000001" customHeight="1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0.100000000000001" customHeight="1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0.100000000000001" customHeight="1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0.100000000000001" customHeight="1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0.100000000000001" customHeight="1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0.100000000000001" customHeight="1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0.100000000000001" customHeight="1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0.100000000000001" customHeight="1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0.100000000000001" customHeight="1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0.100000000000001" customHeight="1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0.100000000000001" customHeight="1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0.100000000000001" customHeight="1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0.100000000000001" customHeight="1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0.100000000000001" customHeight="1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0.100000000000001" customHeight="1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0.100000000000001" customHeight="1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0.100000000000001" customHeight="1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0.100000000000001" customHeight="1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0.100000000000001" customHeight="1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0.100000000000001" customHeight="1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0.100000000000001" customHeight="1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0.100000000000001" customHeight="1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0.100000000000001" customHeight="1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0.100000000000001" customHeight="1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0.100000000000001" customHeight="1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0.100000000000001" customHeight="1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0.100000000000001" customHeight="1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0.100000000000001" customHeight="1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0.100000000000001" customHeight="1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0.100000000000001" customHeight="1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0.100000000000001" customHeight="1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0.100000000000001" customHeight="1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0.100000000000001" customHeight="1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0.100000000000001" customHeight="1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0.100000000000001" customHeight="1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0.100000000000001" customHeight="1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0.100000000000001" customHeight="1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0.100000000000001" customHeight="1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0.100000000000001" customHeight="1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0.100000000000001" customHeight="1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0.100000000000001" customHeight="1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0.100000000000001" customHeight="1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0.100000000000001" customHeight="1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0.100000000000001" customHeight="1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0.100000000000001" customHeight="1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0.100000000000001" customHeight="1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0.100000000000001" customHeight="1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0.100000000000001" customHeight="1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0.100000000000001" customHeight="1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0.100000000000001" customHeight="1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0.100000000000001" customHeight="1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0.100000000000001" customHeight="1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0.100000000000001" customHeight="1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0.100000000000001" customHeight="1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0.100000000000001" customHeight="1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0.100000000000001" customHeight="1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0.100000000000001" customHeight="1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0.100000000000001" customHeight="1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0.100000000000001" customHeight="1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0.100000000000001" customHeight="1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0.100000000000001" customHeight="1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0.100000000000001" customHeight="1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0.100000000000001" customHeight="1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0.100000000000001" customHeight="1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0.100000000000001" customHeight="1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0.100000000000001" customHeight="1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0.100000000000001" customHeight="1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0.100000000000001" customHeight="1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0.100000000000001" customHeight="1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0.100000000000001" customHeight="1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0.100000000000001" customHeight="1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0.100000000000001" customHeight="1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0.100000000000001" customHeight="1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0.100000000000001" customHeight="1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0.100000000000001" customHeight="1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0.100000000000001" customHeight="1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0.100000000000001" customHeight="1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0.100000000000001" customHeight="1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0.100000000000001" customHeight="1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0.100000000000001" customHeight="1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0.100000000000001" customHeight="1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0.100000000000001" customHeight="1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0.100000000000001" customHeight="1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0.100000000000001" customHeight="1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0.100000000000001" customHeight="1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0.100000000000001" customHeight="1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0.100000000000001" customHeight="1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0.100000000000001" customHeight="1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0.100000000000001" customHeight="1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0.100000000000001" customHeight="1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0.100000000000001" customHeight="1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0.100000000000001" customHeight="1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0.100000000000001" customHeight="1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0.100000000000001" customHeight="1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0.100000000000001" customHeight="1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0.100000000000001" customHeight="1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0.100000000000001" customHeight="1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0.100000000000001" customHeight="1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0.100000000000001" customHeight="1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0.100000000000001" customHeight="1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0.100000000000001" customHeight="1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0.100000000000001" customHeight="1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0.100000000000001" customHeight="1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0.100000000000001" customHeight="1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0.100000000000001" customHeight="1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0.100000000000001" customHeight="1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0.100000000000001" customHeight="1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0.100000000000001" customHeight="1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0.100000000000001" customHeight="1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0.100000000000001" customHeight="1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0.100000000000001" customHeight="1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0.100000000000001" customHeight="1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0.100000000000001" customHeight="1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0.100000000000001" customHeight="1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0.100000000000001" customHeight="1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0.100000000000001" customHeight="1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0.100000000000001" customHeight="1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0.100000000000001" customHeight="1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0.100000000000001" customHeight="1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0.100000000000001" customHeight="1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0.100000000000001" customHeight="1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0.100000000000001" customHeight="1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0.100000000000001" customHeight="1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0.100000000000001" customHeight="1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0.100000000000001" customHeight="1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0.100000000000001" customHeight="1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0.100000000000001" customHeight="1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0.100000000000001" customHeight="1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0.100000000000001" customHeight="1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0.100000000000001" customHeight="1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0.100000000000001" customHeight="1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0.100000000000001" customHeight="1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0.100000000000001" customHeight="1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0.100000000000001" customHeight="1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0.100000000000001" customHeight="1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0.100000000000001" customHeight="1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0.100000000000001" customHeight="1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0.100000000000001" customHeight="1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0.100000000000001" customHeight="1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0.100000000000001" customHeight="1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0.100000000000001" customHeight="1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0.100000000000001" customHeight="1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0.100000000000001" customHeight="1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0.100000000000001" customHeight="1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0.100000000000001" customHeight="1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0.100000000000001" customHeight="1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0.100000000000001" customHeight="1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0.100000000000001" customHeight="1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0.100000000000001" customHeight="1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0.100000000000001" customHeight="1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0.100000000000001" customHeight="1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0.100000000000001" customHeight="1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0.100000000000001" customHeight="1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0.100000000000001" customHeight="1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0.100000000000001" customHeight="1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0.100000000000001" customHeight="1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0.100000000000001" customHeight="1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0.100000000000001" customHeight="1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0.100000000000001" customHeight="1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0.100000000000001" customHeight="1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0.100000000000001" customHeight="1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0.100000000000001" customHeight="1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0.100000000000001" customHeight="1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0.100000000000001" customHeight="1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0.100000000000001" customHeight="1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0.100000000000001" customHeight="1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0.100000000000001" customHeight="1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0.100000000000001" customHeight="1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0.100000000000001" customHeight="1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0.100000000000001" customHeight="1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0.100000000000001" customHeight="1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0.100000000000001" customHeight="1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0.100000000000001" customHeight="1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0.100000000000001" customHeight="1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0.100000000000001" customHeight="1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0.100000000000001" customHeight="1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0.100000000000001" customHeight="1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0.100000000000001" customHeight="1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0.100000000000001" customHeight="1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0.100000000000001" customHeight="1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0.100000000000001" customHeight="1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0.100000000000001" customHeight="1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0.100000000000001" customHeight="1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0.100000000000001" customHeight="1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0.100000000000001" customHeight="1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0.100000000000001" customHeight="1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0.100000000000001" customHeight="1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0.100000000000001" customHeight="1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0.100000000000001" customHeight="1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0.100000000000001" customHeight="1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0.100000000000001" customHeight="1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0.100000000000001" customHeight="1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0.100000000000001" customHeight="1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0.100000000000001" customHeight="1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0.100000000000001" customHeight="1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0.100000000000001" customHeight="1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0.100000000000001" customHeight="1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0.100000000000001" customHeight="1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0.100000000000001" customHeight="1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0.100000000000001" customHeight="1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0.100000000000001" customHeight="1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0.100000000000001" customHeight="1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0.100000000000001" customHeight="1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0.100000000000001" customHeight="1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0.100000000000001" customHeight="1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0.100000000000001" customHeight="1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0.100000000000001" customHeight="1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0.100000000000001" customHeight="1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0.100000000000001" customHeight="1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0.100000000000001" customHeight="1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0.100000000000001" customHeight="1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0.100000000000001" customHeight="1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0.100000000000001" customHeight="1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0.100000000000001" customHeight="1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0.100000000000001" customHeight="1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0.100000000000001" customHeight="1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0.100000000000001" customHeight="1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0.100000000000001" customHeight="1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0.100000000000001" customHeight="1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0.100000000000001" customHeight="1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0.100000000000001" customHeight="1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0.100000000000001" customHeight="1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0.100000000000001" customHeight="1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0.100000000000001" customHeight="1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0.100000000000001" customHeight="1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0.100000000000001" customHeight="1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0.100000000000001" customHeight="1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0.100000000000001" customHeight="1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0.100000000000001" customHeight="1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0.100000000000001" customHeight="1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0.100000000000001" customHeight="1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0.100000000000001" customHeight="1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0.100000000000001" customHeight="1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0.100000000000001" customHeight="1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0.100000000000001" customHeight="1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0.100000000000001" customHeight="1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0.100000000000001" customHeight="1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0.100000000000001" customHeight="1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0.100000000000001" customHeight="1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0.100000000000001" customHeight="1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0.100000000000001" customHeight="1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0.100000000000001" customHeight="1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0.100000000000001" customHeight="1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0.100000000000001" customHeight="1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0.100000000000001" customHeight="1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0.100000000000001" customHeight="1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0.100000000000001" customHeight="1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0.100000000000001" customHeight="1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0.100000000000001" customHeight="1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0.100000000000001" customHeight="1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0.100000000000001" customHeight="1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0.100000000000001" customHeight="1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0.100000000000001" customHeight="1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0.100000000000001" customHeight="1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0.100000000000001" customHeight="1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0.100000000000001" customHeight="1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0.100000000000001" customHeight="1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0.100000000000001" customHeight="1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0.100000000000001" customHeight="1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0.100000000000001" customHeight="1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0.100000000000001" customHeight="1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0.100000000000001" customHeight="1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0.100000000000001" customHeight="1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0.100000000000001" customHeight="1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0.100000000000001" customHeight="1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0.100000000000001" customHeight="1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0.100000000000001" customHeight="1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0.100000000000001" customHeight="1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0.100000000000001" customHeight="1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0.100000000000001" customHeight="1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0.100000000000001" customHeight="1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0.100000000000001" customHeight="1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0.100000000000001" customHeight="1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0.100000000000001" customHeight="1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0.100000000000001" customHeight="1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0.100000000000001" customHeight="1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0.100000000000001" customHeight="1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0.100000000000001" customHeight="1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0.100000000000001" customHeight="1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0.100000000000001" customHeight="1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0.100000000000001" customHeight="1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0.100000000000001" customHeight="1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0.100000000000001" customHeight="1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0.100000000000001" customHeight="1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0.100000000000001" customHeight="1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0.100000000000001" customHeight="1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0.100000000000001" customHeight="1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0.100000000000001" customHeight="1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0.100000000000001" customHeight="1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0.100000000000001" customHeight="1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0.100000000000001" customHeight="1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0.100000000000001" customHeight="1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0.100000000000001" customHeight="1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0.100000000000001" customHeight="1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0.100000000000001" customHeight="1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0.100000000000001" customHeight="1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0.100000000000001" customHeight="1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0.100000000000001" customHeight="1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0.100000000000001" customHeight="1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0.100000000000001" customHeight="1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0.100000000000001" customHeight="1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0.100000000000001" customHeight="1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0.100000000000001" customHeight="1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0.100000000000001" customHeight="1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0.100000000000001" customHeight="1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0.100000000000001" customHeight="1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0.100000000000001" customHeight="1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0.100000000000001" customHeight="1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0.100000000000001" customHeight="1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0.100000000000001" customHeight="1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0.100000000000001" customHeight="1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0.100000000000001" customHeight="1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0.100000000000001" customHeight="1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0.100000000000001" customHeight="1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0.100000000000001" customHeight="1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0.100000000000001" customHeight="1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0.100000000000001" customHeight="1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0.100000000000001" customHeight="1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0.100000000000001" customHeight="1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0.100000000000001" customHeight="1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0.100000000000001" customHeight="1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0.100000000000001" customHeight="1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0.100000000000001" customHeight="1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0.100000000000001" customHeight="1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0.100000000000001" customHeight="1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0.100000000000001" customHeight="1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0.100000000000001" customHeight="1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0.100000000000001" customHeight="1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0.100000000000001" customHeight="1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0.100000000000001" customHeight="1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0.100000000000001" customHeight="1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0.100000000000001" customHeight="1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0.100000000000001" customHeight="1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0.100000000000001" customHeight="1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0.100000000000001" customHeight="1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0.100000000000001" customHeight="1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0.100000000000001" customHeight="1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0.100000000000001" customHeight="1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0.100000000000001" customHeight="1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0.100000000000001" customHeight="1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0.100000000000001" customHeight="1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0.100000000000001" customHeight="1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0.100000000000001" customHeight="1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0.100000000000001" customHeight="1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0.100000000000001" customHeight="1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0.100000000000001" customHeight="1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0.100000000000001" customHeight="1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0.100000000000001" customHeight="1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0.100000000000001" customHeight="1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0.100000000000001" customHeight="1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0.100000000000001" customHeight="1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0.100000000000001" customHeight="1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0.100000000000001" customHeight="1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0.100000000000001" customHeight="1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0.100000000000001" customHeight="1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0.100000000000001" customHeight="1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0.100000000000001" customHeight="1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0.100000000000001" customHeight="1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0.100000000000001" customHeight="1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0.100000000000001" customHeight="1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0.100000000000001" customHeight="1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0.100000000000001" customHeight="1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0.100000000000001" customHeight="1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0.100000000000001" customHeight="1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0.100000000000001" customHeight="1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0.100000000000001" customHeight="1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0.100000000000001" customHeight="1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0.100000000000001" customHeight="1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0.100000000000001" customHeight="1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0.100000000000001" customHeight="1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0.100000000000001" customHeight="1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0.100000000000001" customHeight="1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0.100000000000001" customHeight="1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0.100000000000001" customHeight="1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0.100000000000001" customHeight="1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0.100000000000001" customHeight="1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0.100000000000001" customHeight="1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0.100000000000001" customHeight="1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0.100000000000001" customHeight="1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0.100000000000001" customHeight="1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0.100000000000001" customHeight="1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0.100000000000001" customHeight="1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0.100000000000001" customHeight="1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0.100000000000001" customHeight="1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0.100000000000001" customHeight="1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0.100000000000001" customHeight="1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0.100000000000001" customHeight="1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0.100000000000001" customHeight="1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0.100000000000001" customHeight="1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0.100000000000001" customHeight="1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0.100000000000001" customHeight="1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0.100000000000001" customHeight="1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0.100000000000001" customHeight="1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0.100000000000001" customHeight="1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0.100000000000001" customHeight="1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0.100000000000001" customHeight="1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0.100000000000001" customHeight="1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0.100000000000001" customHeight="1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0.100000000000001" customHeight="1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0.100000000000001" customHeight="1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0.100000000000001" customHeight="1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0.100000000000001" customHeight="1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0.100000000000001" customHeight="1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0.100000000000001" customHeight="1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0.100000000000001" customHeight="1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0.100000000000001" customHeight="1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0.100000000000001" customHeight="1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0.100000000000001" customHeight="1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0.100000000000001" customHeight="1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0.100000000000001" customHeight="1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0.100000000000001" customHeight="1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0.100000000000001" customHeight="1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0.100000000000001" customHeight="1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0.100000000000001" customHeight="1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0.100000000000001" customHeight="1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0.100000000000001" customHeight="1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0.100000000000001" customHeight="1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0.100000000000001" customHeight="1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0.100000000000001" customHeight="1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0.100000000000001" customHeight="1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0.100000000000001" customHeight="1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0.100000000000001" customHeight="1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0.100000000000001" customHeight="1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0.100000000000001" customHeight="1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0.100000000000001" customHeight="1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0.100000000000001" customHeight="1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0.100000000000001" customHeight="1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0.100000000000001" customHeight="1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0.100000000000001" customHeight="1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0.100000000000001" customHeight="1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0.100000000000001" customHeight="1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0.100000000000001" customHeight="1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0.100000000000001" customHeight="1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0.100000000000001" customHeight="1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0.100000000000001" customHeight="1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0.100000000000001" customHeight="1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0.100000000000001" customHeight="1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0.100000000000001" customHeight="1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0.100000000000001" customHeight="1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0.100000000000001" customHeight="1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0.100000000000001" customHeight="1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0.100000000000001" customHeight="1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0.100000000000001" customHeight="1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0.100000000000001" customHeight="1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0.100000000000001" customHeight="1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0.100000000000001" customHeight="1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0.100000000000001" customHeight="1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0.100000000000001" customHeight="1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0.100000000000001" customHeight="1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0.100000000000001" customHeight="1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0.100000000000001" customHeight="1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0.100000000000001" customHeight="1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0.100000000000001" customHeight="1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0.100000000000001" customHeight="1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0.100000000000001" customHeight="1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0.100000000000001" customHeight="1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0.100000000000001" customHeight="1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0.100000000000001" customHeight="1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0.100000000000001" customHeight="1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0.100000000000001" customHeight="1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0.100000000000001" customHeight="1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0.100000000000001" customHeight="1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0.100000000000001" customHeight="1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0.100000000000001" customHeight="1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0.100000000000001" customHeight="1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0.100000000000001" customHeight="1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0.100000000000001" customHeight="1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0.100000000000001" customHeight="1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0.100000000000001" customHeight="1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0.100000000000001" customHeight="1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0.100000000000001" customHeight="1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0.100000000000001" customHeight="1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0.100000000000001" customHeight="1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0.100000000000001" customHeight="1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0.100000000000001" customHeight="1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0.100000000000001" customHeight="1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0.100000000000001" customHeight="1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0.100000000000001" customHeight="1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0.100000000000001" customHeight="1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0.100000000000001" customHeight="1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0.100000000000001" customHeight="1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0.100000000000001" customHeight="1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0.100000000000001" customHeight="1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0.100000000000001" customHeight="1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0.100000000000001" customHeight="1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0.100000000000001" customHeight="1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0.100000000000001" customHeight="1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0.100000000000001" customHeight="1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0.100000000000001" customHeight="1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0.100000000000001" customHeight="1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0.100000000000001" customHeight="1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0.100000000000001" customHeight="1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0.100000000000001" customHeight="1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0.100000000000001" customHeight="1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0.100000000000001" customHeight="1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0.100000000000001" customHeight="1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0.100000000000001" customHeight="1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0.100000000000001" customHeight="1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0.100000000000001" customHeight="1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0.100000000000001" customHeight="1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0.100000000000001" customHeight="1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0.100000000000001" customHeight="1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0.100000000000001" customHeight="1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0.100000000000001" customHeight="1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0.100000000000001" customHeight="1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0.100000000000001" customHeight="1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0.100000000000001" customHeight="1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0.100000000000001" customHeight="1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0.100000000000001" customHeight="1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0.100000000000001" customHeight="1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0.100000000000001" customHeight="1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0.100000000000001" customHeight="1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0.100000000000001" customHeight="1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0.100000000000001" customHeight="1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0.100000000000001" customHeight="1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0.100000000000001" customHeight="1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0.100000000000001" customHeight="1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0.100000000000001" customHeight="1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0.100000000000001" customHeight="1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0.100000000000001" customHeight="1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0.100000000000001" customHeight="1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0.100000000000001" customHeight="1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0.100000000000001" customHeight="1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0.100000000000001" customHeight="1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0.100000000000001" customHeight="1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0.100000000000001" customHeight="1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0.100000000000001" customHeight="1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0.100000000000001" customHeight="1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0.100000000000001" customHeight="1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0.100000000000001" customHeight="1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0.100000000000001" customHeight="1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0.100000000000001" customHeight="1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0.100000000000001" customHeight="1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0.100000000000001" customHeight="1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0.100000000000001" customHeight="1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0.100000000000001" customHeight="1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0.100000000000001" customHeight="1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0.100000000000001" customHeight="1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0.100000000000001" customHeight="1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0.100000000000001" customHeight="1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0.100000000000001" customHeight="1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0.100000000000001" customHeight="1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0.100000000000001" customHeight="1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0.100000000000001" customHeight="1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0.100000000000001" customHeight="1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0.100000000000001" customHeight="1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0.100000000000001" customHeight="1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0.100000000000001" customHeight="1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0.100000000000001" customHeight="1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0.100000000000001" customHeight="1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0.100000000000001" customHeight="1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0.100000000000001" customHeight="1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0.100000000000001" customHeight="1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0.100000000000001" customHeight="1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0.100000000000001" customHeight="1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0.100000000000001" customHeight="1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0.100000000000001" customHeight="1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0.100000000000001" customHeight="1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0.100000000000001" customHeight="1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0.100000000000001" customHeight="1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0.100000000000001" customHeight="1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0.100000000000001" customHeight="1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0.100000000000001" customHeight="1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0.100000000000001" customHeight="1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0.100000000000001" customHeight="1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0.100000000000001" customHeight="1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0.100000000000001" customHeight="1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0.100000000000001" customHeight="1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0.100000000000001" customHeight="1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0.100000000000001" customHeight="1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0.100000000000001" customHeight="1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0.100000000000001" customHeight="1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0.100000000000001" customHeight="1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0.100000000000001" customHeight="1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0.100000000000001" customHeight="1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0.100000000000001" customHeight="1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0.100000000000001" customHeight="1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0.100000000000001" customHeight="1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0.100000000000001" customHeight="1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0.100000000000001" customHeight="1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0.100000000000001" customHeight="1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0.100000000000001" customHeight="1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0.100000000000001" customHeight="1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0.100000000000001" customHeight="1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0.100000000000001" customHeight="1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0.100000000000001" customHeight="1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0.100000000000001" customHeight="1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0.100000000000001" customHeight="1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0.100000000000001" customHeight="1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0.100000000000001" customHeight="1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0.100000000000001" customHeight="1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0.100000000000001" customHeight="1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0.100000000000001" customHeight="1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0.100000000000001" customHeight="1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0.100000000000001" customHeight="1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0.100000000000001" customHeight="1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0.100000000000001" customHeight="1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0.100000000000001" customHeight="1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0.100000000000001" customHeight="1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0.100000000000001" customHeight="1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0.100000000000001" customHeight="1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0.100000000000001" customHeight="1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0.100000000000001" customHeight="1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0.100000000000001" customHeight="1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0.100000000000001" customHeight="1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0.100000000000001" customHeight="1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0.100000000000001" customHeight="1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0.100000000000001" customHeight="1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0.100000000000001" customHeight="1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0.100000000000001" customHeight="1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0.100000000000001" customHeight="1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0.100000000000001" customHeight="1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0.100000000000001" customHeight="1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0.100000000000001" customHeight="1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0.100000000000001" customHeight="1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0.100000000000001" customHeight="1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0.100000000000001" customHeight="1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0.100000000000001" customHeight="1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0.100000000000001" customHeight="1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0.100000000000001" customHeight="1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0.100000000000001" customHeight="1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0.100000000000001" customHeight="1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0.100000000000001" customHeight="1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0.100000000000001" customHeight="1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0.100000000000001" customHeight="1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0.100000000000001" customHeight="1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0.100000000000001" customHeight="1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0.100000000000001" customHeight="1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0.100000000000001" customHeight="1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0.100000000000001" customHeight="1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0.100000000000001" customHeight="1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0.100000000000001" customHeight="1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0.100000000000001" customHeight="1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0.100000000000001" customHeight="1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0.100000000000001" customHeight="1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0.100000000000001" customHeight="1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0.100000000000001" customHeight="1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0.100000000000001" customHeight="1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0.100000000000001" customHeight="1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0.100000000000001" customHeight="1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0.100000000000001" customHeight="1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0.100000000000001" customHeight="1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0.100000000000001" customHeight="1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0.100000000000001" customHeight="1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0.100000000000001" customHeight="1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0.100000000000001" customHeight="1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0.100000000000001" customHeight="1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0.100000000000001" customHeight="1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0.100000000000001" customHeight="1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0.100000000000001" customHeight="1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0.100000000000001" customHeight="1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0.100000000000001" customHeight="1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0.100000000000001" customHeight="1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0.100000000000001" customHeight="1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0.100000000000001" customHeight="1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0.100000000000001" customHeight="1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0.100000000000001" customHeight="1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0.100000000000001" customHeight="1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0.100000000000001" customHeight="1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0.100000000000001" customHeight="1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0.100000000000001" customHeight="1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0.100000000000001" customHeight="1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0.100000000000001" customHeight="1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0.100000000000001" customHeight="1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0.100000000000001" customHeight="1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0.100000000000001" customHeight="1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0.100000000000001" customHeight="1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0.100000000000001" customHeight="1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0.100000000000001" customHeight="1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0.100000000000001" customHeight="1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0.100000000000001" customHeight="1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0.100000000000001" customHeight="1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0.100000000000001" customHeight="1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0.100000000000001" customHeight="1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0.100000000000001" customHeight="1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0.100000000000001" customHeight="1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0.100000000000001" customHeight="1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0.100000000000001" customHeight="1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0.100000000000001" customHeight="1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0.100000000000001" customHeight="1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0.100000000000001" customHeight="1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0.100000000000001" customHeight="1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0.100000000000001" customHeight="1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K11" sqref="K11"/>
    </sheetView>
  </sheetViews>
  <sheetFormatPr defaultRowHeight="14.4" x14ac:dyDescent="0.3"/>
  <cols>
    <col min="4" max="4" width="18.109375" customWidth="1"/>
    <col min="7" max="7" width="9.6640625" bestFit="1" customWidth="1"/>
    <col min="11" max="11" width="21.44140625" customWidth="1"/>
    <col min="12" max="12" width="9.6640625" bestFit="1" customWidth="1"/>
  </cols>
  <sheetData>
    <row r="1" spans="1:21" ht="20.100000000000001" customHeight="1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0.100000000000001" customHeight="1" thickBot="1" x14ac:dyDescent="0.35">
      <c r="A2" s="3"/>
      <c r="B2" s="3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0.100000000000001" customHeight="1" thickBot="1" x14ac:dyDescent="0.35">
      <c r="A3" s="3"/>
      <c r="B3" s="6"/>
      <c r="C3" s="9" t="s">
        <v>64</v>
      </c>
      <c r="D3" s="8" t="s">
        <v>65</v>
      </c>
      <c r="E3" s="8" t="s">
        <v>66</v>
      </c>
      <c r="F3" s="8" t="s">
        <v>67</v>
      </c>
      <c r="G3" s="8" t="s">
        <v>68</v>
      </c>
      <c r="H3" s="3"/>
      <c r="I3" s="3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</row>
    <row r="4" spans="1:21" ht="20.100000000000001" customHeight="1" thickBot="1" x14ac:dyDescent="0.35">
      <c r="A4" s="3"/>
      <c r="B4" s="6"/>
      <c r="C4" s="20" t="s">
        <v>69</v>
      </c>
      <c r="D4" s="10" t="s">
        <v>70</v>
      </c>
      <c r="E4" s="21">
        <v>45020</v>
      </c>
      <c r="F4" s="21">
        <v>10</v>
      </c>
      <c r="G4" s="21">
        <v>450200</v>
      </c>
      <c r="H4" s="3"/>
      <c r="I4" s="6"/>
      <c r="J4" s="9" t="s">
        <v>64</v>
      </c>
      <c r="K4" s="9" t="s">
        <v>65</v>
      </c>
      <c r="L4" s="8" t="s">
        <v>68</v>
      </c>
      <c r="M4" s="3"/>
      <c r="N4" s="3"/>
      <c r="O4" s="3"/>
      <c r="P4" s="3"/>
      <c r="Q4" s="3"/>
      <c r="R4" s="3"/>
      <c r="S4" s="3"/>
      <c r="T4" s="3"/>
      <c r="U4" s="3"/>
    </row>
    <row r="5" spans="1:21" ht="20.100000000000001" customHeight="1" thickBot="1" x14ac:dyDescent="0.35">
      <c r="A5" s="3"/>
      <c r="B5" s="6"/>
      <c r="C5" s="9" t="s">
        <v>71</v>
      </c>
      <c r="D5" s="7" t="s">
        <v>72</v>
      </c>
      <c r="E5" s="21">
        <v>40000</v>
      </c>
      <c r="F5" s="21">
        <v>6</v>
      </c>
      <c r="G5" s="21">
        <v>240000</v>
      </c>
      <c r="H5" s="3"/>
      <c r="I5" s="6"/>
      <c r="J5" s="9" t="s">
        <v>69</v>
      </c>
      <c r="K5" s="7" t="s">
        <v>70</v>
      </c>
      <c r="L5" s="7">
        <f>SUMIFS(G4:G14,C4:C14,J5,D4:D14,K5)</f>
        <v>1308200</v>
      </c>
      <c r="M5" s="3"/>
      <c r="N5" s="3"/>
      <c r="O5" s="3"/>
      <c r="P5" s="3"/>
      <c r="Q5" s="3"/>
      <c r="R5" s="3"/>
      <c r="S5" s="3"/>
      <c r="T5" s="3"/>
      <c r="U5" s="3"/>
    </row>
    <row r="6" spans="1:21" ht="20.100000000000001" customHeight="1" thickBot="1" x14ac:dyDescent="0.35">
      <c r="A6" s="3"/>
      <c r="B6" s="6"/>
      <c r="C6" s="9" t="s">
        <v>69</v>
      </c>
      <c r="D6" s="7" t="s">
        <v>73</v>
      </c>
      <c r="E6" s="21">
        <v>60000</v>
      </c>
      <c r="F6" s="21">
        <v>7</v>
      </c>
      <c r="G6" s="21">
        <v>420000</v>
      </c>
      <c r="H6" s="3"/>
      <c r="I6" s="6"/>
      <c r="J6" s="9" t="s">
        <v>71</v>
      </c>
      <c r="K6" s="7" t="s">
        <v>72</v>
      </c>
      <c r="L6" s="7">
        <f t="shared" ref="L6:L7" si="0">SUMIFS(G5:G15,C5:C15,J6,D5:D15,K6)</f>
        <v>690000</v>
      </c>
      <c r="M6" s="3"/>
      <c r="N6" s="3"/>
      <c r="O6" s="3"/>
      <c r="P6" s="3"/>
      <c r="Q6" s="3"/>
      <c r="R6" s="3"/>
      <c r="S6" s="3"/>
      <c r="T6" s="3"/>
      <c r="U6" s="3"/>
    </row>
    <row r="7" spans="1:21" ht="20.100000000000001" customHeight="1" thickBot="1" x14ac:dyDescent="0.35">
      <c r="A7" s="3"/>
      <c r="B7" s="6"/>
      <c r="C7" s="20" t="s">
        <v>74</v>
      </c>
      <c r="D7" s="10" t="s">
        <v>70</v>
      </c>
      <c r="E7" s="21">
        <v>78000</v>
      </c>
      <c r="F7" s="21">
        <v>8</v>
      </c>
      <c r="G7" s="21">
        <v>624000</v>
      </c>
      <c r="H7" s="3"/>
      <c r="I7" s="6"/>
      <c r="J7" s="9" t="s">
        <v>75</v>
      </c>
      <c r="K7" s="7" t="s">
        <v>73</v>
      </c>
      <c r="L7" s="7">
        <f t="shared" si="0"/>
        <v>960000</v>
      </c>
      <c r="M7" s="3"/>
      <c r="N7" s="3"/>
      <c r="O7" s="3"/>
      <c r="P7" s="3"/>
      <c r="Q7" s="3"/>
      <c r="R7" s="3"/>
      <c r="S7" s="3"/>
      <c r="T7" s="3"/>
      <c r="U7" s="3"/>
    </row>
    <row r="8" spans="1:21" ht="20.100000000000001" customHeight="1" thickBot="1" x14ac:dyDescent="0.35">
      <c r="A8" s="3"/>
      <c r="B8" s="6"/>
      <c r="C8" s="20" t="s">
        <v>71</v>
      </c>
      <c r="D8" s="10" t="s">
        <v>72</v>
      </c>
      <c r="E8" s="21">
        <v>50000</v>
      </c>
      <c r="F8" s="21">
        <v>9</v>
      </c>
      <c r="G8" s="21">
        <v>450000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20.100000000000001" customHeight="1" thickBot="1" x14ac:dyDescent="0.35">
      <c r="A9" s="3"/>
      <c r="B9" s="6"/>
      <c r="C9" s="9" t="s">
        <v>75</v>
      </c>
      <c r="D9" s="7" t="s">
        <v>73</v>
      </c>
      <c r="E9" s="21">
        <v>80000</v>
      </c>
      <c r="F9" s="21">
        <v>4</v>
      </c>
      <c r="G9" s="21">
        <v>320000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20.100000000000001" customHeight="1" thickBot="1" x14ac:dyDescent="0.35">
      <c r="A10" s="3"/>
      <c r="B10" s="6"/>
      <c r="C10" s="9" t="s">
        <v>69</v>
      </c>
      <c r="D10" s="7" t="s">
        <v>70</v>
      </c>
      <c r="E10" s="21">
        <v>77000</v>
      </c>
      <c r="F10" s="21">
        <v>6</v>
      </c>
      <c r="G10" s="21">
        <v>462000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20.100000000000001" customHeight="1" thickBot="1" x14ac:dyDescent="0.35">
      <c r="A11" s="3"/>
      <c r="B11" s="6"/>
      <c r="C11" s="20" t="s">
        <v>76</v>
      </c>
      <c r="D11" s="10" t="s">
        <v>72</v>
      </c>
      <c r="E11" s="21">
        <v>55000</v>
      </c>
      <c r="F11" s="21">
        <v>7</v>
      </c>
      <c r="G11" s="21">
        <v>385000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20.100000000000001" customHeight="1" thickBot="1" x14ac:dyDescent="0.35">
      <c r="A12" s="3"/>
      <c r="B12" s="6"/>
      <c r="C12" s="9" t="s">
        <v>75</v>
      </c>
      <c r="D12" s="7" t="s">
        <v>73</v>
      </c>
      <c r="E12" s="21">
        <v>80000</v>
      </c>
      <c r="F12" s="21">
        <v>8</v>
      </c>
      <c r="G12" s="21">
        <v>640000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20.100000000000001" customHeight="1" thickBot="1" x14ac:dyDescent="0.35">
      <c r="A13" s="3"/>
      <c r="B13" s="6"/>
      <c r="C13" s="9" t="s">
        <v>69</v>
      </c>
      <c r="D13" s="7" t="s">
        <v>70</v>
      </c>
      <c r="E13" s="21">
        <v>44000</v>
      </c>
      <c r="F13" s="21">
        <v>9</v>
      </c>
      <c r="G13" s="21">
        <v>396000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20.100000000000001" customHeight="1" thickBot="1" x14ac:dyDescent="0.35">
      <c r="A14" s="3"/>
      <c r="B14" s="6"/>
      <c r="C14" s="9" t="s">
        <v>77</v>
      </c>
      <c r="D14" s="7" t="s">
        <v>72</v>
      </c>
      <c r="E14" s="21">
        <v>55000</v>
      </c>
      <c r="F14" s="21">
        <v>10</v>
      </c>
      <c r="G14" s="21">
        <v>550000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0.100000000000001" customHeight="1" thickBo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20.100000000000001" customHeight="1" thickBo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0.100000000000001" customHeight="1" thickBo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20.100000000000001" customHeight="1" thickBo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20.100000000000001" customHeight="1" thickBo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20.100000000000001" customHeight="1" thickBo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0.100000000000001" customHeight="1" thickBo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0.100000000000001" customHeight="1" thickBo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20.100000000000001" customHeight="1" thickBo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0.100000000000001" customHeight="1" thickBo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20.100000000000001" customHeight="1" thickBo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20.100000000000001" customHeight="1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20.100000000000001" customHeight="1" thickBo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20.100000000000001" customHeight="1" thickBo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20.100000000000001" customHeight="1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0.100000000000001" customHeight="1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20.100000000000001" customHeight="1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20.100000000000001" customHeight="1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0.100000000000001" customHeight="1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20.100000000000001" customHeight="1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20.100000000000001" customHeight="1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20.100000000000001" customHeight="1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0.100000000000001" customHeight="1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20.100000000000001" customHeight="1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0.100000000000001" customHeight="1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0.100000000000001" customHeight="1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20.100000000000001" customHeight="1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20.100000000000001" customHeight="1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20.100000000000001" customHeight="1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0.100000000000001" customHeight="1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0.100000000000001" customHeight="1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20.100000000000001" customHeight="1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0.100000000000001" customHeight="1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20.100000000000001" customHeight="1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0.100000000000001" customHeight="1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20.100000000000001" customHeight="1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20.100000000000001" customHeight="1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20.100000000000001" customHeight="1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20.100000000000001" customHeight="1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20.100000000000001" customHeight="1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0.100000000000001" customHeight="1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0.100000000000001" customHeight="1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20.100000000000001" customHeight="1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20.100000000000001" customHeight="1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20.100000000000001" customHeight="1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20.100000000000001" customHeight="1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0.100000000000001" customHeight="1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20.100000000000001" customHeight="1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20.100000000000001" customHeight="1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20.100000000000001" customHeight="1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20.100000000000001" customHeight="1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20.100000000000001" customHeight="1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20.100000000000001" customHeight="1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20.100000000000001" customHeight="1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20.100000000000001" customHeight="1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20.100000000000001" customHeight="1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20.100000000000001" customHeight="1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20.100000000000001" customHeight="1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20.100000000000001" customHeight="1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20.100000000000001" customHeight="1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20.100000000000001" customHeight="1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20.100000000000001" customHeight="1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20.100000000000001" customHeight="1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20.100000000000001" customHeight="1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20.100000000000001" customHeight="1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20.100000000000001" customHeight="1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20.100000000000001" customHeight="1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20.100000000000001" customHeight="1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20.100000000000001" customHeight="1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20.100000000000001" customHeight="1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20.100000000000001" customHeight="1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20.100000000000001" customHeight="1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20.100000000000001" customHeight="1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20.100000000000001" customHeight="1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20.100000000000001" customHeight="1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20.100000000000001" customHeight="1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20.100000000000001" customHeight="1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20.100000000000001" customHeight="1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20.100000000000001" customHeight="1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20.100000000000001" customHeight="1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20.100000000000001" customHeight="1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20.100000000000001" customHeight="1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20.100000000000001" customHeight="1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20.100000000000001" customHeight="1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20.100000000000001" customHeight="1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20.100000000000001" customHeight="1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20.100000000000001" customHeight="1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20.100000000000001" customHeight="1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20.100000000000001" customHeight="1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20.100000000000001" customHeight="1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20.100000000000001" customHeight="1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20.100000000000001" customHeight="1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20.100000000000001" customHeight="1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20.100000000000001" customHeight="1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20.100000000000001" customHeight="1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20.100000000000001" customHeight="1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20.100000000000001" customHeight="1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20.100000000000001" customHeight="1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20.100000000000001" customHeight="1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20.100000000000001" customHeight="1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20.100000000000001" customHeight="1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20.100000000000001" customHeight="1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20.100000000000001" customHeight="1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20.100000000000001" customHeight="1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20.100000000000001" customHeight="1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20.100000000000001" customHeight="1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20.100000000000001" customHeight="1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20.100000000000001" customHeight="1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20.100000000000001" customHeight="1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20.100000000000001" customHeight="1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20.100000000000001" customHeight="1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20.100000000000001" customHeight="1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20.100000000000001" customHeight="1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20.100000000000001" customHeight="1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20.100000000000001" customHeight="1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20.100000000000001" customHeight="1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20.100000000000001" customHeight="1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20.100000000000001" customHeight="1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20.100000000000001" customHeight="1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20.100000000000001" customHeight="1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20.100000000000001" customHeight="1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20.100000000000001" customHeight="1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20.100000000000001" customHeight="1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20.100000000000001" customHeight="1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20.100000000000001" customHeight="1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20.100000000000001" customHeight="1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20.100000000000001" customHeight="1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20.100000000000001" customHeight="1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20.100000000000001" customHeight="1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20.100000000000001" customHeight="1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20.100000000000001" customHeight="1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20.100000000000001" customHeight="1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20.100000000000001" customHeight="1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20.100000000000001" customHeight="1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20.100000000000001" customHeight="1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20.100000000000001" customHeight="1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20.100000000000001" customHeight="1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20.100000000000001" customHeight="1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20.100000000000001" customHeight="1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20.100000000000001" customHeight="1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20.100000000000001" customHeight="1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20.100000000000001" customHeight="1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20.100000000000001" customHeight="1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20.100000000000001" customHeight="1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20.100000000000001" customHeight="1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20.100000000000001" customHeight="1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20.100000000000001" customHeight="1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20.100000000000001" customHeight="1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20.100000000000001" customHeight="1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20.100000000000001" customHeight="1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20.100000000000001" customHeight="1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20.100000000000001" customHeight="1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20.100000000000001" customHeight="1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20.100000000000001" customHeight="1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20.100000000000001" customHeight="1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20.100000000000001" customHeight="1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20.100000000000001" customHeight="1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20.100000000000001" customHeight="1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20.100000000000001" customHeight="1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20.100000000000001" customHeight="1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20.100000000000001" customHeight="1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20.100000000000001" customHeight="1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20.100000000000001" customHeight="1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20.100000000000001" customHeight="1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20.100000000000001" customHeight="1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20.100000000000001" customHeight="1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20.100000000000001" customHeight="1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20.100000000000001" customHeight="1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20.100000000000001" customHeight="1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20.100000000000001" customHeight="1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20.100000000000001" customHeight="1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20.100000000000001" customHeight="1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20.100000000000001" customHeight="1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20.100000000000001" customHeight="1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20.100000000000001" customHeight="1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20.100000000000001" customHeight="1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20.100000000000001" customHeight="1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20.100000000000001" customHeight="1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20.100000000000001" customHeight="1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20.100000000000001" customHeight="1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20.100000000000001" customHeight="1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20.100000000000001" customHeight="1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20.100000000000001" customHeight="1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20.100000000000001" customHeight="1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20.100000000000001" customHeight="1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20.100000000000001" customHeight="1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20.100000000000001" customHeight="1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20.100000000000001" customHeight="1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20.100000000000001" customHeight="1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20.100000000000001" customHeight="1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20.100000000000001" customHeight="1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20.100000000000001" customHeight="1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20.100000000000001" customHeight="1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20.100000000000001" customHeight="1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20.100000000000001" customHeight="1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20.100000000000001" customHeight="1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20.100000000000001" customHeight="1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20.100000000000001" customHeight="1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20.100000000000001" customHeight="1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20.100000000000001" customHeight="1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20.100000000000001" customHeight="1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20.100000000000001" customHeight="1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20.100000000000001" customHeight="1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20.100000000000001" customHeight="1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20.100000000000001" customHeight="1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20.100000000000001" customHeight="1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20.100000000000001" customHeight="1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20.100000000000001" customHeight="1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20.100000000000001" customHeight="1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20.100000000000001" customHeight="1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20.100000000000001" customHeight="1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20.100000000000001" customHeight="1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20.100000000000001" customHeight="1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20.100000000000001" customHeight="1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20.100000000000001" customHeight="1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20.100000000000001" customHeight="1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20.100000000000001" customHeight="1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20.100000000000001" customHeight="1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20.100000000000001" customHeight="1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20.100000000000001" customHeight="1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20.100000000000001" customHeight="1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20.100000000000001" customHeight="1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20.100000000000001" customHeight="1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20.100000000000001" customHeight="1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20.100000000000001" customHeight="1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20.100000000000001" customHeight="1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20.100000000000001" customHeight="1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20.100000000000001" customHeight="1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20.100000000000001" customHeight="1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20.100000000000001" customHeight="1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20.100000000000001" customHeight="1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20.100000000000001" customHeight="1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20.100000000000001" customHeight="1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20.100000000000001" customHeight="1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20.100000000000001" customHeight="1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20.100000000000001" customHeight="1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20.100000000000001" customHeight="1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20.100000000000001" customHeight="1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20.100000000000001" customHeight="1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20.100000000000001" customHeight="1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20.100000000000001" customHeight="1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20.100000000000001" customHeight="1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20.100000000000001" customHeight="1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20.100000000000001" customHeight="1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20.100000000000001" customHeight="1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20.100000000000001" customHeight="1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20.100000000000001" customHeight="1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20.100000000000001" customHeight="1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20.100000000000001" customHeight="1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20.100000000000001" customHeight="1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20.100000000000001" customHeight="1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20.100000000000001" customHeight="1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20.100000000000001" customHeight="1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20.100000000000001" customHeight="1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20.100000000000001" customHeight="1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20.100000000000001" customHeight="1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20.100000000000001" customHeight="1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20.100000000000001" customHeight="1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20.100000000000001" customHeight="1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20.100000000000001" customHeight="1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20.100000000000001" customHeight="1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20.100000000000001" customHeight="1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20.100000000000001" customHeight="1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20.100000000000001" customHeight="1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20.100000000000001" customHeight="1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20.100000000000001" customHeight="1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20.100000000000001" customHeight="1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20.100000000000001" customHeight="1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20.100000000000001" customHeight="1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20.100000000000001" customHeight="1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20.100000000000001" customHeight="1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20.100000000000001" customHeight="1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20.100000000000001" customHeight="1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20.100000000000001" customHeight="1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20.100000000000001" customHeight="1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20.100000000000001" customHeight="1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20.100000000000001" customHeight="1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20.100000000000001" customHeight="1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20.100000000000001" customHeight="1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20.100000000000001" customHeight="1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20.100000000000001" customHeight="1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20.100000000000001" customHeight="1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20.100000000000001" customHeight="1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20.100000000000001" customHeight="1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20.100000000000001" customHeight="1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20.100000000000001" customHeight="1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20.100000000000001" customHeight="1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20.100000000000001" customHeight="1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20.100000000000001" customHeight="1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20.100000000000001" customHeight="1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20.100000000000001" customHeight="1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20.100000000000001" customHeight="1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20.100000000000001" customHeight="1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20.100000000000001" customHeight="1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20.100000000000001" customHeight="1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20.100000000000001" customHeight="1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20.100000000000001" customHeight="1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20.100000000000001" customHeight="1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20.100000000000001" customHeight="1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20.100000000000001" customHeight="1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20.100000000000001" customHeight="1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20.100000000000001" customHeight="1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20.100000000000001" customHeight="1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20.100000000000001" customHeight="1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20.100000000000001" customHeight="1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20.100000000000001" customHeight="1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20.100000000000001" customHeight="1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20.100000000000001" customHeight="1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20.100000000000001" customHeight="1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20.100000000000001" customHeight="1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20.100000000000001" customHeight="1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20.100000000000001" customHeight="1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20.100000000000001" customHeight="1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20.100000000000001" customHeight="1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20.100000000000001" customHeight="1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20.100000000000001" customHeight="1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20.100000000000001" customHeight="1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20.100000000000001" customHeight="1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20.100000000000001" customHeight="1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20.100000000000001" customHeight="1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20.100000000000001" customHeight="1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20.100000000000001" customHeight="1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20.100000000000001" customHeight="1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20.100000000000001" customHeight="1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20.100000000000001" customHeight="1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20.100000000000001" customHeight="1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20.100000000000001" customHeight="1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20.100000000000001" customHeight="1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20.100000000000001" customHeight="1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20.100000000000001" customHeight="1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20.100000000000001" customHeight="1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20.100000000000001" customHeight="1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20.100000000000001" customHeight="1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20.100000000000001" customHeight="1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20.100000000000001" customHeight="1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20.100000000000001" customHeight="1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20.100000000000001" customHeight="1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20.100000000000001" customHeight="1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20.100000000000001" customHeight="1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20.100000000000001" customHeight="1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20.100000000000001" customHeight="1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20.100000000000001" customHeight="1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20.100000000000001" customHeight="1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20.100000000000001" customHeight="1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20.100000000000001" customHeight="1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20.100000000000001" customHeight="1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20.100000000000001" customHeight="1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20.100000000000001" customHeight="1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20.100000000000001" customHeight="1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20.100000000000001" customHeight="1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20.100000000000001" customHeight="1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20.100000000000001" customHeight="1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20.100000000000001" customHeight="1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20.100000000000001" customHeight="1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20.100000000000001" customHeight="1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20.100000000000001" customHeight="1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20.100000000000001" customHeight="1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20.100000000000001" customHeight="1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20.100000000000001" customHeight="1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20.100000000000001" customHeight="1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20.100000000000001" customHeight="1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20.100000000000001" customHeight="1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20.100000000000001" customHeight="1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20.100000000000001" customHeight="1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20.100000000000001" customHeight="1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20.100000000000001" customHeight="1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20.100000000000001" customHeight="1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20.100000000000001" customHeight="1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20.100000000000001" customHeight="1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20.100000000000001" customHeight="1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20.100000000000001" customHeight="1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20.100000000000001" customHeight="1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20.100000000000001" customHeight="1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20.100000000000001" customHeight="1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20.100000000000001" customHeight="1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20.100000000000001" customHeight="1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20.100000000000001" customHeight="1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20.100000000000001" customHeight="1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20.100000000000001" customHeight="1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20.100000000000001" customHeight="1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20.100000000000001" customHeight="1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20.100000000000001" customHeight="1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20.100000000000001" customHeight="1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20.100000000000001" customHeight="1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20.100000000000001" customHeight="1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20.100000000000001" customHeight="1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20.100000000000001" customHeight="1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20.100000000000001" customHeight="1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20.100000000000001" customHeight="1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20.100000000000001" customHeight="1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20.100000000000001" customHeight="1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20.100000000000001" customHeight="1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20.100000000000001" customHeight="1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20.100000000000001" customHeight="1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20.100000000000001" customHeight="1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20.100000000000001" customHeight="1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20.100000000000001" customHeight="1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20.100000000000001" customHeight="1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20.100000000000001" customHeight="1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20.100000000000001" customHeight="1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20.100000000000001" customHeight="1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20.100000000000001" customHeight="1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20.100000000000001" customHeight="1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20.100000000000001" customHeight="1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20.100000000000001" customHeight="1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20.100000000000001" customHeight="1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20.100000000000001" customHeight="1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20.100000000000001" customHeight="1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20.100000000000001" customHeight="1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20.100000000000001" customHeight="1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20.100000000000001" customHeight="1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20.100000000000001" customHeight="1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20.100000000000001" customHeight="1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20.100000000000001" customHeight="1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20.100000000000001" customHeight="1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20.100000000000001" customHeight="1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20.100000000000001" customHeight="1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20.100000000000001" customHeight="1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20.100000000000001" customHeight="1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20.100000000000001" customHeight="1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20.100000000000001" customHeight="1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20.100000000000001" customHeight="1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20.100000000000001" customHeight="1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20.100000000000001" customHeight="1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20.100000000000001" customHeight="1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20.100000000000001" customHeight="1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20.100000000000001" customHeight="1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20.100000000000001" customHeight="1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20.100000000000001" customHeight="1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20.100000000000001" customHeight="1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20.100000000000001" customHeight="1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20.100000000000001" customHeight="1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20.100000000000001" customHeight="1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20.100000000000001" customHeight="1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20.100000000000001" customHeight="1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20.100000000000001" customHeight="1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20.100000000000001" customHeight="1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20.100000000000001" customHeight="1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20.100000000000001" customHeight="1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20.100000000000001" customHeight="1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20.100000000000001" customHeight="1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20.100000000000001" customHeight="1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20.100000000000001" customHeight="1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20.100000000000001" customHeight="1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20.100000000000001" customHeight="1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20.100000000000001" customHeight="1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20.100000000000001" customHeight="1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20.100000000000001" customHeight="1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20.100000000000001" customHeight="1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20.100000000000001" customHeight="1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20.100000000000001" customHeight="1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20.100000000000001" customHeight="1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20.100000000000001" customHeight="1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20.100000000000001" customHeight="1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20.100000000000001" customHeight="1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20.100000000000001" customHeight="1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20.100000000000001" customHeight="1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20.100000000000001" customHeight="1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20.100000000000001" customHeight="1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20.100000000000001" customHeight="1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20.100000000000001" customHeight="1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20.100000000000001" customHeight="1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20.100000000000001" customHeight="1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20.100000000000001" customHeight="1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20.100000000000001" customHeight="1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20.100000000000001" customHeight="1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20.100000000000001" customHeight="1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20.100000000000001" customHeight="1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20.100000000000001" customHeight="1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20.100000000000001" customHeight="1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20.100000000000001" customHeight="1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20.100000000000001" customHeight="1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20.100000000000001" customHeight="1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20.100000000000001" customHeight="1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20.100000000000001" customHeight="1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20.100000000000001" customHeight="1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20.100000000000001" customHeight="1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20.100000000000001" customHeight="1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20.100000000000001" customHeight="1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20.100000000000001" customHeight="1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20.100000000000001" customHeight="1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20.100000000000001" customHeight="1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20.100000000000001" customHeight="1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20.100000000000001" customHeight="1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20.100000000000001" customHeight="1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20.100000000000001" customHeight="1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20.100000000000001" customHeight="1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20.100000000000001" customHeight="1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20.100000000000001" customHeight="1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20.100000000000001" customHeight="1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20.100000000000001" customHeight="1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20.100000000000001" customHeight="1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20.100000000000001" customHeight="1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20.100000000000001" customHeight="1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20.100000000000001" customHeight="1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20.100000000000001" customHeight="1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20.100000000000001" customHeight="1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20.100000000000001" customHeight="1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20.100000000000001" customHeight="1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20.100000000000001" customHeight="1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20.100000000000001" customHeight="1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20.100000000000001" customHeight="1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20.100000000000001" customHeight="1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20.100000000000001" customHeight="1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20.100000000000001" customHeight="1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20.100000000000001" customHeight="1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20.100000000000001" customHeight="1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20.100000000000001" customHeight="1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20.100000000000001" customHeight="1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20.100000000000001" customHeight="1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20.100000000000001" customHeight="1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20.100000000000001" customHeight="1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20.100000000000001" customHeight="1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20.100000000000001" customHeight="1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20.100000000000001" customHeight="1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20.100000000000001" customHeight="1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20.100000000000001" customHeight="1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20.100000000000001" customHeight="1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20.100000000000001" customHeight="1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20.100000000000001" customHeight="1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20.100000000000001" customHeight="1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20.100000000000001" customHeight="1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20.100000000000001" customHeight="1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20.100000000000001" customHeight="1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20.100000000000001" customHeight="1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20.100000000000001" customHeight="1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20.100000000000001" customHeight="1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20.100000000000001" customHeight="1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20.100000000000001" customHeight="1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20.100000000000001" customHeight="1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20.100000000000001" customHeight="1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20.100000000000001" customHeight="1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20.100000000000001" customHeight="1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20.100000000000001" customHeight="1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20.100000000000001" customHeight="1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20.100000000000001" customHeight="1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20.100000000000001" customHeight="1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20.100000000000001" customHeight="1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20.100000000000001" customHeight="1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20.100000000000001" customHeight="1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20.100000000000001" customHeight="1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20.100000000000001" customHeight="1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20.100000000000001" customHeight="1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20.100000000000001" customHeight="1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20.100000000000001" customHeight="1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20.100000000000001" customHeight="1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20.100000000000001" customHeight="1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20.100000000000001" customHeight="1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20.100000000000001" customHeight="1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20.100000000000001" customHeight="1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20.100000000000001" customHeight="1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20.100000000000001" customHeight="1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20.100000000000001" customHeight="1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20.100000000000001" customHeight="1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20.100000000000001" customHeight="1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20.100000000000001" customHeight="1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20.100000000000001" customHeight="1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20.100000000000001" customHeight="1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20.100000000000001" customHeight="1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20.100000000000001" customHeight="1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20.100000000000001" customHeight="1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20.100000000000001" customHeight="1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20.100000000000001" customHeight="1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20.100000000000001" customHeight="1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20.100000000000001" customHeight="1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20.100000000000001" customHeight="1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20.100000000000001" customHeight="1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20.100000000000001" customHeight="1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20.100000000000001" customHeight="1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20.100000000000001" customHeight="1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20.100000000000001" customHeight="1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20.100000000000001" customHeight="1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20.100000000000001" customHeight="1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20.100000000000001" customHeight="1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20.100000000000001" customHeight="1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20.100000000000001" customHeight="1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20.100000000000001" customHeight="1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20.100000000000001" customHeight="1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20.100000000000001" customHeight="1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20.100000000000001" customHeight="1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20.100000000000001" customHeight="1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20.100000000000001" customHeight="1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20.100000000000001" customHeight="1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20.100000000000001" customHeight="1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20.100000000000001" customHeight="1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20.100000000000001" customHeight="1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20.100000000000001" customHeight="1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20.100000000000001" customHeight="1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20.100000000000001" customHeight="1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20.100000000000001" customHeight="1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20.100000000000001" customHeight="1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20.100000000000001" customHeight="1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20.100000000000001" customHeight="1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20.100000000000001" customHeight="1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20.100000000000001" customHeight="1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20.100000000000001" customHeight="1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20.100000000000001" customHeight="1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20.100000000000001" customHeight="1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20.100000000000001" customHeight="1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20.100000000000001" customHeight="1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20.100000000000001" customHeight="1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20.100000000000001" customHeight="1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20.100000000000001" customHeight="1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20.100000000000001" customHeight="1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20.100000000000001" customHeight="1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20.100000000000001" customHeight="1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20.100000000000001" customHeight="1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20.100000000000001" customHeight="1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20.100000000000001" customHeight="1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20.100000000000001" customHeight="1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20.100000000000001" customHeight="1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20.100000000000001" customHeight="1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20.100000000000001" customHeight="1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20.100000000000001" customHeight="1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20.100000000000001" customHeight="1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20.100000000000001" customHeight="1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20.100000000000001" customHeight="1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20.100000000000001" customHeight="1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20.100000000000001" customHeight="1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20.100000000000001" customHeight="1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20.100000000000001" customHeight="1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20.100000000000001" customHeight="1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20.100000000000001" customHeight="1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20.100000000000001" customHeight="1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20.100000000000001" customHeight="1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20.100000000000001" customHeight="1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20.100000000000001" customHeight="1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20.100000000000001" customHeight="1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20.100000000000001" customHeight="1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20.100000000000001" customHeight="1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20.100000000000001" customHeight="1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20.100000000000001" customHeight="1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20.100000000000001" customHeight="1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20.100000000000001" customHeight="1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20.100000000000001" customHeight="1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20.100000000000001" customHeight="1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20.100000000000001" customHeight="1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20.100000000000001" customHeight="1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20.100000000000001" customHeight="1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20.100000000000001" customHeight="1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20.100000000000001" customHeight="1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20.100000000000001" customHeight="1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20.100000000000001" customHeight="1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20.100000000000001" customHeight="1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20.100000000000001" customHeight="1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20.100000000000001" customHeight="1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20.100000000000001" customHeight="1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20.100000000000001" customHeight="1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20.100000000000001" customHeight="1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20.100000000000001" customHeight="1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20.100000000000001" customHeight="1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20.100000000000001" customHeight="1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20.100000000000001" customHeight="1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20.100000000000001" customHeight="1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20.100000000000001" customHeight="1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20.100000000000001" customHeight="1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20.100000000000001" customHeight="1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20.100000000000001" customHeight="1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20.100000000000001" customHeight="1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20.100000000000001" customHeight="1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20.100000000000001" customHeight="1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20.100000000000001" customHeight="1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20.100000000000001" customHeight="1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20.100000000000001" customHeight="1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20.100000000000001" customHeight="1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20.100000000000001" customHeight="1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20.100000000000001" customHeight="1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20.100000000000001" customHeight="1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20.100000000000001" customHeight="1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20.100000000000001" customHeight="1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20.100000000000001" customHeight="1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20.100000000000001" customHeight="1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20.100000000000001" customHeight="1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20.100000000000001" customHeight="1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20.100000000000001" customHeight="1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20.100000000000001" customHeight="1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20.100000000000001" customHeight="1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20.100000000000001" customHeight="1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20.100000000000001" customHeight="1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20.100000000000001" customHeight="1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20.100000000000001" customHeight="1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20.100000000000001" customHeight="1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20.100000000000001" customHeight="1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20.100000000000001" customHeight="1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20.100000000000001" customHeight="1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20.100000000000001" customHeight="1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20.100000000000001" customHeight="1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20.100000000000001" customHeight="1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20.100000000000001" customHeight="1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20.100000000000001" customHeight="1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20.100000000000001" customHeight="1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20.100000000000001" customHeight="1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20.100000000000001" customHeight="1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20.100000000000001" customHeight="1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20.100000000000001" customHeight="1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20.100000000000001" customHeight="1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20.100000000000001" customHeight="1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20.100000000000001" customHeight="1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20.100000000000001" customHeight="1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20.100000000000001" customHeight="1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20.100000000000001" customHeight="1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20.100000000000001" customHeight="1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20.100000000000001" customHeight="1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20.100000000000001" customHeight="1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20.100000000000001" customHeight="1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20.100000000000001" customHeight="1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20.100000000000001" customHeight="1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20.100000000000001" customHeight="1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20.100000000000001" customHeight="1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20.100000000000001" customHeight="1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20.100000000000001" customHeight="1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20.100000000000001" customHeight="1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20.100000000000001" customHeight="1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20.100000000000001" customHeight="1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20.100000000000001" customHeight="1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20.100000000000001" customHeight="1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20.100000000000001" customHeight="1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20.100000000000001" customHeight="1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20.100000000000001" customHeight="1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20.100000000000001" customHeight="1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20.100000000000001" customHeight="1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20.100000000000001" customHeight="1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20.100000000000001" customHeight="1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20.100000000000001" customHeight="1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20.100000000000001" customHeight="1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20.100000000000001" customHeight="1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20.100000000000001" customHeight="1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20.100000000000001" customHeight="1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20.100000000000001" customHeight="1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20.100000000000001" customHeight="1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20.100000000000001" customHeight="1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20.100000000000001" customHeight="1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20.100000000000001" customHeight="1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20.100000000000001" customHeight="1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20.100000000000001" customHeight="1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20.100000000000001" customHeight="1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20.100000000000001" customHeight="1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20.100000000000001" customHeight="1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20.100000000000001" customHeight="1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20.100000000000001" customHeight="1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20.100000000000001" customHeight="1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20.100000000000001" customHeight="1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20.100000000000001" customHeight="1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20.100000000000001" customHeight="1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20.100000000000001" customHeight="1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20.100000000000001" customHeight="1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20.100000000000001" customHeight="1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20.100000000000001" customHeight="1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20.100000000000001" customHeight="1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20.100000000000001" customHeight="1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20.100000000000001" customHeight="1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20.100000000000001" customHeight="1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20.100000000000001" customHeight="1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20.100000000000001" customHeight="1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20.100000000000001" customHeight="1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20.100000000000001" customHeight="1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20.100000000000001" customHeight="1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20.100000000000001" customHeight="1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20.100000000000001" customHeight="1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20.100000000000001" customHeight="1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20.100000000000001" customHeight="1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20.100000000000001" customHeight="1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20.100000000000001" customHeight="1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20.100000000000001" customHeight="1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20.100000000000001" customHeight="1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20.100000000000001" customHeight="1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20.100000000000001" customHeight="1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20.100000000000001" customHeight="1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20.100000000000001" customHeight="1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20.100000000000001" customHeight="1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20.100000000000001" customHeight="1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20.100000000000001" customHeight="1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20.100000000000001" customHeight="1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20.100000000000001" customHeight="1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20.100000000000001" customHeight="1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20.100000000000001" customHeight="1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20.100000000000001" customHeight="1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20.100000000000001" customHeight="1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20.100000000000001" customHeight="1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20.100000000000001" customHeight="1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20.100000000000001" customHeight="1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20.100000000000001" customHeight="1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20.100000000000001" customHeight="1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20.100000000000001" customHeight="1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20.100000000000001" customHeight="1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20.100000000000001" customHeight="1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20.100000000000001" customHeight="1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20.100000000000001" customHeight="1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20.100000000000001" customHeight="1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20.100000000000001" customHeight="1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20.100000000000001" customHeight="1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20.100000000000001" customHeight="1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20.100000000000001" customHeight="1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20.100000000000001" customHeight="1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20.100000000000001" customHeight="1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20.100000000000001" customHeight="1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20.100000000000001" customHeight="1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20.100000000000001" customHeight="1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20.100000000000001" customHeight="1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20.100000000000001" customHeight="1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20.100000000000001" customHeight="1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20.100000000000001" customHeight="1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20.100000000000001" customHeight="1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20.100000000000001" customHeight="1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20.100000000000001" customHeight="1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20.100000000000001" customHeight="1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20.100000000000001" customHeight="1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20.100000000000001" customHeight="1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20.100000000000001" customHeight="1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20.100000000000001" customHeight="1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20.100000000000001" customHeight="1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20.100000000000001" customHeight="1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20.100000000000001" customHeight="1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20.100000000000001" customHeight="1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20.100000000000001" customHeight="1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20.100000000000001" customHeight="1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20.100000000000001" customHeight="1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20.100000000000001" customHeight="1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20.100000000000001" customHeight="1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20.100000000000001" customHeight="1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20.100000000000001" customHeight="1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20.100000000000001" customHeight="1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20.100000000000001" customHeight="1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20.100000000000001" customHeight="1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20.100000000000001" customHeight="1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20.100000000000001" customHeight="1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20.100000000000001" customHeight="1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20.100000000000001" customHeight="1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20.100000000000001" customHeight="1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20.100000000000001" customHeight="1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20.100000000000001" customHeight="1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20.100000000000001" customHeight="1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20.100000000000001" customHeight="1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20.100000000000001" customHeight="1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20.100000000000001" customHeight="1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20.100000000000001" customHeight="1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20.100000000000001" customHeight="1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20.100000000000001" customHeight="1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20.100000000000001" customHeight="1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20.100000000000001" customHeight="1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20.100000000000001" customHeight="1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20.100000000000001" customHeight="1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20.100000000000001" customHeight="1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20.100000000000001" customHeight="1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20.100000000000001" customHeight="1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20.100000000000001" customHeight="1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20.100000000000001" customHeight="1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20.100000000000001" customHeight="1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20.100000000000001" customHeight="1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20.100000000000001" customHeight="1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20.100000000000001" customHeight="1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20.100000000000001" customHeight="1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20.100000000000001" customHeight="1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20.100000000000001" customHeight="1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20.100000000000001" customHeight="1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20.100000000000001" customHeight="1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20.100000000000001" customHeight="1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20.100000000000001" customHeight="1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20.100000000000001" customHeight="1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20.100000000000001" customHeight="1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20.100000000000001" customHeight="1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20.100000000000001" customHeight="1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20.100000000000001" customHeight="1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20.100000000000001" customHeight="1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20.100000000000001" customHeight="1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20.100000000000001" customHeight="1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20.100000000000001" customHeight="1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20.100000000000001" customHeight="1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20.100000000000001" customHeight="1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20.100000000000001" customHeight="1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20.100000000000001" customHeight="1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20.100000000000001" customHeight="1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20.100000000000001" customHeight="1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20.100000000000001" customHeight="1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20.100000000000001" customHeight="1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20.100000000000001" customHeight="1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20.100000000000001" customHeight="1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20.100000000000001" customHeight="1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20.100000000000001" customHeight="1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20.100000000000001" customHeight="1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20.100000000000001" customHeight="1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20.100000000000001" customHeight="1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20.100000000000001" customHeight="1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20.100000000000001" customHeight="1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20.100000000000001" customHeight="1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20.100000000000001" customHeight="1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20.100000000000001" customHeight="1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20.100000000000001" customHeight="1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20.100000000000001" customHeight="1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20.100000000000001" customHeight="1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20.100000000000001" customHeight="1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20.100000000000001" customHeight="1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20.100000000000001" customHeight="1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20.100000000000001" customHeight="1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20.100000000000001" customHeight="1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20.100000000000001" customHeight="1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20.100000000000001" customHeight="1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20.100000000000001" customHeight="1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20.100000000000001" customHeight="1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20.100000000000001" customHeight="1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20.100000000000001" customHeight="1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20.100000000000001" customHeight="1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20.100000000000001" customHeight="1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20.100000000000001" customHeight="1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20.100000000000001" customHeight="1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20.100000000000001" customHeight="1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20.100000000000001" customHeight="1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20.100000000000001" customHeight="1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20.100000000000001" customHeight="1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20.100000000000001" customHeight="1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20.100000000000001" customHeight="1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20.100000000000001" customHeight="1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20.100000000000001" customHeight="1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20.100000000000001" customHeight="1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20.100000000000001" customHeight="1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20.100000000000001" customHeight="1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20.100000000000001" customHeight="1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20.100000000000001" customHeight="1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20.100000000000001" customHeight="1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20.100000000000001" customHeight="1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20.100000000000001" customHeight="1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20.100000000000001" customHeight="1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20.100000000000001" customHeight="1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20.100000000000001" customHeight="1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20.100000000000001" customHeight="1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20.100000000000001" customHeight="1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20.100000000000001" customHeight="1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20.100000000000001" customHeight="1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20.100000000000001" customHeight="1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20.100000000000001" customHeight="1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20.100000000000001" customHeight="1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20.100000000000001" customHeight="1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20.100000000000001" customHeight="1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20.100000000000001" customHeight="1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20.100000000000001" customHeight="1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20.100000000000001" customHeight="1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20.100000000000001" customHeight="1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20.100000000000001" customHeight="1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20.100000000000001" customHeight="1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20.100000000000001" customHeight="1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20.100000000000001" customHeight="1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20.100000000000001" customHeight="1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20.100000000000001" customHeight="1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20.100000000000001" customHeight="1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20.100000000000001" customHeight="1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20.100000000000001" customHeight="1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20.100000000000001" customHeight="1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20.100000000000001" customHeight="1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20.100000000000001" customHeight="1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20.100000000000001" customHeight="1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20.100000000000001" customHeight="1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20.100000000000001" customHeight="1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20.100000000000001" customHeight="1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20.100000000000001" customHeight="1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20.100000000000001" customHeight="1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20.100000000000001" customHeight="1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20.100000000000001" customHeight="1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20.100000000000001" customHeight="1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20.100000000000001" customHeight="1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20.100000000000001" customHeight="1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20.100000000000001" customHeight="1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20.100000000000001" customHeight="1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20.100000000000001" customHeight="1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20.100000000000001" customHeight="1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20.100000000000001" customHeight="1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20.100000000000001" customHeight="1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20.100000000000001" customHeight="1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20.100000000000001" customHeight="1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20.100000000000001" customHeight="1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20.100000000000001" customHeight="1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20.100000000000001" customHeight="1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20.100000000000001" customHeight="1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20.100000000000001" customHeight="1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20.100000000000001" customHeight="1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20.100000000000001" customHeight="1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20.100000000000001" customHeight="1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20.100000000000001" customHeight="1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20.100000000000001" customHeight="1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20.100000000000001" customHeight="1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20.100000000000001" customHeight="1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20.100000000000001" customHeight="1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20.100000000000001" customHeight="1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20.100000000000001" customHeight="1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20.100000000000001" customHeight="1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20.100000000000001" customHeight="1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20.100000000000001" customHeight="1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Countifs Sumifs Averageifs</vt:lpstr>
      <vt:lpstr>Sum ifs - Count Ifs</vt:lpstr>
      <vt:lpstr>Sum 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2023-01-10T05:10:58Z</dcterms:created>
  <dcterms:modified xsi:type="dcterms:W3CDTF">2026-08-19T11:23:00Z</dcterms:modified>
</cp:coreProperties>
</file>