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COUNT_IF_FIS/"/>
    </mc:Choice>
  </mc:AlternateContent>
  <xr:revisionPtr revIDLastSave="12" documentId="11_68ABF3C33765431B0A36AC973484A81C5E555476" xr6:coauthVersionLast="47" xr6:coauthVersionMax="47" xr10:uidLastSave="{2C22EE14-7CD5-4021-BD25-B5F112A79C52}"/>
  <bookViews>
    <workbookView xWindow="-108" yWindow="-108" windowWidth="23256" windowHeight="13896" activeTab="2" xr2:uid="{00000000-000D-0000-FFFF-FFFF00000000}"/>
  </bookViews>
  <sheets>
    <sheet name="COUNTIF SIMPLE" sheetId="3" r:id="rId1"/>
    <sheet name="COUNTIF LEVEL 2" sheetId="1" r:id="rId2"/>
    <sheet name="COUNTIFS LEVEL 3" sheetId="2" r:id="rId3"/>
  </sheets>
  <definedNames>
    <definedName name="_xlnm._FilterDatabase" localSheetId="0" hidden="1">'COUNTIF SIMPLE'!$B$3:$C$25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J7" i="2"/>
  <c r="J5" i="2"/>
  <c r="O8" i="1"/>
  <c r="O7" i="1"/>
  <c r="F22" i="1"/>
  <c r="F14" i="3"/>
  <c r="F4" i="3"/>
  <c r="I5" i="2"/>
  <c r="O5" i="1"/>
  <c r="O4" i="1"/>
  <c r="F6" i="3"/>
  <c r="I7" i="2"/>
  <c r="I6" i="2"/>
  <c r="F8" i="3" l="1"/>
</calcChain>
</file>

<file path=xl/sharedStrings.xml><?xml version="1.0" encoding="utf-8"?>
<sst xmlns="http://schemas.openxmlformats.org/spreadsheetml/2006/main" count="192" uniqueCount="54">
  <si>
    <t>SEMINAR BOOKING SEATS</t>
  </si>
  <si>
    <t>F</t>
  </si>
  <si>
    <t>M</t>
  </si>
  <si>
    <t>Total Female Booked</t>
  </si>
  <si>
    <t>Total Male Booked</t>
  </si>
  <si>
    <t>Total Booked</t>
  </si>
  <si>
    <t>Total Remaining to Booked</t>
  </si>
  <si>
    <t>Apply Conditional Formating and Countif</t>
  </si>
  <si>
    <t>COUNTIF FORMULA</t>
  </si>
  <si>
    <t>Diffrence between countif and countifs</t>
  </si>
  <si>
    <t>countif use for single count conditions</t>
  </si>
  <si>
    <t>countifs use for multiple count conditions</t>
  </si>
  <si>
    <t>COUNTIFS</t>
  </si>
  <si>
    <t>Location</t>
  </si>
  <si>
    <t>Division</t>
  </si>
  <si>
    <t>No of Employees</t>
  </si>
  <si>
    <t xml:space="preserve">Salaries </t>
  </si>
  <si>
    <t>Total</t>
  </si>
  <si>
    <t>Pune</t>
  </si>
  <si>
    <t>Sales</t>
  </si>
  <si>
    <t>Mumbai</t>
  </si>
  <si>
    <t>Accounts</t>
  </si>
  <si>
    <t>Delhi</t>
  </si>
  <si>
    <t>Engineering</t>
  </si>
  <si>
    <t>Student Name</t>
  </si>
  <si>
    <t>Komal Jayshing Chandanshive</t>
  </si>
  <si>
    <t>Ashwini Bhagwan Kure</t>
  </si>
  <si>
    <t>RASHID RAFIK SHEIKH</t>
  </si>
  <si>
    <t>Yuvraj Santosh Lohokare</t>
  </si>
  <si>
    <t>Kaveri Prakash Gujar</t>
  </si>
  <si>
    <t>Priyanka Basavaraj Gurav</t>
  </si>
  <si>
    <t>Sonali Deepak Dhavale</t>
  </si>
  <si>
    <t>Sejal Bhanudas Ghotane</t>
  </si>
  <si>
    <t>Shruti Bhanudas Ghotane</t>
  </si>
  <si>
    <t>Preeti Vikas Bodke</t>
  </si>
  <si>
    <t>Divya Anil Jagtap</t>
  </si>
  <si>
    <t>Pradnya Balu Salve</t>
  </si>
  <si>
    <t>Sujata Shivram Mitkari</t>
  </si>
  <si>
    <t>Dhanashri Subhash Kumbhar</t>
  </si>
  <si>
    <t>Pooja Sopan Jedhe</t>
  </si>
  <si>
    <t>Shivali Chandrashekar Abanave</t>
  </si>
  <si>
    <t>Rakesh Chenaram Solanki</t>
  </si>
  <si>
    <t>Abhijeet Popat Kalbhor</t>
  </si>
  <si>
    <t>Mithilesh Sanjay Adhikari</t>
  </si>
  <si>
    <t>ishrat abdulrehman shaikh</t>
  </si>
  <si>
    <t>Uma Dattatray Bhorade</t>
  </si>
  <si>
    <t>Pallavi Pandit Talekar</t>
  </si>
  <si>
    <t>Attendance</t>
  </si>
  <si>
    <t>P</t>
  </si>
  <si>
    <t>A</t>
  </si>
  <si>
    <t>How many Students Absent</t>
  </si>
  <si>
    <t>How Many Students Present</t>
  </si>
  <si>
    <t>SR. NO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</si>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</sst>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2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3" xfId="0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22" xfId="0" applyBorder="1" applyAlignment="1">
      <alignment wrapText="1"/>
    </xf>
    <xf numFmtId="0" fontId="0" fillId="0" borderId="19" xfId="0" applyBorder="1"/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5" fillId="4" borderId="23" xfId="0" applyFont="1" applyFill="1" applyBorder="1" applyAlignment="1">
      <alignment horizontal="left" wrapText="1"/>
    </xf>
    <xf numFmtId="0" fontId="6" fillId="0" borderId="24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wrapText="1"/>
    </xf>
    <xf numFmtId="0" fontId="1" fillId="4" borderId="19" xfId="0" applyFont="1" applyFill="1" applyBorder="1"/>
    <xf numFmtId="0" fontId="1" fillId="0" borderId="19" xfId="0" applyFont="1" applyBorder="1"/>
    <xf numFmtId="0" fontId="2" fillId="0" borderId="2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5"/>
  <sheetViews>
    <sheetView workbookViewId="0">
      <selection activeCell="C4" sqref="C4"/>
    </sheetView>
  </sheetViews>
  <sheetFormatPr defaultRowHeight="14.4" x14ac:dyDescent="0.3"/>
  <cols>
    <col min="1" max="1" width="6.44140625" bestFit="1" customWidth="1"/>
    <col min="2" max="2" width="44.5546875" customWidth="1"/>
    <col min="3" max="3" width="11.33203125" style="32" bestFit="1" customWidth="1"/>
    <col min="5" max="5" width="26.44140625" bestFit="1" customWidth="1"/>
  </cols>
  <sheetData>
    <row r="2" spans="1:6" ht="15" thickBot="1" x14ac:dyDescent="0.35">
      <c r="E2" t="s">
        <v>8</v>
      </c>
    </row>
    <row r="3" spans="1:6" ht="16.2" thickBot="1" x14ac:dyDescent="0.35">
      <c r="A3" s="38" t="s">
        <v>52</v>
      </c>
      <c r="B3" s="35" t="s">
        <v>24</v>
      </c>
      <c r="C3" s="34" t="s">
        <v>47</v>
      </c>
    </row>
    <row r="4" spans="1:6" ht="16.2" thickBot="1" x14ac:dyDescent="0.35">
      <c r="A4" s="33">
        <v>1</v>
      </c>
      <c r="B4" s="36" t="s">
        <v>25</v>
      </c>
      <c r="C4" s="33" t="s">
        <v>48</v>
      </c>
      <c r="E4" t="s">
        <v>50</v>
      </c>
      <c r="F4" s="31">
        <f>COUNTIF(C4:C25,"A")</f>
        <v>10</v>
      </c>
    </row>
    <row r="5" spans="1:6" ht="16.2" thickBot="1" x14ac:dyDescent="0.35">
      <c r="A5" s="33">
        <v>2</v>
      </c>
      <c r="B5" s="36" t="s">
        <v>26</v>
      </c>
      <c r="C5" s="33" t="s">
        <v>48</v>
      </c>
    </row>
    <row r="6" spans="1:6" ht="16.2" thickBot="1" x14ac:dyDescent="0.35">
      <c r="A6" s="33">
        <v>3</v>
      </c>
      <c r="B6" s="37" t="s">
        <v>27</v>
      </c>
      <c r="C6" s="33" t="s">
        <v>48</v>
      </c>
      <c r="E6" t="s">
        <v>51</v>
      </c>
      <c r="F6" s="31">
        <f>COUNTIF(C4:C25,"P")</f>
        <v>12</v>
      </c>
    </row>
    <row r="7" spans="1:6" ht="16.2" thickBot="1" x14ac:dyDescent="0.35">
      <c r="A7" s="33">
        <v>4</v>
      </c>
      <c r="B7" s="36" t="s">
        <v>28</v>
      </c>
      <c r="C7" s="33" t="s">
        <v>49</v>
      </c>
    </row>
    <row r="8" spans="1:6" ht="16.2" thickBot="1" x14ac:dyDescent="0.35">
      <c r="A8" s="33">
        <v>5</v>
      </c>
      <c r="B8" s="37" t="s">
        <v>29</v>
      </c>
      <c r="C8" s="33" t="s">
        <v>49</v>
      </c>
      <c r="E8" t="s">
        <v>53</v>
      </c>
      <c r="F8" s="39">
        <f>SUM(F4:F7)</f>
        <v>22</v>
      </c>
    </row>
    <row r="9" spans="1:6" ht="16.2" thickBot="1" x14ac:dyDescent="0.35">
      <c r="A9" s="33">
        <v>6</v>
      </c>
      <c r="B9" s="36" t="s">
        <v>30</v>
      </c>
      <c r="C9" s="33" t="s">
        <v>49</v>
      </c>
    </row>
    <row r="10" spans="1:6" ht="16.2" thickBot="1" x14ac:dyDescent="0.35">
      <c r="A10" s="33">
        <v>7</v>
      </c>
      <c r="B10" s="36" t="s">
        <v>31</v>
      </c>
      <c r="C10" s="33" t="s">
        <v>49</v>
      </c>
    </row>
    <row r="11" spans="1:6" ht="16.2" thickBot="1" x14ac:dyDescent="0.35">
      <c r="A11" s="33">
        <v>8</v>
      </c>
      <c r="B11" s="36" t="s">
        <v>32</v>
      </c>
      <c r="C11" s="33" t="s">
        <v>48</v>
      </c>
    </row>
    <row r="12" spans="1:6" ht="16.2" thickBot="1" x14ac:dyDescent="0.35">
      <c r="A12" s="33">
        <v>9</v>
      </c>
      <c r="B12" s="36" t="s">
        <v>33</v>
      </c>
      <c r="C12" s="33" t="s">
        <v>48</v>
      </c>
    </row>
    <row r="13" spans="1:6" ht="16.2" thickBot="1" x14ac:dyDescent="0.35">
      <c r="A13" s="33">
        <v>10</v>
      </c>
      <c r="B13" s="37" t="s">
        <v>34</v>
      </c>
      <c r="C13" s="33" t="s">
        <v>49</v>
      </c>
    </row>
    <row r="14" spans="1:6" ht="16.2" thickBot="1" x14ac:dyDescent="0.35">
      <c r="A14" s="33">
        <v>11</v>
      </c>
      <c r="B14" s="37" t="s">
        <v>35</v>
      </c>
      <c r="C14" s="33" t="s">
        <v>48</v>
      </c>
      <c r="F14">
        <f>COUNTIF(C4:C25,"P")</f>
        <v>12</v>
      </c>
    </row>
    <row r="15" spans="1:6" ht="16.2" thickBot="1" x14ac:dyDescent="0.35">
      <c r="A15" s="33">
        <v>12</v>
      </c>
      <c r="B15" s="37" t="s">
        <v>36</v>
      </c>
      <c r="C15" s="33" t="s">
        <v>48</v>
      </c>
    </row>
    <row r="16" spans="1:6" ht="16.2" thickBot="1" x14ac:dyDescent="0.35">
      <c r="A16" s="33">
        <v>13</v>
      </c>
      <c r="B16" s="36" t="s">
        <v>37</v>
      </c>
      <c r="C16" s="33" t="s">
        <v>49</v>
      </c>
    </row>
    <row r="17" spans="1:3" ht="16.2" thickBot="1" x14ac:dyDescent="0.35">
      <c r="A17" s="33">
        <v>14</v>
      </c>
      <c r="B17" s="36" t="s">
        <v>38</v>
      </c>
      <c r="C17" s="33" t="s">
        <v>49</v>
      </c>
    </row>
    <row r="18" spans="1:3" ht="16.2" thickBot="1" x14ac:dyDescent="0.35">
      <c r="A18" s="33">
        <v>15</v>
      </c>
      <c r="B18" s="37" t="s">
        <v>39</v>
      </c>
      <c r="C18" s="33" t="s">
        <v>48</v>
      </c>
    </row>
    <row r="19" spans="1:3" ht="16.2" thickBot="1" x14ac:dyDescent="0.35">
      <c r="A19" s="33">
        <v>16</v>
      </c>
      <c r="B19" s="36" t="s">
        <v>40</v>
      </c>
      <c r="C19" s="33" t="s">
        <v>48</v>
      </c>
    </row>
    <row r="20" spans="1:3" ht="16.2" thickBot="1" x14ac:dyDescent="0.35">
      <c r="A20" s="33">
        <v>17</v>
      </c>
      <c r="B20" s="36" t="s">
        <v>41</v>
      </c>
      <c r="C20" s="33" t="s">
        <v>49</v>
      </c>
    </row>
    <row r="21" spans="1:3" ht="16.2" thickBot="1" x14ac:dyDescent="0.35">
      <c r="A21" s="33">
        <v>18</v>
      </c>
      <c r="B21" s="36" t="s">
        <v>42</v>
      </c>
      <c r="C21" s="33" t="s">
        <v>48</v>
      </c>
    </row>
    <row r="22" spans="1:3" ht="16.2" thickBot="1" x14ac:dyDescent="0.35">
      <c r="A22" s="33">
        <v>19</v>
      </c>
      <c r="B22" s="36" t="s">
        <v>43</v>
      </c>
      <c r="C22" s="33" t="s">
        <v>49</v>
      </c>
    </row>
    <row r="23" spans="1:3" ht="16.2" thickBot="1" x14ac:dyDescent="0.35">
      <c r="A23" s="33">
        <v>20</v>
      </c>
      <c r="B23" s="36" t="s">
        <v>44</v>
      </c>
      <c r="C23" s="33" t="s">
        <v>48</v>
      </c>
    </row>
    <row r="24" spans="1:3" ht="16.2" thickBot="1" x14ac:dyDescent="0.35">
      <c r="A24" s="33">
        <v>21</v>
      </c>
      <c r="B24" s="36" t="s">
        <v>45</v>
      </c>
      <c r="C24" s="33" t="s">
        <v>48</v>
      </c>
    </row>
    <row r="25" spans="1:3" ht="16.2" thickBot="1" x14ac:dyDescent="0.35">
      <c r="A25" s="33">
        <v>22</v>
      </c>
      <c r="B25" s="37" t="s">
        <v>46</v>
      </c>
      <c r="C25" s="33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selection activeCell="O9" sqref="O9"/>
    </sheetView>
  </sheetViews>
  <sheetFormatPr defaultRowHeight="20.100000000000001" customHeight="1" x14ac:dyDescent="0.3"/>
  <cols>
    <col min="14" max="14" width="35.109375" customWidth="1"/>
  </cols>
  <sheetData>
    <row r="1" spans="1:15" ht="20.100000000000001" customHeight="1" x14ac:dyDescent="0.4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5" ht="20.100000000000001" customHeight="1" thickBot="1" x14ac:dyDescent="0.4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5" ht="20.100000000000001" customHeight="1" x14ac:dyDescent="0.3">
      <c r="A3" s="2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4" t="s">
        <v>1</v>
      </c>
    </row>
    <row r="4" spans="1:15" ht="20.100000000000001" customHeight="1" x14ac:dyDescent="0.3">
      <c r="A4" s="5" t="s">
        <v>1</v>
      </c>
      <c r="B4" s="6"/>
      <c r="C4" s="6"/>
      <c r="D4" s="6"/>
      <c r="E4" s="6"/>
      <c r="F4" s="6" t="s">
        <v>2</v>
      </c>
      <c r="G4" s="6" t="s">
        <v>2</v>
      </c>
      <c r="H4" s="6" t="s">
        <v>2</v>
      </c>
      <c r="I4" s="6" t="s">
        <v>2</v>
      </c>
      <c r="J4" s="6" t="s">
        <v>2</v>
      </c>
      <c r="K4" s="6" t="s">
        <v>2</v>
      </c>
      <c r="L4" s="7" t="s">
        <v>2</v>
      </c>
      <c r="N4" s="1" t="s">
        <v>3</v>
      </c>
      <c r="O4">
        <f>COUNTIF(A3:L13,"F")</f>
        <v>51</v>
      </c>
    </row>
    <row r="5" spans="1:15" ht="20.100000000000001" customHeight="1" x14ac:dyDescent="0.3">
      <c r="A5" s="5" t="s">
        <v>1</v>
      </c>
      <c r="B5" s="8"/>
      <c r="C5" s="8"/>
      <c r="D5" s="8"/>
      <c r="E5" s="8"/>
      <c r="F5" s="8" t="s">
        <v>2</v>
      </c>
      <c r="G5" s="8" t="s">
        <v>2</v>
      </c>
      <c r="H5" s="8" t="s">
        <v>2</v>
      </c>
      <c r="I5" s="8" t="s">
        <v>2</v>
      </c>
      <c r="J5" s="8" t="s">
        <v>2</v>
      </c>
      <c r="K5" s="8" t="s">
        <v>2</v>
      </c>
      <c r="L5" s="9" t="s">
        <v>2</v>
      </c>
      <c r="N5" t="s">
        <v>4</v>
      </c>
      <c r="O5">
        <f>COUNTIF(A3:L13,"M")</f>
        <v>42</v>
      </c>
    </row>
    <row r="6" spans="1:15" ht="20.100000000000001" customHeight="1" x14ac:dyDescent="0.3">
      <c r="A6" s="5" t="s">
        <v>1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</v>
      </c>
      <c r="H6" s="8" t="s">
        <v>1</v>
      </c>
      <c r="I6" s="8" t="s">
        <v>1</v>
      </c>
      <c r="J6" s="8" t="s">
        <v>1</v>
      </c>
      <c r="K6" s="8" t="s">
        <v>1</v>
      </c>
      <c r="L6" s="9" t="s">
        <v>1</v>
      </c>
    </row>
    <row r="7" spans="1:15" ht="20.100000000000001" customHeight="1" x14ac:dyDescent="0.3">
      <c r="A7" s="5" t="s">
        <v>1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  <c r="N7" t="s">
        <v>5</v>
      </c>
      <c r="O7">
        <f>COUNTA(A3:L13)</f>
        <v>93</v>
      </c>
    </row>
    <row r="8" spans="1:15" ht="20.100000000000001" customHeight="1" x14ac:dyDescent="0.3">
      <c r="A8" s="5" t="s">
        <v>1</v>
      </c>
      <c r="B8" s="8" t="s">
        <v>1</v>
      </c>
      <c r="C8" s="8" t="s">
        <v>1</v>
      </c>
      <c r="D8" s="8" t="s">
        <v>1</v>
      </c>
      <c r="E8" s="8" t="s">
        <v>1</v>
      </c>
      <c r="F8" s="8" t="s">
        <v>1</v>
      </c>
      <c r="G8" s="8" t="s">
        <v>1</v>
      </c>
      <c r="H8" s="8" t="s">
        <v>1</v>
      </c>
      <c r="I8" s="8" t="s">
        <v>1</v>
      </c>
      <c r="J8" s="8" t="s">
        <v>1</v>
      </c>
      <c r="K8" s="8" t="s">
        <v>1</v>
      </c>
      <c r="L8" s="9" t="s">
        <v>1</v>
      </c>
      <c r="N8" t="s">
        <v>6</v>
      </c>
      <c r="O8">
        <f>COUNTBLANK(A3:L13)</f>
        <v>39</v>
      </c>
    </row>
    <row r="9" spans="1:15" ht="20.100000000000001" customHeight="1" x14ac:dyDescent="0.3">
      <c r="A9" s="5"/>
      <c r="B9" s="6" t="s">
        <v>2</v>
      </c>
      <c r="C9" s="6" t="s">
        <v>2</v>
      </c>
      <c r="D9" s="6" t="s">
        <v>2</v>
      </c>
      <c r="E9" s="6" t="s">
        <v>2</v>
      </c>
      <c r="F9" s="6" t="s">
        <v>2</v>
      </c>
      <c r="G9" s="6" t="s">
        <v>2</v>
      </c>
      <c r="H9" s="6" t="s">
        <v>2</v>
      </c>
      <c r="I9" s="8"/>
      <c r="J9" s="8"/>
      <c r="K9" s="8"/>
      <c r="L9" s="9"/>
    </row>
    <row r="10" spans="1:15" ht="20.100000000000001" customHeight="1" x14ac:dyDescent="0.3">
      <c r="A10" s="5"/>
      <c r="B10" s="8" t="s">
        <v>2</v>
      </c>
      <c r="C10" s="8" t="s">
        <v>2</v>
      </c>
      <c r="D10" s="8" t="s">
        <v>2</v>
      </c>
      <c r="E10" s="8" t="s">
        <v>2</v>
      </c>
      <c r="F10" s="8" t="s">
        <v>2</v>
      </c>
      <c r="G10" s="8" t="s">
        <v>2</v>
      </c>
      <c r="H10" s="8" t="s">
        <v>2</v>
      </c>
      <c r="I10" s="8"/>
      <c r="J10" s="8"/>
      <c r="K10" s="8"/>
      <c r="L10" s="9"/>
    </row>
    <row r="11" spans="1:15" ht="20.100000000000001" customHeight="1" x14ac:dyDescent="0.3">
      <c r="A11" s="5" t="s">
        <v>1</v>
      </c>
      <c r="B11" s="8" t="s">
        <v>1</v>
      </c>
      <c r="C11" s="8" t="s">
        <v>1</v>
      </c>
      <c r="D11" s="8" t="s">
        <v>1</v>
      </c>
      <c r="E11" s="8" t="s">
        <v>1</v>
      </c>
      <c r="F11" s="8" t="s">
        <v>1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9" t="s">
        <v>1</v>
      </c>
      <c r="N11" s="13" t="s">
        <v>7</v>
      </c>
    </row>
    <row r="12" spans="1:15" ht="20.100000000000001" customHeight="1" x14ac:dyDescent="0.3">
      <c r="A12" s="5"/>
      <c r="B12" s="8"/>
      <c r="C12" s="8"/>
      <c r="D12" s="8"/>
      <c r="E12" s="8"/>
      <c r="F12" s="6" t="s">
        <v>2</v>
      </c>
      <c r="G12" s="6" t="s">
        <v>2</v>
      </c>
      <c r="H12" s="6" t="s">
        <v>2</v>
      </c>
      <c r="I12" s="6" t="s">
        <v>2</v>
      </c>
      <c r="J12" s="6" t="s">
        <v>2</v>
      </c>
      <c r="K12" s="6" t="s">
        <v>2</v>
      </c>
      <c r="L12" s="7" t="s">
        <v>2</v>
      </c>
      <c r="N12" s="6" t="s">
        <v>9</v>
      </c>
    </row>
    <row r="13" spans="1:15" ht="20.100000000000001" customHeight="1" thickBot="1" x14ac:dyDescent="0.35">
      <c r="A13" s="10"/>
      <c r="B13" s="11"/>
      <c r="C13" s="11"/>
      <c r="D13" s="11"/>
      <c r="E13" s="11"/>
      <c r="F13" s="11" t="s">
        <v>2</v>
      </c>
      <c r="G13" s="11" t="s">
        <v>2</v>
      </c>
      <c r="H13" s="11" t="s">
        <v>2</v>
      </c>
      <c r="I13" s="11" t="s">
        <v>2</v>
      </c>
      <c r="J13" s="11" t="s">
        <v>2</v>
      </c>
      <c r="K13" s="11" t="s">
        <v>2</v>
      </c>
      <c r="L13" s="12" t="s">
        <v>2</v>
      </c>
      <c r="N13" s="13" t="s">
        <v>10</v>
      </c>
    </row>
    <row r="14" spans="1:15" ht="20.100000000000001" customHeight="1" x14ac:dyDescent="0.3">
      <c r="N14" s="14" t="s">
        <v>11</v>
      </c>
    </row>
    <row r="22" spans="6:6" ht="20.100000000000001" customHeight="1" x14ac:dyDescent="0.3">
      <c r="F22">
        <f>COUNTIF(A3:L13,"M")</f>
        <v>42</v>
      </c>
    </row>
  </sheetData>
  <mergeCells count="2">
    <mergeCell ref="A2:L2"/>
    <mergeCell ref="A1:L1"/>
  </mergeCells>
  <conditionalFormatting sqref="A3:L13 N12">
    <cfRule type="containsText" dxfId="1" priority="1" operator="containsText" text="M">
      <formula>NOT(ISERROR(SEARCH("M",A3)))</formula>
    </cfRule>
    <cfRule type="containsText" dxfId="0" priority="2" operator="containsText" text="F">
      <formula>NOT(ISERROR(SEARCH("F",A3)))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4"/>
  <sheetViews>
    <sheetView tabSelected="1" workbookViewId="0">
      <selection activeCell="J5" sqref="J5:J8"/>
    </sheetView>
  </sheetViews>
  <sheetFormatPr defaultRowHeight="14.4" x14ac:dyDescent="0.3"/>
  <cols>
    <col min="3" max="4" width="14.5546875" customWidth="1"/>
    <col min="5" max="5" width="14.109375" customWidth="1"/>
    <col min="8" max="9" width="14.88671875" bestFit="1" customWidth="1"/>
  </cols>
  <sheetData>
    <row r="1" spans="1:23" ht="20.100000000000001" customHeight="1" thickBo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20.100000000000001" customHeight="1" thickBot="1" x14ac:dyDescent="0.5">
      <c r="A2" s="15"/>
      <c r="B2" s="42" t="s">
        <v>12</v>
      </c>
      <c r="C2" s="43"/>
      <c r="D2" s="43"/>
      <c r="E2" s="4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20.100000000000001" customHeight="1" thickBot="1" x14ac:dyDescent="0.35">
      <c r="A3" s="15"/>
      <c r="B3" s="16"/>
      <c r="C3" s="17"/>
      <c r="D3" s="17"/>
      <c r="E3" s="17"/>
      <c r="F3" s="15"/>
      <c r="G3" s="15"/>
      <c r="H3" s="18"/>
      <c r="I3" s="1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20.100000000000001" customHeight="1" thickBot="1" x14ac:dyDescent="0.35">
      <c r="A4" s="20"/>
      <c r="B4" s="21" t="s">
        <v>13</v>
      </c>
      <c r="C4" s="22" t="s">
        <v>14</v>
      </c>
      <c r="D4" s="23" t="s">
        <v>15</v>
      </c>
      <c r="E4" s="22" t="s">
        <v>16</v>
      </c>
      <c r="F4" s="15"/>
      <c r="G4" s="21" t="s">
        <v>13</v>
      </c>
      <c r="H4" s="22" t="s">
        <v>14</v>
      </c>
      <c r="I4" s="23" t="s">
        <v>17</v>
      </c>
      <c r="J4" s="2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20.100000000000001" customHeight="1" thickBot="1" x14ac:dyDescent="0.35">
      <c r="A5" s="20"/>
      <c r="B5" s="25" t="s">
        <v>18</v>
      </c>
      <c r="C5" s="26" t="s">
        <v>19</v>
      </c>
      <c r="D5" s="23">
        <v>10</v>
      </c>
      <c r="E5" s="27">
        <v>20</v>
      </c>
      <c r="F5" s="15"/>
      <c r="G5" s="25" t="s">
        <v>18</v>
      </c>
      <c r="H5" s="26" t="s">
        <v>19</v>
      </c>
      <c r="I5" s="23">
        <f>COUNTIFS(B4:B16,G5,C4:C16,H5)</f>
        <v>3</v>
      </c>
      <c r="J5" s="24">
        <f>COUNTIFS($B$5:$B$16,G5,$C$5:$C$16,H5)</f>
        <v>3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20.100000000000001" customHeight="1" thickBot="1" x14ac:dyDescent="0.35">
      <c r="A6" s="20"/>
      <c r="B6" s="25" t="s">
        <v>20</v>
      </c>
      <c r="C6" s="26" t="s">
        <v>21</v>
      </c>
      <c r="D6" s="23">
        <v>5</v>
      </c>
      <c r="E6" s="27">
        <v>30</v>
      </c>
      <c r="F6" s="15"/>
      <c r="G6" s="25" t="s">
        <v>20</v>
      </c>
      <c r="H6" s="26" t="s">
        <v>21</v>
      </c>
      <c r="I6" s="23">
        <f>COUNTIFS(B4:B16,G6,C4:C16,H6)</f>
        <v>5</v>
      </c>
      <c r="J6" s="24">
        <f t="shared" ref="J6:J7" si="0">COUNTIFS($B$5:$B$16,G6,$C$5:$C$16,H6)</f>
        <v>5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20.100000000000001" customHeight="1" thickBot="1" x14ac:dyDescent="0.35">
      <c r="A7" s="20"/>
      <c r="B7" s="25" t="s">
        <v>22</v>
      </c>
      <c r="C7" s="26" t="s">
        <v>23</v>
      </c>
      <c r="D7" s="23">
        <v>7</v>
      </c>
      <c r="E7" s="27">
        <v>20</v>
      </c>
      <c r="F7" s="15"/>
      <c r="G7" s="25" t="s">
        <v>22</v>
      </c>
      <c r="H7" s="26" t="s">
        <v>23</v>
      </c>
      <c r="I7" s="23">
        <f>COUNTIFS(B4:B16,G7,C4:C16,H7)</f>
        <v>4</v>
      </c>
      <c r="J7" s="24">
        <f t="shared" si="0"/>
        <v>4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20.100000000000001" customHeight="1" thickBot="1" x14ac:dyDescent="0.35">
      <c r="A8" s="20"/>
      <c r="B8" s="25" t="s">
        <v>18</v>
      </c>
      <c r="C8" s="26" t="s">
        <v>19</v>
      </c>
      <c r="D8" s="23">
        <v>10</v>
      </c>
      <c r="E8" s="27">
        <v>10</v>
      </c>
      <c r="F8" s="20"/>
      <c r="G8" s="28"/>
      <c r="H8" s="29"/>
      <c r="I8" s="28"/>
      <c r="J8" s="2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20.100000000000001" customHeight="1" thickBot="1" x14ac:dyDescent="0.35">
      <c r="A9" s="20"/>
      <c r="B9" s="25" t="s">
        <v>18</v>
      </c>
      <c r="C9" s="26" t="s">
        <v>19</v>
      </c>
      <c r="D9" s="23">
        <v>10</v>
      </c>
      <c r="E9" s="27">
        <v>20</v>
      </c>
      <c r="F9" s="20"/>
      <c r="G9" s="28"/>
      <c r="H9" s="29"/>
      <c r="I9" s="28"/>
      <c r="J9" s="2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20.100000000000001" customHeight="1" thickBot="1" x14ac:dyDescent="0.35">
      <c r="A10" s="20"/>
      <c r="B10" s="25" t="s">
        <v>20</v>
      </c>
      <c r="C10" s="26" t="s">
        <v>21</v>
      </c>
      <c r="D10" s="23">
        <v>5</v>
      </c>
      <c r="E10" s="27">
        <v>50</v>
      </c>
      <c r="F10" s="20"/>
      <c r="G10" s="28"/>
      <c r="H10" s="29"/>
      <c r="I10" s="28"/>
      <c r="J10" s="2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20.100000000000001" customHeight="1" thickBot="1" x14ac:dyDescent="0.35">
      <c r="A11" s="20"/>
      <c r="B11" s="30" t="s">
        <v>20</v>
      </c>
      <c r="C11" s="26" t="s">
        <v>21</v>
      </c>
      <c r="D11" s="23">
        <v>5</v>
      </c>
      <c r="E11" s="27">
        <v>30</v>
      </c>
      <c r="F11" s="20"/>
      <c r="G11" s="28"/>
      <c r="H11" s="29"/>
      <c r="I11" s="28"/>
      <c r="J11" s="2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20.100000000000001" customHeight="1" thickBot="1" x14ac:dyDescent="0.35">
      <c r="A12" s="20"/>
      <c r="B12" s="30" t="s">
        <v>20</v>
      </c>
      <c r="C12" s="26" t="s">
        <v>21</v>
      </c>
      <c r="D12" s="23">
        <v>5</v>
      </c>
      <c r="E12" s="27">
        <v>30</v>
      </c>
      <c r="F12" s="20"/>
      <c r="G12" s="28"/>
      <c r="H12" s="29"/>
      <c r="I12" s="28"/>
      <c r="J12" s="2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20.100000000000001" customHeight="1" thickBot="1" x14ac:dyDescent="0.35">
      <c r="A13" s="20"/>
      <c r="B13" s="30" t="s">
        <v>22</v>
      </c>
      <c r="C13" s="26" t="s">
        <v>23</v>
      </c>
      <c r="D13" s="23">
        <v>7</v>
      </c>
      <c r="E13" s="27">
        <v>40</v>
      </c>
      <c r="F13" s="20"/>
      <c r="G13" s="28"/>
      <c r="H13" s="29"/>
      <c r="I13" s="28"/>
      <c r="J13" s="24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20.100000000000001" customHeight="1" thickBot="1" x14ac:dyDescent="0.35">
      <c r="A14" s="20"/>
      <c r="B14" s="30" t="s">
        <v>22</v>
      </c>
      <c r="C14" s="26" t="s">
        <v>23</v>
      </c>
      <c r="D14" s="23">
        <v>7</v>
      </c>
      <c r="E14" s="27">
        <v>30</v>
      </c>
      <c r="F14" s="20"/>
      <c r="G14" s="28"/>
      <c r="H14" s="29"/>
      <c r="I14" s="28"/>
      <c r="J14" s="2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20.100000000000001" customHeight="1" thickBot="1" x14ac:dyDescent="0.35">
      <c r="A15" s="20"/>
      <c r="B15" s="30" t="s">
        <v>22</v>
      </c>
      <c r="C15" s="26" t="s">
        <v>23</v>
      </c>
      <c r="D15" s="23">
        <v>7</v>
      </c>
      <c r="E15" s="27">
        <v>30</v>
      </c>
      <c r="F15" s="20"/>
      <c r="G15" s="28"/>
      <c r="H15" s="29"/>
      <c r="I15" s="28"/>
      <c r="J15" s="24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20.100000000000001" customHeight="1" thickBot="1" x14ac:dyDescent="0.35">
      <c r="A16" s="15"/>
      <c r="B16" s="25" t="s">
        <v>20</v>
      </c>
      <c r="C16" s="26" t="s">
        <v>21</v>
      </c>
      <c r="D16" s="23">
        <v>5</v>
      </c>
      <c r="E16" s="27">
        <v>50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20.100000000000001" customHeight="1" thickBot="1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20.100000000000001" customHeight="1" thickBot="1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20.100000000000001" customHeight="1" thickBot="1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20.100000000000001" customHeight="1" thickBot="1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20.100000000000001" customHeight="1" thickBot="1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20.100000000000001" customHeight="1" thickBot="1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20.100000000000001" customHeight="1" thickBot="1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20.100000000000001" customHeight="1" thickBot="1" x14ac:dyDescent="0.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20.100000000000001" customHeight="1" thickBot="1" x14ac:dyDescent="0.3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20.100000000000001" customHeight="1" thickBot="1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20.100000000000001" customHeight="1" thickBot="1" x14ac:dyDescent="0.3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20.100000000000001" customHeight="1" thickBot="1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20.100000000000001" customHeight="1" thickBot="1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20.100000000000001" customHeight="1" thickBot="1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20.100000000000001" customHeight="1" thickBot="1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20.100000000000001" customHeight="1" thickBot="1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20.100000000000001" customHeight="1" thickBot="1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20.100000000000001" customHeight="1" thickBot="1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20.100000000000001" customHeight="1" thickBot="1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20.100000000000001" customHeight="1" thickBot="1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20.100000000000001" customHeight="1" thickBot="1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20.100000000000001" customHeight="1" thickBot="1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20.100000000000001" customHeight="1" thickBot="1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20.100000000000001" customHeight="1" thickBot="1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20.100000000000001" customHeight="1" thickBot="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20.100000000000001" customHeight="1" thickBo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20.100000000000001" customHeight="1" thickBot="1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20.100000000000001" customHeight="1" thickBo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20.100000000000001" customHeight="1" thickBot="1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20.100000000000001" customHeight="1" thickBot="1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20.100000000000001" customHeight="1" thickBot="1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20.100000000000001" customHeight="1" thickBo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20.100000000000001" customHeight="1" thickBot="1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20.100000000000001" customHeight="1" thickBot="1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20.100000000000001" customHeight="1" thickBot="1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20.100000000000001" customHeight="1" thickBot="1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20.100000000000001" customHeight="1" thickBot="1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20.100000000000001" customHeight="1" thickBot="1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20.100000000000001" customHeight="1" thickBo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20.100000000000001" customHeight="1" thickBot="1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20.100000000000001" customHeight="1" thickBo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20.100000000000001" customHeight="1" thickBo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20.100000000000001" customHeight="1" thickBo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20.100000000000001" customHeight="1" thickBot="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20.100000000000001" customHeight="1" thickBot="1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20.100000000000001" customHeight="1" thickBot="1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20.100000000000001" customHeight="1" thickBot="1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20.100000000000001" customHeight="1" thickBot="1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20.100000000000001" customHeight="1" thickBot="1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20.100000000000001" customHeight="1" thickBot="1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20.100000000000001" customHeight="1" thickBot="1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20.100000000000001" customHeight="1" thickBot="1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20.100000000000001" customHeight="1" thickBot="1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0.100000000000001" customHeight="1" thickBot="1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20.100000000000001" customHeight="1" thickBot="1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20.100000000000001" customHeight="1" thickBot="1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20.100000000000001" customHeight="1" thickBot="1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20.100000000000001" customHeight="1" thickBot="1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20.100000000000001" customHeight="1" thickBot="1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20.100000000000001" customHeight="1" thickBot="1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20.100000000000001" customHeight="1" thickBot="1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20.100000000000001" customHeight="1" thickBot="1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20.100000000000001" customHeight="1" thickBot="1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20.100000000000001" customHeight="1" thickBot="1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20.100000000000001" customHeight="1" thickBot="1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20.100000000000001" customHeight="1" thickBot="1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20.100000000000001" customHeight="1" thickBot="1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20.100000000000001" customHeight="1" thickBot="1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20.100000000000001" customHeight="1" thickBot="1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20.100000000000001" customHeight="1" thickBot="1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20.100000000000001" customHeight="1" thickBot="1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20.100000000000001" customHeight="1" thickBot="1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20.100000000000001" customHeight="1" thickBot="1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20.100000000000001" customHeight="1" thickBot="1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20.100000000000001" customHeight="1" thickBot="1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20.100000000000001" customHeight="1" thickBot="1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20.100000000000001" customHeight="1" thickBot="1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20.100000000000001" customHeight="1" thickBot="1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20.100000000000001" customHeight="1" thickBot="1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20.100000000000001" customHeight="1" thickBot="1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20.100000000000001" customHeight="1" thickBot="1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20.100000000000001" customHeight="1" thickBot="1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20.100000000000001" customHeight="1" thickBot="1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20.100000000000001" customHeight="1" thickBot="1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20.100000000000001" customHeight="1" thickBot="1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20.100000000000001" customHeight="1" thickBot="1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20.100000000000001" customHeight="1" thickBot="1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20.100000000000001" customHeight="1" thickBot="1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20.100000000000001" customHeight="1" thickBot="1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20.100000000000001" customHeight="1" thickBot="1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20.100000000000001" customHeight="1" thickBot="1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20.100000000000001" customHeight="1" thickBot="1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20.100000000000001" customHeight="1" thickBot="1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20.100000000000001" customHeight="1" thickBot="1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20.100000000000001" customHeight="1" thickBot="1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20.100000000000001" customHeight="1" thickBot="1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20.100000000000001" customHeight="1" thickBot="1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20.100000000000001" customHeight="1" thickBot="1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20.100000000000001" customHeight="1" thickBot="1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20.100000000000001" customHeight="1" thickBot="1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20.100000000000001" customHeight="1" thickBot="1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20.100000000000001" customHeight="1" thickBot="1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20.100000000000001" customHeight="1" thickBot="1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20.100000000000001" customHeight="1" thickBot="1" x14ac:dyDescent="0.3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20.100000000000001" customHeight="1" thickBot="1" x14ac:dyDescent="0.3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20.100000000000001" customHeight="1" thickBot="1" x14ac:dyDescent="0.3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20.100000000000001" customHeight="1" thickBot="1" x14ac:dyDescent="0.3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20.100000000000001" customHeight="1" thickBot="1" x14ac:dyDescent="0.3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20.100000000000001" customHeight="1" thickBot="1" x14ac:dyDescent="0.3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20.100000000000001" customHeight="1" thickBot="1" x14ac:dyDescent="0.3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20.100000000000001" customHeight="1" thickBot="1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20.100000000000001" customHeight="1" thickBot="1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20.100000000000001" customHeight="1" thickBot="1" x14ac:dyDescent="0.3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20.100000000000001" customHeight="1" thickBot="1" x14ac:dyDescent="0.3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20.100000000000001" customHeight="1" thickBot="1" x14ac:dyDescent="0.3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20.100000000000001" customHeight="1" thickBot="1" x14ac:dyDescent="0.3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20.100000000000001" customHeight="1" thickBot="1" x14ac:dyDescent="0.3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20.100000000000001" customHeight="1" thickBot="1" x14ac:dyDescent="0.3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20.100000000000001" customHeight="1" thickBot="1" x14ac:dyDescent="0.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20.100000000000001" customHeight="1" thickBot="1" x14ac:dyDescent="0.3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20.100000000000001" customHeight="1" thickBot="1" x14ac:dyDescent="0.3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20.100000000000001" customHeight="1" thickBot="1" x14ac:dyDescent="0.3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20.100000000000001" customHeight="1" thickBot="1" x14ac:dyDescent="0.3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20.100000000000001" customHeight="1" thickBot="1" x14ac:dyDescent="0.3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20.100000000000001" customHeight="1" thickBot="1" x14ac:dyDescent="0.3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20.100000000000001" customHeight="1" thickBot="1" x14ac:dyDescent="0.3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20.100000000000001" customHeight="1" thickBot="1" x14ac:dyDescent="0.3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20.100000000000001" customHeight="1" thickBot="1" x14ac:dyDescent="0.3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20.100000000000001" customHeight="1" thickBot="1" x14ac:dyDescent="0.3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20.100000000000001" customHeight="1" thickBot="1" x14ac:dyDescent="0.3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20.100000000000001" customHeight="1" thickBot="1" x14ac:dyDescent="0.3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20.100000000000001" customHeight="1" thickBot="1" x14ac:dyDescent="0.3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20.100000000000001" customHeight="1" thickBot="1" x14ac:dyDescent="0.3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20.100000000000001" customHeight="1" thickBot="1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20.100000000000001" customHeight="1" thickBot="1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20.100000000000001" customHeight="1" thickBot="1" x14ac:dyDescent="0.3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20.100000000000001" customHeight="1" thickBot="1" x14ac:dyDescent="0.3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20.100000000000001" customHeight="1" thickBot="1" x14ac:dyDescent="0.3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20.100000000000001" customHeight="1" thickBot="1" x14ac:dyDescent="0.3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20.100000000000001" customHeight="1" thickBot="1" x14ac:dyDescent="0.3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20.100000000000001" customHeight="1" thickBot="1" x14ac:dyDescent="0.3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20.100000000000001" customHeight="1" thickBot="1" x14ac:dyDescent="0.3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20.100000000000001" customHeight="1" thickBot="1" x14ac:dyDescent="0.3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20.100000000000001" customHeight="1" thickBot="1" x14ac:dyDescent="0.3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20.100000000000001" customHeight="1" thickBot="1" x14ac:dyDescent="0.3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20.100000000000001" customHeight="1" thickBot="1" x14ac:dyDescent="0.3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20.100000000000001" customHeight="1" thickBot="1" x14ac:dyDescent="0.3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20.100000000000001" customHeight="1" thickBot="1" x14ac:dyDescent="0.3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20.100000000000001" customHeight="1" thickBot="1" x14ac:dyDescent="0.3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20.100000000000001" customHeight="1" thickBot="1" x14ac:dyDescent="0.3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20.100000000000001" customHeight="1" thickBot="1" x14ac:dyDescent="0.3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20.100000000000001" customHeight="1" thickBot="1" x14ac:dyDescent="0.3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20.100000000000001" customHeight="1" thickBot="1" x14ac:dyDescent="0.3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20.100000000000001" customHeight="1" thickBot="1" x14ac:dyDescent="0.3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20.100000000000001" customHeight="1" thickBot="1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20.100000000000001" customHeight="1" thickBot="1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20.100000000000001" customHeight="1" thickBot="1" x14ac:dyDescent="0.3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20.100000000000001" customHeight="1" thickBot="1" x14ac:dyDescent="0.3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20.100000000000001" customHeight="1" thickBot="1" x14ac:dyDescent="0.3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20.100000000000001" customHeight="1" thickBot="1" x14ac:dyDescent="0.3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20.100000000000001" customHeight="1" thickBot="1" x14ac:dyDescent="0.3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20.100000000000001" customHeight="1" thickBot="1" x14ac:dyDescent="0.3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20.100000000000001" customHeight="1" thickBot="1" x14ac:dyDescent="0.3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20.100000000000001" customHeight="1" thickBot="1" x14ac:dyDescent="0.3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20.100000000000001" customHeight="1" thickBot="1" x14ac:dyDescent="0.3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20.100000000000001" customHeight="1" thickBot="1" x14ac:dyDescent="0.3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20.100000000000001" customHeight="1" thickBot="1" x14ac:dyDescent="0.3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20.100000000000001" customHeight="1" thickBot="1" x14ac:dyDescent="0.3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20.100000000000001" customHeight="1" thickBot="1" x14ac:dyDescent="0.3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20.100000000000001" customHeight="1" thickBot="1" x14ac:dyDescent="0.3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20.100000000000001" customHeight="1" thickBot="1" x14ac:dyDescent="0.3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20.100000000000001" customHeight="1" thickBot="1" x14ac:dyDescent="0.3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20.100000000000001" customHeight="1" thickBot="1" x14ac:dyDescent="0.3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20.100000000000001" customHeight="1" thickBot="1" x14ac:dyDescent="0.3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20.100000000000001" customHeight="1" thickBot="1" x14ac:dyDescent="0.3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20.100000000000001" customHeight="1" thickBot="1" x14ac:dyDescent="0.3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20.100000000000001" customHeight="1" thickBot="1" x14ac:dyDescent="0.3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20.100000000000001" customHeight="1" thickBot="1" x14ac:dyDescent="0.3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20.100000000000001" customHeight="1" thickBot="1" x14ac:dyDescent="0.3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20.100000000000001" customHeight="1" thickBot="1" x14ac:dyDescent="0.3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20.100000000000001" customHeight="1" thickBot="1" x14ac:dyDescent="0.3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20.100000000000001" customHeight="1" thickBot="1" x14ac:dyDescent="0.3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20.100000000000001" customHeight="1" thickBot="1" x14ac:dyDescent="0.3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20.100000000000001" customHeight="1" thickBot="1" x14ac:dyDescent="0.3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20.100000000000001" customHeight="1" thickBot="1" x14ac:dyDescent="0.3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20.100000000000001" customHeight="1" thickBot="1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20.100000000000001" customHeight="1" thickBot="1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20.100000000000001" customHeight="1" thickBot="1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20.100000000000001" customHeight="1" thickBot="1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20.100000000000001" customHeight="1" thickBot="1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20.100000000000001" customHeight="1" thickBot="1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20.100000000000001" customHeight="1" thickBot="1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20.100000000000001" customHeight="1" thickBot="1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20.100000000000001" customHeight="1" thickBot="1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20.100000000000001" customHeight="1" thickBot="1" x14ac:dyDescent="0.3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20.100000000000001" customHeight="1" thickBot="1" x14ac:dyDescent="0.3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20.100000000000001" customHeight="1" thickBot="1" x14ac:dyDescent="0.3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20.100000000000001" customHeight="1" thickBot="1" x14ac:dyDescent="0.3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20.100000000000001" customHeight="1" thickBot="1" x14ac:dyDescent="0.3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20.100000000000001" customHeight="1" thickBot="1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20.100000000000001" customHeight="1" thickBot="1" x14ac:dyDescent="0.3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20.100000000000001" customHeight="1" thickBot="1" x14ac:dyDescent="0.3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20.100000000000001" customHeight="1" thickBot="1" x14ac:dyDescent="0.3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20.100000000000001" customHeight="1" thickBot="1" x14ac:dyDescent="0.3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20.100000000000001" customHeight="1" thickBot="1" x14ac:dyDescent="0.3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20.100000000000001" customHeight="1" thickBot="1" x14ac:dyDescent="0.3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20.100000000000001" customHeight="1" thickBot="1" x14ac:dyDescent="0.3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20.100000000000001" customHeight="1" thickBot="1" x14ac:dyDescent="0.3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20.100000000000001" customHeight="1" thickBot="1" x14ac:dyDescent="0.3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20.100000000000001" customHeight="1" thickBot="1" x14ac:dyDescent="0.3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20.100000000000001" customHeight="1" thickBot="1" x14ac:dyDescent="0.3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20.100000000000001" customHeight="1" thickBot="1" x14ac:dyDescent="0.3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20.100000000000001" customHeight="1" thickBot="1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20.100000000000001" customHeight="1" thickBot="1" x14ac:dyDescent="0.3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20.100000000000001" customHeight="1" thickBot="1" x14ac:dyDescent="0.3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20.100000000000001" customHeight="1" thickBot="1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20.100000000000001" customHeight="1" thickBot="1" x14ac:dyDescent="0.3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20.100000000000001" customHeight="1" thickBot="1" x14ac:dyDescent="0.3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20.100000000000001" customHeight="1" thickBot="1" x14ac:dyDescent="0.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20.100000000000001" customHeight="1" thickBot="1" x14ac:dyDescent="0.3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20.100000000000001" customHeight="1" thickBot="1" x14ac:dyDescent="0.3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20.100000000000001" customHeight="1" thickBot="1" x14ac:dyDescent="0.3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20.100000000000001" customHeight="1" thickBot="1" x14ac:dyDescent="0.3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20.100000000000001" customHeight="1" thickBot="1" x14ac:dyDescent="0.3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20.100000000000001" customHeight="1" thickBot="1" x14ac:dyDescent="0.3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20.100000000000001" customHeight="1" thickBot="1" x14ac:dyDescent="0.3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20.100000000000001" customHeight="1" thickBot="1" x14ac:dyDescent="0.3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20.100000000000001" customHeight="1" thickBot="1" x14ac:dyDescent="0.3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20.100000000000001" customHeight="1" thickBot="1" x14ac:dyDescent="0.3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20.100000000000001" customHeight="1" thickBot="1" x14ac:dyDescent="0.3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20.100000000000001" customHeight="1" thickBot="1" x14ac:dyDescent="0.3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20.100000000000001" customHeight="1" thickBot="1" x14ac:dyDescent="0.3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20.100000000000001" customHeight="1" thickBot="1" x14ac:dyDescent="0.3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20.100000000000001" customHeight="1" thickBot="1" x14ac:dyDescent="0.3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20.100000000000001" customHeight="1" thickBot="1" x14ac:dyDescent="0.3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20.100000000000001" customHeight="1" thickBot="1" x14ac:dyDescent="0.3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20.100000000000001" customHeight="1" thickBot="1" x14ac:dyDescent="0.3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20.100000000000001" customHeight="1" thickBot="1" x14ac:dyDescent="0.3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20.100000000000001" customHeight="1" thickBot="1" x14ac:dyDescent="0.3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20.100000000000001" customHeight="1" thickBot="1" x14ac:dyDescent="0.3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20.100000000000001" customHeight="1" thickBot="1" x14ac:dyDescent="0.3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20.100000000000001" customHeight="1" thickBot="1" x14ac:dyDescent="0.3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20.100000000000001" customHeight="1" thickBot="1" x14ac:dyDescent="0.3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20.100000000000001" customHeight="1" thickBot="1" x14ac:dyDescent="0.3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20.100000000000001" customHeight="1" thickBot="1" x14ac:dyDescent="0.3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20.100000000000001" customHeight="1" thickBot="1" x14ac:dyDescent="0.3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20.100000000000001" customHeight="1" thickBot="1" x14ac:dyDescent="0.3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20.100000000000001" customHeight="1" thickBot="1" x14ac:dyDescent="0.3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20.100000000000001" customHeight="1" thickBot="1" x14ac:dyDescent="0.3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20.100000000000001" customHeight="1" thickBot="1" x14ac:dyDescent="0.3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20.100000000000001" customHeight="1" thickBot="1" x14ac:dyDescent="0.3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20.100000000000001" customHeight="1" thickBot="1" x14ac:dyDescent="0.3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20.100000000000001" customHeight="1" thickBot="1" x14ac:dyDescent="0.3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20.100000000000001" customHeight="1" thickBot="1" x14ac:dyDescent="0.3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20.100000000000001" customHeight="1" thickBot="1" x14ac:dyDescent="0.3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20.100000000000001" customHeight="1" thickBot="1" x14ac:dyDescent="0.3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20.100000000000001" customHeight="1" thickBot="1" x14ac:dyDescent="0.3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20.100000000000001" customHeight="1" thickBot="1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20.100000000000001" customHeight="1" thickBot="1" x14ac:dyDescent="0.3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20.100000000000001" customHeight="1" thickBot="1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20.100000000000001" customHeight="1" thickBot="1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20.100000000000001" customHeight="1" thickBot="1" x14ac:dyDescent="0.3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20.100000000000001" customHeight="1" thickBot="1" x14ac:dyDescent="0.3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20.100000000000001" customHeight="1" thickBot="1" x14ac:dyDescent="0.3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20.100000000000001" customHeight="1" thickBot="1" x14ac:dyDescent="0.3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20.100000000000001" customHeight="1" thickBot="1" x14ac:dyDescent="0.3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20.100000000000001" customHeight="1" thickBot="1" x14ac:dyDescent="0.3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20.100000000000001" customHeight="1" thickBot="1" x14ac:dyDescent="0.3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20.100000000000001" customHeight="1" thickBot="1" x14ac:dyDescent="0.3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20.100000000000001" customHeight="1" thickBot="1" x14ac:dyDescent="0.3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20.100000000000001" customHeight="1" thickBot="1" x14ac:dyDescent="0.3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20.100000000000001" customHeight="1" thickBot="1" x14ac:dyDescent="0.3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20.100000000000001" customHeight="1" thickBot="1" x14ac:dyDescent="0.3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20.100000000000001" customHeight="1" thickBot="1" x14ac:dyDescent="0.3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20.100000000000001" customHeight="1" thickBot="1" x14ac:dyDescent="0.3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20.100000000000001" customHeight="1" thickBot="1" x14ac:dyDescent="0.3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20.100000000000001" customHeight="1" thickBot="1" x14ac:dyDescent="0.3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20.100000000000001" customHeight="1" thickBot="1" x14ac:dyDescent="0.3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20.100000000000001" customHeight="1" thickBot="1" x14ac:dyDescent="0.3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20.100000000000001" customHeight="1" thickBot="1" x14ac:dyDescent="0.3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20.100000000000001" customHeight="1" thickBot="1" x14ac:dyDescent="0.3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20.100000000000001" customHeight="1" thickBot="1" x14ac:dyDescent="0.3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20.100000000000001" customHeight="1" thickBot="1" x14ac:dyDescent="0.3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20.100000000000001" customHeight="1" thickBot="1" x14ac:dyDescent="0.3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20.100000000000001" customHeight="1" thickBot="1" x14ac:dyDescent="0.3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20.100000000000001" customHeight="1" thickBot="1" x14ac:dyDescent="0.3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20.100000000000001" customHeight="1" thickBot="1" x14ac:dyDescent="0.3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20.100000000000001" customHeight="1" thickBot="1" x14ac:dyDescent="0.3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20.100000000000001" customHeight="1" thickBot="1" x14ac:dyDescent="0.3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20.100000000000001" customHeight="1" thickBot="1" x14ac:dyDescent="0.3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20.100000000000001" customHeight="1" thickBot="1" x14ac:dyDescent="0.3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20.100000000000001" customHeight="1" thickBot="1" x14ac:dyDescent="0.3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20.100000000000001" customHeight="1" thickBot="1" x14ac:dyDescent="0.3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20.100000000000001" customHeight="1" thickBot="1" x14ac:dyDescent="0.3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20.100000000000001" customHeight="1" thickBot="1" x14ac:dyDescent="0.3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20.100000000000001" customHeight="1" thickBot="1" x14ac:dyDescent="0.3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20.100000000000001" customHeight="1" thickBot="1" x14ac:dyDescent="0.3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20.100000000000001" customHeight="1" thickBot="1" x14ac:dyDescent="0.3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20.100000000000001" customHeight="1" thickBot="1" x14ac:dyDescent="0.3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20.100000000000001" customHeight="1" thickBot="1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20.100000000000001" customHeight="1" thickBot="1" x14ac:dyDescent="0.3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20.100000000000001" customHeight="1" thickBot="1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20.100000000000001" customHeight="1" thickBot="1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20.100000000000001" customHeight="1" thickBot="1" x14ac:dyDescent="0.3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20.100000000000001" customHeight="1" thickBot="1" x14ac:dyDescent="0.3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20.100000000000001" customHeight="1" thickBot="1" x14ac:dyDescent="0.3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20.100000000000001" customHeight="1" thickBot="1" x14ac:dyDescent="0.3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20.100000000000001" customHeight="1" thickBot="1" x14ac:dyDescent="0.3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20.100000000000001" customHeight="1" thickBot="1" x14ac:dyDescent="0.3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20.100000000000001" customHeight="1" thickBot="1" x14ac:dyDescent="0.3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20.100000000000001" customHeight="1" thickBot="1" x14ac:dyDescent="0.3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20.100000000000001" customHeight="1" thickBot="1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20.100000000000001" customHeight="1" thickBot="1" x14ac:dyDescent="0.3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20.100000000000001" customHeight="1" thickBot="1" x14ac:dyDescent="0.3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20.100000000000001" customHeight="1" thickBot="1" x14ac:dyDescent="0.3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20.100000000000001" customHeight="1" thickBot="1" x14ac:dyDescent="0.3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20.100000000000001" customHeight="1" thickBot="1" x14ac:dyDescent="0.3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20.100000000000001" customHeight="1" thickBot="1" x14ac:dyDescent="0.3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20.100000000000001" customHeight="1" thickBot="1" x14ac:dyDescent="0.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20.100000000000001" customHeight="1" thickBot="1" x14ac:dyDescent="0.3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20.100000000000001" customHeight="1" thickBot="1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20.100000000000001" customHeight="1" thickBot="1" x14ac:dyDescent="0.3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20.100000000000001" customHeight="1" thickBot="1" x14ac:dyDescent="0.3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20.100000000000001" customHeight="1" thickBot="1" x14ac:dyDescent="0.3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20.100000000000001" customHeight="1" thickBot="1" x14ac:dyDescent="0.3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20.100000000000001" customHeight="1" thickBot="1" x14ac:dyDescent="0.3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20.100000000000001" customHeight="1" thickBot="1" x14ac:dyDescent="0.3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20.100000000000001" customHeight="1" thickBot="1" x14ac:dyDescent="0.3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20.100000000000001" customHeight="1" thickBot="1" x14ac:dyDescent="0.3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20.100000000000001" customHeight="1" thickBot="1" x14ac:dyDescent="0.3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20.100000000000001" customHeight="1" thickBot="1" x14ac:dyDescent="0.3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20.100000000000001" customHeight="1" thickBot="1" x14ac:dyDescent="0.3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20.100000000000001" customHeight="1" thickBot="1" x14ac:dyDescent="0.3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20.100000000000001" customHeight="1" thickBot="1" x14ac:dyDescent="0.3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20.100000000000001" customHeight="1" thickBot="1" x14ac:dyDescent="0.3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20.100000000000001" customHeight="1" thickBot="1" x14ac:dyDescent="0.3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20.100000000000001" customHeight="1" thickBot="1" x14ac:dyDescent="0.3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20.100000000000001" customHeight="1" thickBot="1" x14ac:dyDescent="0.3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20.100000000000001" customHeight="1" thickBot="1" x14ac:dyDescent="0.3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20.100000000000001" customHeight="1" thickBot="1" x14ac:dyDescent="0.3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20.100000000000001" customHeight="1" thickBot="1" x14ac:dyDescent="0.3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20.100000000000001" customHeight="1" thickBot="1" x14ac:dyDescent="0.3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20.100000000000001" customHeight="1" thickBot="1" x14ac:dyDescent="0.3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20.100000000000001" customHeight="1" thickBot="1" x14ac:dyDescent="0.3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20.100000000000001" customHeight="1" thickBot="1" x14ac:dyDescent="0.3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20.100000000000001" customHeight="1" thickBot="1" x14ac:dyDescent="0.3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20.100000000000001" customHeight="1" thickBot="1" x14ac:dyDescent="0.3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20.100000000000001" customHeight="1" thickBot="1" x14ac:dyDescent="0.3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20.100000000000001" customHeight="1" thickBot="1" x14ac:dyDescent="0.3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20.100000000000001" customHeight="1" thickBot="1" x14ac:dyDescent="0.3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20.100000000000001" customHeight="1" thickBot="1" x14ac:dyDescent="0.3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20.100000000000001" customHeight="1" thickBot="1" x14ac:dyDescent="0.3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20.100000000000001" customHeight="1" thickBot="1" x14ac:dyDescent="0.3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20.100000000000001" customHeight="1" thickBot="1" x14ac:dyDescent="0.3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20.100000000000001" customHeight="1" thickBot="1" x14ac:dyDescent="0.3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20.100000000000001" customHeight="1" thickBot="1" x14ac:dyDescent="0.3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20.100000000000001" customHeight="1" thickBot="1" x14ac:dyDescent="0.3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20.100000000000001" customHeight="1" thickBot="1" x14ac:dyDescent="0.3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20.100000000000001" customHeight="1" thickBot="1" x14ac:dyDescent="0.3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20.100000000000001" customHeight="1" thickBot="1" x14ac:dyDescent="0.3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20.100000000000001" customHeight="1" thickBot="1" x14ac:dyDescent="0.3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20.100000000000001" customHeight="1" thickBot="1" x14ac:dyDescent="0.3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20.100000000000001" customHeight="1" thickBot="1" x14ac:dyDescent="0.3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20.100000000000001" customHeight="1" thickBot="1" x14ac:dyDescent="0.3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20.100000000000001" customHeight="1" thickBot="1" x14ac:dyDescent="0.3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20.100000000000001" customHeight="1" thickBot="1" x14ac:dyDescent="0.3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20.100000000000001" customHeight="1" thickBot="1" x14ac:dyDescent="0.3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20.100000000000001" customHeight="1" thickBot="1" x14ac:dyDescent="0.3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20.100000000000001" customHeight="1" thickBot="1" x14ac:dyDescent="0.3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20.100000000000001" customHeight="1" thickBot="1" x14ac:dyDescent="0.3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20.100000000000001" customHeight="1" thickBot="1" x14ac:dyDescent="0.3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20.100000000000001" customHeight="1" thickBot="1" x14ac:dyDescent="0.3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20.100000000000001" customHeight="1" thickBot="1" x14ac:dyDescent="0.3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20.100000000000001" customHeight="1" thickBot="1" x14ac:dyDescent="0.3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20.100000000000001" customHeight="1" thickBot="1" x14ac:dyDescent="0.3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20.100000000000001" customHeight="1" thickBot="1" x14ac:dyDescent="0.3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20.100000000000001" customHeight="1" thickBot="1" x14ac:dyDescent="0.3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20.100000000000001" customHeight="1" thickBot="1" x14ac:dyDescent="0.3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20.100000000000001" customHeight="1" thickBot="1" x14ac:dyDescent="0.3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20.100000000000001" customHeight="1" thickBot="1" x14ac:dyDescent="0.3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20.100000000000001" customHeight="1" thickBot="1" x14ac:dyDescent="0.3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20.100000000000001" customHeight="1" thickBot="1" x14ac:dyDescent="0.3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20.100000000000001" customHeight="1" thickBot="1" x14ac:dyDescent="0.3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20.100000000000001" customHeight="1" thickBot="1" x14ac:dyDescent="0.3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20.100000000000001" customHeight="1" thickBot="1" x14ac:dyDescent="0.3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20.100000000000001" customHeight="1" thickBot="1" x14ac:dyDescent="0.3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20.100000000000001" customHeight="1" thickBot="1" x14ac:dyDescent="0.3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20.100000000000001" customHeight="1" thickBot="1" x14ac:dyDescent="0.3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20.100000000000001" customHeight="1" thickBot="1" x14ac:dyDescent="0.3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20.100000000000001" customHeight="1" thickBot="1" x14ac:dyDescent="0.3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20.100000000000001" customHeight="1" thickBot="1" x14ac:dyDescent="0.3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20.100000000000001" customHeight="1" thickBot="1" x14ac:dyDescent="0.3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20.100000000000001" customHeight="1" thickBot="1" x14ac:dyDescent="0.3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20.100000000000001" customHeight="1" thickBot="1" x14ac:dyDescent="0.3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20.100000000000001" customHeight="1" thickBot="1" x14ac:dyDescent="0.3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20.100000000000001" customHeight="1" thickBot="1" x14ac:dyDescent="0.3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20.100000000000001" customHeight="1" thickBot="1" x14ac:dyDescent="0.3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20.100000000000001" customHeight="1" thickBot="1" x14ac:dyDescent="0.3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20.100000000000001" customHeight="1" thickBot="1" x14ac:dyDescent="0.3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20.100000000000001" customHeight="1" thickBot="1" x14ac:dyDescent="0.3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20.100000000000001" customHeight="1" thickBot="1" x14ac:dyDescent="0.3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20.100000000000001" customHeight="1" thickBot="1" x14ac:dyDescent="0.3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20.100000000000001" customHeight="1" thickBot="1" x14ac:dyDescent="0.3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20.100000000000001" customHeight="1" thickBot="1" x14ac:dyDescent="0.3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20.100000000000001" customHeight="1" thickBot="1" x14ac:dyDescent="0.3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20.100000000000001" customHeight="1" thickBot="1" x14ac:dyDescent="0.3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20.100000000000001" customHeight="1" thickBot="1" x14ac:dyDescent="0.3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20.100000000000001" customHeight="1" thickBot="1" x14ac:dyDescent="0.3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20.100000000000001" customHeight="1" thickBot="1" x14ac:dyDescent="0.3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20.100000000000001" customHeight="1" thickBot="1" x14ac:dyDescent="0.3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20.100000000000001" customHeight="1" thickBot="1" x14ac:dyDescent="0.3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20.100000000000001" customHeight="1" thickBot="1" x14ac:dyDescent="0.3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20.100000000000001" customHeight="1" thickBot="1" x14ac:dyDescent="0.3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20.100000000000001" customHeight="1" thickBot="1" x14ac:dyDescent="0.3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20.100000000000001" customHeight="1" thickBot="1" x14ac:dyDescent="0.3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20.100000000000001" customHeight="1" thickBot="1" x14ac:dyDescent="0.3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20.100000000000001" customHeight="1" thickBot="1" x14ac:dyDescent="0.3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20.100000000000001" customHeight="1" thickBot="1" x14ac:dyDescent="0.3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20.100000000000001" customHeight="1" thickBot="1" x14ac:dyDescent="0.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20.100000000000001" customHeight="1" thickBot="1" x14ac:dyDescent="0.3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20.100000000000001" customHeight="1" thickBot="1" x14ac:dyDescent="0.3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20.100000000000001" customHeight="1" thickBot="1" x14ac:dyDescent="0.3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20.100000000000001" customHeight="1" thickBot="1" x14ac:dyDescent="0.3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20.100000000000001" customHeight="1" thickBot="1" x14ac:dyDescent="0.3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20.100000000000001" customHeight="1" thickBot="1" x14ac:dyDescent="0.3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20.100000000000001" customHeight="1" thickBot="1" x14ac:dyDescent="0.3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20.100000000000001" customHeight="1" thickBot="1" x14ac:dyDescent="0.3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20.100000000000001" customHeight="1" thickBot="1" x14ac:dyDescent="0.3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20.100000000000001" customHeight="1" thickBot="1" x14ac:dyDescent="0.3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20.100000000000001" customHeight="1" thickBot="1" x14ac:dyDescent="0.3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20.100000000000001" customHeight="1" thickBot="1" x14ac:dyDescent="0.3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20.100000000000001" customHeight="1" thickBot="1" x14ac:dyDescent="0.3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20.100000000000001" customHeight="1" thickBot="1" x14ac:dyDescent="0.3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20.100000000000001" customHeight="1" thickBot="1" x14ac:dyDescent="0.3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20.100000000000001" customHeight="1" thickBot="1" x14ac:dyDescent="0.3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20.100000000000001" customHeight="1" thickBot="1" x14ac:dyDescent="0.3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20.100000000000001" customHeight="1" thickBot="1" x14ac:dyDescent="0.3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20.100000000000001" customHeight="1" thickBot="1" x14ac:dyDescent="0.3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20.100000000000001" customHeight="1" thickBot="1" x14ac:dyDescent="0.3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20.100000000000001" customHeight="1" thickBot="1" x14ac:dyDescent="0.3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20.100000000000001" customHeight="1" thickBot="1" x14ac:dyDescent="0.3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20.100000000000001" customHeight="1" thickBot="1" x14ac:dyDescent="0.3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20.100000000000001" customHeight="1" thickBot="1" x14ac:dyDescent="0.3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20.100000000000001" customHeight="1" thickBot="1" x14ac:dyDescent="0.3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20.100000000000001" customHeight="1" thickBot="1" x14ac:dyDescent="0.3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20.100000000000001" customHeight="1" thickBot="1" x14ac:dyDescent="0.3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20.100000000000001" customHeight="1" thickBot="1" x14ac:dyDescent="0.3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20.100000000000001" customHeight="1" thickBot="1" x14ac:dyDescent="0.3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20.100000000000001" customHeight="1" thickBot="1" x14ac:dyDescent="0.3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20.100000000000001" customHeight="1" thickBot="1" x14ac:dyDescent="0.3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20.100000000000001" customHeight="1" thickBot="1" x14ac:dyDescent="0.3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20.100000000000001" customHeight="1" thickBot="1" x14ac:dyDescent="0.3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20.100000000000001" customHeight="1" thickBot="1" x14ac:dyDescent="0.3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20.100000000000001" customHeight="1" thickBot="1" x14ac:dyDescent="0.3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20.100000000000001" customHeight="1" thickBot="1" x14ac:dyDescent="0.3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20.100000000000001" customHeight="1" thickBot="1" x14ac:dyDescent="0.3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20.100000000000001" customHeight="1" thickBot="1" x14ac:dyDescent="0.3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20.100000000000001" customHeight="1" thickBot="1" x14ac:dyDescent="0.3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20.100000000000001" customHeight="1" thickBot="1" x14ac:dyDescent="0.3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20.100000000000001" customHeight="1" thickBot="1" x14ac:dyDescent="0.3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20.100000000000001" customHeight="1" thickBot="1" x14ac:dyDescent="0.3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20.100000000000001" customHeight="1" thickBot="1" x14ac:dyDescent="0.3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20.100000000000001" customHeight="1" thickBot="1" x14ac:dyDescent="0.3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20.100000000000001" customHeight="1" thickBot="1" x14ac:dyDescent="0.3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20.100000000000001" customHeight="1" thickBot="1" x14ac:dyDescent="0.3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20.100000000000001" customHeight="1" thickBot="1" x14ac:dyDescent="0.3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20.100000000000001" customHeight="1" thickBot="1" x14ac:dyDescent="0.3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20.100000000000001" customHeight="1" thickBot="1" x14ac:dyDescent="0.3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20.100000000000001" customHeight="1" thickBot="1" x14ac:dyDescent="0.3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20.100000000000001" customHeight="1" thickBot="1" x14ac:dyDescent="0.3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20.100000000000001" customHeight="1" thickBot="1" x14ac:dyDescent="0.3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20.100000000000001" customHeight="1" thickBot="1" x14ac:dyDescent="0.3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20.100000000000001" customHeight="1" thickBot="1" x14ac:dyDescent="0.3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20.100000000000001" customHeight="1" thickBot="1" x14ac:dyDescent="0.3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20.100000000000001" customHeight="1" thickBot="1" x14ac:dyDescent="0.3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20.100000000000001" customHeight="1" thickBot="1" x14ac:dyDescent="0.3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20.100000000000001" customHeight="1" thickBot="1" x14ac:dyDescent="0.3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20.100000000000001" customHeight="1" thickBot="1" x14ac:dyDescent="0.3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20.100000000000001" customHeight="1" thickBot="1" x14ac:dyDescent="0.3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20.100000000000001" customHeight="1" thickBot="1" x14ac:dyDescent="0.3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20.100000000000001" customHeight="1" thickBot="1" x14ac:dyDescent="0.3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20.100000000000001" customHeight="1" thickBot="1" x14ac:dyDescent="0.3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20.100000000000001" customHeight="1" thickBot="1" x14ac:dyDescent="0.3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20.100000000000001" customHeight="1" thickBot="1" x14ac:dyDescent="0.3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20.100000000000001" customHeight="1" thickBot="1" x14ac:dyDescent="0.3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20.100000000000001" customHeight="1" thickBot="1" x14ac:dyDescent="0.3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20.100000000000001" customHeight="1" thickBot="1" x14ac:dyDescent="0.3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20.100000000000001" customHeight="1" thickBot="1" x14ac:dyDescent="0.3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20.100000000000001" customHeight="1" thickBot="1" x14ac:dyDescent="0.3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20.100000000000001" customHeight="1" thickBot="1" x14ac:dyDescent="0.3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20.100000000000001" customHeight="1" thickBot="1" x14ac:dyDescent="0.3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20.100000000000001" customHeight="1" thickBot="1" x14ac:dyDescent="0.3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20.100000000000001" customHeight="1" thickBot="1" x14ac:dyDescent="0.3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20.100000000000001" customHeight="1" thickBot="1" x14ac:dyDescent="0.3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20.100000000000001" customHeight="1" thickBot="1" x14ac:dyDescent="0.3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20.100000000000001" customHeight="1" thickBot="1" x14ac:dyDescent="0.3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20.100000000000001" customHeight="1" thickBot="1" x14ac:dyDescent="0.3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20.100000000000001" customHeight="1" thickBot="1" x14ac:dyDescent="0.3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20.100000000000001" customHeight="1" thickBot="1" x14ac:dyDescent="0.3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20.100000000000001" customHeight="1" thickBot="1" x14ac:dyDescent="0.3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20.100000000000001" customHeight="1" thickBot="1" x14ac:dyDescent="0.3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20.100000000000001" customHeight="1" thickBot="1" x14ac:dyDescent="0.3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20.100000000000001" customHeight="1" thickBot="1" x14ac:dyDescent="0.3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20.100000000000001" customHeight="1" thickBot="1" x14ac:dyDescent="0.3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20.100000000000001" customHeight="1" thickBot="1" x14ac:dyDescent="0.3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20.100000000000001" customHeight="1" thickBot="1" x14ac:dyDescent="0.3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20.100000000000001" customHeight="1" thickBot="1" x14ac:dyDescent="0.3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20.100000000000001" customHeight="1" thickBot="1" x14ac:dyDescent="0.3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20.100000000000001" customHeight="1" thickBot="1" x14ac:dyDescent="0.3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20.100000000000001" customHeight="1" thickBot="1" x14ac:dyDescent="0.3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20.100000000000001" customHeight="1" thickBot="1" x14ac:dyDescent="0.3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20.100000000000001" customHeight="1" thickBot="1" x14ac:dyDescent="0.3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20.100000000000001" customHeight="1" thickBot="1" x14ac:dyDescent="0.3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20.100000000000001" customHeight="1" thickBot="1" x14ac:dyDescent="0.3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20.100000000000001" customHeight="1" thickBot="1" x14ac:dyDescent="0.3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20.100000000000001" customHeight="1" thickBot="1" x14ac:dyDescent="0.3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20.100000000000001" customHeight="1" thickBot="1" x14ac:dyDescent="0.3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20.100000000000001" customHeight="1" thickBot="1" x14ac:dyDescent="0.3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20.100000000000001" customHeight="1" thickBot="1" x14ac:dyDescent="0.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20.100000000000001" customHeight="1" thickBot="1" x14ac:dyDescent="0.3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20.100000000000001" customHeight="1" thickBot="1" x14ac:dyDescent="0.3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20.100000000000001" customHeight="1" thickBot="1" x14ac:dyDescent="0.3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20.100000000000001" customHeight="1" thickBot="1" x14ac:dyDescent="0.3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20.100000000000001" customHeight="1" thickBot="1" x14ac:dyDescent="0.3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20.100000000000001" customHeight="1" thickBot="1" x14ac:dyDescent="0.3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20.100000000000001" customHeight="1" thickBot="1" x14ac:dyDescent="0.3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20.100000000000001" customHeight="1" thickBot="1" x14ac:dyDescent="0.3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20.100000000000001" customHeight="1" thickBot="1" x14ac:dyDescent="0.3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20.100000000000001" customHeight="1" thickBot="1" x14ac:dyDescent="0.3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20.100000000000001" customHeight="1" thickBot="1" x14ac:dyDescent="0.3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20.100000000000001" customHeight="1" thickBot="1" x14ac:dyDescent="0.3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20.100000000000001" customHeight="1" thickBot="1" x14ac:dyDescent="0.3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20.100000000000001" customHeight="1" thickBot="1" x14ac:dyDescent="0.3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20.100000000000001" customHeight="1" thickBot="1" x14ac:dyDescent="0.3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20.100000000000001" customHeight="1" thickBot="1" x14ac:dyDescent="0.3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20.100000000000001" customHeight="1" thickBot="1" x14ac:dyDescent="0.3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20.100000000000001" customHeight="1" thickBot="1" x14ac:dyDescent="0.3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20.100000000000001" customHeight="1" thickBot="1" x14ac:dyDescent="0.3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20.100000000000001" customHeight="1" thickBot="1" x14ac:dyDescent="0.3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20.100000000000001" customHeight="1" thickBot="1" x14ac:dyDescent="0.3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20.100000000000001" customHeight="1" thickBot="1" x14ac:dyDescent="0.3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20.100000000000001" customHeight="1" thickBot="1" x14ac:dyDescent="0.3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20.100000000000001" customHeight="1" thickBot="1" x14ac:dyDescent="0.3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20.100000000000001" customHeight="1" thickBot="1" x14ac:dyDescent="0.3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20.100000000000001" customHeight="1" thickBot="1" x14ac:dyDescent="0.3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20.100000000000001" customHeight="1" thickBot="1" x14ac:dyDescent="0.3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20.100000000000001" customHeight="1" thickBot="1" x14ac:dyDescent="0.3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20.100000000000001" customHeight="1" thickBot="1" x14ac:dyDescent="0.3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20.100000000000001" customHeight="1" thickBot="1" x14ac:dyDescent="0.3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20.100000000000001" customHeight="1" thickBot="1" x14ac:dyDescent="0.3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20.100000000000001" customHeight="1" thickBot="1" x14ac:dyDescent="0.3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20.100000000000001" customHeight="1" thickBot="1" x14ac:dyDescent="0.3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20.100000000000001" customHeight="1" thickBot="1" x14ac:dyDescent="0.3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20.100000000000001" customHeight="1" thickBot="1" x14ac:dyDescent="0.3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20.100000000000001" customHeight="1" thickBot="1" x14ac:dyDescent="0.3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20.100000000000001" customHeight="1" thickBot="1" x14ac:dyDescent="0.3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20.100000000000001" customHeight="1" thickBot="1" x14ac:dyDescent="0.3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20.100000000000001" customHeight="1" thickBot="1" x14ac:dyDescent="0.3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20.100000000000001" customHeight="1" thickBot="1" x14ac:dyDescent="0.3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20.100000000000001" customHeight="1" thickBot="1" x14ac:dyDescent="0.3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20.100000000000001" customHeight="1" thickBot="1" x14ac:dyDescent="0.3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20.100000000000001" customHeight="1" thickBot="1" x14ac:dyDescent="0.3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20.100000000000001" customHeight="1" thickBot="1" x14ac:dyDescent="0.3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20.100000000000001" customHeight="1" thickBot="1" x14ac:dyDescent="0.3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20.100000000000001" customHeight="1" thickBot="1" x14ac:dyDescent="0.3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20.100000000000001" customHeight="1" thickBot="1" x14ac:dyDescent="0.3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20.100000000000001" customHeight="1" thickBot="1" x14ac:dyDescent="0.3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20.100000000000001" customHeight="1" thickBot="1" x14ac:dyDescent="0.3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20.100000000000001" customHeight="1" thickBot="1" x14ac:dyDescent="0.3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20.100000000000001" customHeight="1" thickBot="1" x14ac:dyDescent="0.3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20.100000000000001" customHeight="1" thickBot="1" x14ac:dyDescent="0.3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20.100000000000001" customHeight="1" thickBot="1" x14ac:dyDescent="0.3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20.100000000000001" customHeight="1" thickBot="1" x14ac:dyDescent="0.3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20.100000000000001" customHeight="1" thickBot="1" x14ac:dyDescent="0.3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20.100000000000001" customHeight="1" thickBot="1" x14ac:dyDescent="0.3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20.100000000000001" customHeight="1" thickBot="1" x14ac:dyDescent="0.3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20.100000000000001" customHeight="1" thickBot="1" x14ac:dyDescent="0.3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20.100000000000001" customHeight="1" thickBot="1" x14ac:dyDescent="0.3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20.100000000000001" customHeight="1" thickBot="1" x14ac:dyDescent="0.3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20.100000000000001" customHeight="1" thickBot="1" x14ac:dyDescent="0.3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20.100000000000001" customHeight="1" thickBot="1" x14ac:dyDescent="0.3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20.100000000000001" customHeight="1" thickBot="1" x14ac:dyDescent="0.3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20.100000000000001" customHeight="1" thickBot="1" x14ac:dyDescent="0.3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20.100000000000001" customHeight="1" thickBot="1" x14ac:dyDescent="0.3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20.100000000000001" customHeight="1" thickBot="1" x14ac:dyDescent="0.3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20.100000000000001" customHeight="1" thickBot="1" x14ac:dyDescent="0.3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20.100000000000001" customHeight="1" thickBot="1" x14ac:dyDescent="0.3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20.100000000000001" customHeight="1" thickBot="1" x14ac:dyDescent="0.3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20.100000000000001" customHeight="1" thickBot="1" x14ac:dyDescent="0.3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20.100000000000001" customHeight="1" thickBot="1" x14ac:dyDescent="0.3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20.100000000000001" customHeight="1" thickBot="1" x14ac:dyDescent="0.3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20.100000000000001" customHeight="1" thickBot="1" x14ac:dyDescent="0.3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20.100000000000001" customHeight="1" thickBot="1" x14ac:dyDescent="0.3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20.100000000000001" customHeight="1" thickBot="1" x14ac:dyDescent="0.3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20.100000000000001" customHeight="1" thickBot="1" x14ac:dyDescent="0.3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20.100000000000001" customHeight="1" thickBot="1" x14ac:dyDescent="0.3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20.100000000000001" customHeight="1" thickBot="1" x14ac:dyDescent="0.3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20.100000000000001" customHeight="1" thickBot="1" x14ac:dyDescent="0.3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20.100000000000001" customHeight="1" thickBot="1" x14ac:dyDescent="0.3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20.100000000000001" customHeight="1" thickBot="1" x14ac:dyDescent="0.3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20.100000000000001" customHeight="1" thickBot="1" x14ac:dyDescent="0.3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20.100000000000001" customHeight="1" thickBot="1" x14ac:dyDescent="0.3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20.100000000000001" customHeight="1" thickBot="1" x14ac:dyDescent="0.3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20.100000000000001" customHeight="1" thickBot="1" x14ac:dyDescent="0.3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20.100000000000001" customHeight="1" thickBot="1" x14ac:dyDescent="0.3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20.100000000000001" customHeight="1" thickBot="1" x14ac:dyDescent="0.3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20.100000000000001" customHeight="1" thickBot="1" x14ac:dyDescent="0.3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20.100000000000001" customHeight="1" thickBot="1" x14ac:dyDescent="0.3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20.100000000000001" customHeight="1" thickBot="1" x14ac:dyDescent="0.3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20.100000000000001" customHeight="1" thickBot="1" x14ac:dyDescent="0.3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20.100000000000001" customHeight="1" thickBot="1" x14ac:dyDescent="0.3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20.100000000000001" customHeight="1" thickBot="1" x14ac:dyDescent="0.3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20.100000000000001" customHeight="1" thickBot="1" x14ac:dyDescent="0.3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20.100000000000001" customHeight="1" thickBot="1" x14ac:dyDescent="0.3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20.100000000000001" customHeight="1" thickBot="1" x14ac:dyDescent="0.3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20.100000000000001" customHeight="1" thickBot="1" x14ac:dyDescent="0.3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20.100000000000001" customHeight="1" thickBot="1" x14ac:dyDescent="0.3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20.100000000000001" customHeight="1" thickBot="1" x14ac:dyDescent="0.3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20.100000000000001" customHeight="1" thickBot="1" x14ac:dyDescent="0.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20.100000000000001" customHeight="1" thickBot="1" x14ac:dyDescent="0.3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20.100000000000001" customHeight="1" thickBot="1" x14ac:dyDescent="0.3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20.100000000000001" customHeight="1" thickBot="1" x14ac:dyDescent="0.3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20.100000000000001" customHeight="1" thickBot="1" x14ac:dyDescent="0.3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20.100000000000001" customHeight="1" thickBot="1" x14ac:dyDescent="0.3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20.100000000000001" customHeight="1" thickBot="1" x14ac:dyDescent="0.3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20.100000000000001" customHeight="1" thickBot="1" x14ac:dyDescent="0.3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20.100000000000001" customHeight="1" thickBot="1" x14ac:dyDescent="0.3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20.100000000000001" customHeight="1" thickBot="1" x14ac:dyDescent="0.3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20.100000000000001" customHeight="1" thickBot="1" x14ac:dyDescent="0.3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20.100000000000001" customHeight="1" thickBot="1" x14ac:dyDescent="0.3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20.100000000000001" customHeight="1" thickBot="1" x14ac:dyDescent="0.3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20.100000000000001" customHeight="1" thickBot="1" x14ac:dyDescent="0.3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20.100000000000001" customHeight="1" thickBot="1" x14ac:dyDescent="0.3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20.100000000000001" customHeight="1" thickBot="1" x14ac:dyDescent="0.3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20.100000000000001" customHeight="1" thickBot="1" x14ac:dyDescent="0.3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20.100000000000001" customHeight="1" thickBot="1" x14ac:dyDescent="0.3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20.100000000000001" customHeight="1" thickBot="1" x14ac:dyDescent="0.3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20.100000000000001" customHeight="1" thickBot="1" x14ac:dyDescent="0.3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20.100000000000001" customHeight="1" thickBot="1" x14ac:dyDescent="0.3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20.100000000000001" customHeight="1" thickBot="1" x14ac:dyDescent="0.3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20.100000000000001" customHeight="1" thickBot="1" x14ac:dyDescent="0.3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20.100000000000001" customHeight="1" thickBot="1" x14ac:dyDescent="0.3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20.100000000000001" customHeight="1" thickBot="1" x14ac:dyDescent="0.3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20.100000000000001" customHeight="1" thickBot="1" x14ac:dyDescent="0.3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20.100000000000001" customHeight="1" thickBot="1" x14ac:dyDescent="0.3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20.100000000000001" customHeight="1" thickBot="1" x14ac:dyDescent="0.3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20.100000000000001" customHeight="1" thickBot="1" x14ac:dyDescent="0.3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20.100000000000001" customHeight="1" thickBot="1" x14ac:dyDescent="0.3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20.100000000000001" customHeight="1" thickBot="1" x14ac:dyDescent="0.3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20.100000000000001" customHeight="1" thickBot="1" x14ac:dyDescent="0.3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20.100000000000001" customHeight="1" thickBot="1" x14ac:dyDescent="0.3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20.100000000000001" customHeight="1" thickBot="1" x14ac:dyDescent="0.3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20.100000000000001" customHeight="1" thickBot="1" x14ac:dyDescent="0.3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20.100000000000001" customHeight="1" thickBot="1" x14ac:dyDescent="0.3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20.100000000000001" customHeight="1" thickBot="1" x14ac:dyDescent="0.3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20.100000000000001" customHeight="1" thickBot="1" x14ac:dyDescent="0.3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20.100000000000001" customHeight="1" thickBot="1" x14ac:dyDescent="0.3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20.100000000000001" customHeight="1" thickBot="1" x14ac:dyDescent="0.3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20.100000000000001" customHeight="1" thickBot="1" x14ac:dyDescent="0.3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20.100000000000001" customHeight="1" thickBot="1" x14ac:dyDescent="0.3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20.100000000000001" customHeight="1" thickBot="1" x14ac:dyDescent="0.3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20.100000000000001" customHeight="1" thickBot="1" x14ac:dyDescent="0.3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20.100000000000001" customHeight="1" thickBot="1" x14ac:dyDescent="0.3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20.100000000000001" customHeight="1" thickBot="1" x14ac:dyDescent="0.3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20.100000000000001" customHeight="1" thickBot="1" x14ac:dyDescent="0.3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20.100000000000001" customHeight="1" thickBot="1" x14ac:dyDescent="0.3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20.100000000000001" customHeight="1" thickBot="1" x14ac:dyDescent="0.3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20.100000000000001" customHeight="1" thickBot="1" x14ac:dyDescent="0.3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20.100000000000001" customHeight="1" thickBot="1" x14ac:dyDescent="0.3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20.100000000000001" customHeight="1" thickBot="1" x14ac:dyDescent="0.3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20.100000000000001" customHeight="1" thickBot="1" x14ac:dyDescent="0.3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20.100000000000001" customHeight="1" thickBot="1" x14ac:dyDescent="0.3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20.100000000000001" customHeight="1" thickBot="1" x14ac:dyDescent="0.3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20.100000000000001" customHeight="1" thickBot="1" x14ac:dyDescent="0.3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20.100000000000001" customHeight="1" thickBot="1" x14ac:dyDescent="0.3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20.100000000000001" customHeight="1" thickBot="1" x14ac:dyDescent="0.3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20.100000000000001" customHeight="1" thickBot="1" x14ac:dyDescent="0.3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20.100000000000001" customHeight="1" thickBot="1" x14ac:dyDescent="0.3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20.100000000000001" customHeight="1" thickBot="1" x14ac:dyDescent="0.3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20.100000000000001" customHeight="1" thickBot="1" x14ac:dyDescent="0.3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20.100000000000001" customHeight="1" thickBot="1" x14ac:dyDescent="0.3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20.100000000000001" customHeight="1" thickBot="1" x14ac:dyDescent="0.3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20.100000000000001" customHeight="1" thickBot="1" x14ac:dyDescent="0.3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20.100000000000001" customHeight="1" thickBot="1" x14ac:dyDescent="0.3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20.100000000000001" customHeight="1" thickBot="1" x14ac:dyDescent="0.3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20.100000000000001" customHeight="1" thickBot="1" x14ac:dyDescent="0.3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20.100000000000001" customHeight="1" thickBot="1" x14ac:dyDescent="0.3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20.100000000000001" customHeight="1" thickBot="1" x14ac:dyDescent="0.3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20.100000000000001" customHeight="1" thickBot="1" x14ac:dyDescent="0.3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20.100000000000001" customHeight="1" thickBot="1" x14ac:dyDescent="0.3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20.100000000000001" customHeight="1" thickBot="1" x14ac:dyDescent="0.3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20.100000000000001" customHeight="1" thickBot="1" x14ac:dyDescent="0.3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20.100000000000001" customHeight="1" thickBot="1" x14ac:dyDescent="0.3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20.100000000000001" customHeight="1" thickBot="1" x14ac:dyDescent="0.3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20.100000000000001" customHeight="1" thickBot="1" x14ac:dyDescent="0.3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20.100000000000001" customHeight="1" thickBot="1" x14ac:dyDescent="0.3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20.100000000000001" customHeight="1" thickBot="1" x14ac:dyDescent="0.3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20.100000000000001" customHeight="1" thickBot="1" x14ac:dyDescent="0.3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20.100000000000001" customHeight="1" thickBot="1" x14ac:dyDescent="0.3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20.100000000000001" customHeight="1" thickBot="1" x14ac:dyDescent="0.3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20.100000000000001" customHeight="1" thickBot="1" x14ac:dyDescent="0.3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20.100000000000001" customHeight="1" thickBot="1" x14ac:dyDescent="0.3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20.100000000000001" customHeight="1" thickBot="1" x14ac:dyDescent="0.3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20.100000000000001" customHeight="1" thickBot="1" x14ac:dyDescent="0.3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20.100000000000001" customHeight="1" thickBot="1" x14ac:dyDescent="0.3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20.100000000000001" customHeight="1" thickBot="1" x14ac:dyDescent="0.3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20.100000000000001" customHeight="1" thickBot="1" x14ac:dyDescent="0.3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20.100000000000001" customHeight="1" thickBot="1" x14ac:dyDescent="0.3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20.100000000000001" customHeight="1" thickBot="1" x14ac:dyDescent="0.3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20.100000000000001" customHeight="1" thickBot="1" x14ac:dyDescent="0.3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20.100000000000001" customHeight="1" thickBot="1" x14ac:dyDescent="0.3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20.100000000000001" customHeight="1" thickBot="1" x14ac:dyDescent="0.3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20.100000000000001" customHeight="1" thickBot="1" x14ac:dyDescent="0.3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20.100000000000001" customHeight="1" thickBot="1" x14ac:dyDescent="0.3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20.100000000000001" customHeight="1" thickBot="1" x14ac:dyDescent="0.3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20.100000000000001" customHeight="1" thickBot="1" x14ac:dyDescent="0.3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20.100000000000001" customHeight="1" thickBot="1" x14ac:dyDescent="0.3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20.100000000000001" customHeight="1" thickBot="1" x14ac:dyDescent="0.3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20.100000000000001" customHeight="1" thickBot="1" x14ac:dyDescent="0.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20.100000000000001" customHeight="1" thickBot="1" x14ac:dyDescent="0.3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20.100000000000001" customHeight="1" thickBot="1" x14ac:dyDescent="0.3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20.100000000000001" customHeight="1" thickBot="1" x14ac:dyDescent="0.3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20.100000000000001" customHeight="1" thickBot="1" x14ac:dyDescent="0.3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20.100000000000001" customHeight="1" thickBot="1" x14ac:dyDescent="0.3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20.100000000000001" customHeight="1" thickBot="1" x14ac:dyDescent="0.3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20.100000000000001" customHeight="1" thickBot="1" x14ac:dyDescent="0.3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20.100000000000001" customHeight="1" thickBot="1" x14ac:dyDescent="0.3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20.100000000000001" customHeight="1" thickBot="1" x14ac:dyDescent="0.3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20.100000000000001" customHeight="1" thickBot="1" x14ac:dyDescent="0.3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20.100000000000001" customHeight="1" thickBot="1" x14ac:dyDescent="0.3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20.100000000000001" customHeight="1" thickBot="1" x14ac:dyDescent="0.3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20.100000000000001" customHeight="1" thickBot="1" x14ac:dyDescent="0.3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20.100000000000001" customHeight="1" thickBot="1" x14ac:dyDescent="0.3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20.100000000000001" customHeight="1" thickBot="1" x14ac:dyDescent="0.3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20.100000000000001" customHeight="1" thickBot="1" x14ac:dyDescent="0.3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20.100000000000001" customHeight="1" thickBot="1" x14ac:dyDescent="0.3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20.100000000000001" customHeight="1" thickBot="1" x14ac:dyDescent="0.3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20.100000000000001" customHeight="1" thickBot="1" x14ac:dyDescent="0.3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20.100000000000001" customHeight="1" thickBot="1" x14ac:dyDescent="0.3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20.100000000000001" customHeight="1" thickBot="1" x14ac:dyDescent="0.3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20.100000000000001" customHeight="1" thickBot="1" x14ac:dyDescent="0.3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20.100000000000001" customHeight="1" thickBot="1" x14ac:dyDescent="0.3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20.100000000000001" customHeight="1" thickBot="1" x14ac:dyDescent="0.3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20.100000000000001" customHeight="1" thickBot="1" x14ac:dyDescent="0.3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20.100000000000001" customHeight="1" thickBot="1" x14ac:dyDescent="0.3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20.100000000000001" customHeight="1" thickBot="1" x14ac:dyDescent="0.3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20.100000000000001" customHeight="1" thickBot="1" x14ac:dyDescent="0.3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20.100000000000001" customHeight="1" thickBot="1" x14ac:dyDescent="0.3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20.100000000000001" customHeight="1" thickBot="1" x14ac:dyDescent="0.3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20.100000000000001" customHeight="1" thickBot="1" x14ac:dyDescent="0.3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20.100000000000001" customHeight="1" thickBot="1" x14ac:dyDescent="0.3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20.100000000000001" customHeight="1" thickBot="1" x14ac:dyDescent="0.3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20.100000000000001" customHeight="1" thickBot="1" x14ac:dyDescent="0.3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20.100000000000001" customHeight="1" thickBot="1" x14ac:dyDescent="0.3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20.100000000000001" customHeight="1" thickBot="1" x14ac:dyDescent="0.3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20.100000000000001" customHeight="1" thickBot="1" x14ac:dyDescent="0.3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20.100000000000001" customHeight="1" thickBot="1" x14ac:dyDescent="0.3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20.100000000000001" customHeight="1" thickBot="1" x14ac:dyDescent="0.3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20.100000000000001" customHeight="1" thickBot="1" x14ac:dyDescent="0.3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20.100000000000001" customHeight="1" thickBot="1" x14ac:dyDescent="0.3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20.100000000000001" customHeight="1" thickBot="1" x14ac:dyDescent="0.3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20.100000000000001" customHeight="1" thickBot="1" x14ac:dyDescent="0.3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20.100000000000001" customHeight="1" thickBot="1" x14ac:dyDescent="0.3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20.100000000000001" customHeight="1" thickBot="1" x14ac:dyDescent="0.3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20.100000000000001" customHeight="1" thickBot="1" x14ac:dyDescent="0.3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20.100000000000001" customHeight="1" thickBot="1" x14ac:dyDescent="0.3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20.100000000000001" customHeight="1" thickBot="1" x14ac:dyDescent="0.3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20.100000000000001" customHeight="1" thickBot="1" x14ac:dyDescent="0.3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20.100000000000001" customHeight="1" thickBot="1" x14ac:dyDescent="0.3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20.100000000000001" customHeight="1" thickBot="1" x14ac:dyDescent="0.3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20.100000000000001" customHeight="1" thickBot="1" x14ac:dyDescent="0.3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20.100000000000001" customHeight="1" thickBot="1" x14ac:dyDescent="0.3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20.100000000000001" customHeight="1" thickBot="1" x14ac:dyDescent="0.3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20.100000000000001" customHeight="1" thickBot="1" x14ac:dyDescent="0.3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20.100000000000001" customHeight="1" thickBot="1" x14ac:dyDescent="0.3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20.100000000000001" customHeight="1" thickBot="1" x14ac:dyDescent="0.3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20.100000000000001" customHeight="1" thickBot="1" x14ac:dyDescent="0.3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20.100000000000001" customHeight="1" thickBot="1" x14ac:dyDescent="0.3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20.100000000000001" customHeight="1" thickBot="1" x14ac:dyDescent="0.3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20.100000000000001" customHeight="1" thickBot="1" x14ac:dyDescent="0.3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20.100000000000001" customHeight="1" thickBot="1" x14ac:dyDescent="0.3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20.100000000000001" customHeight="1" thickBot="1" x14ac:dyDescent="0.3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20.100000000000001" customHeight="1" thickBot="1" x14ac:dyDescent="0.3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20.100000000000001" customHeight="1" thickBot="1" x14ac:dyDescent="0.3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20.100000000000001" customHeight="1" thickBot="1" x14ac:dyDescent="0.3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20.100000000000001" customHeight="1" thickBot="1" x14ac:dyDescent="0.3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20.100000000000001" customHeight="1" thickBot="1" x14ac:dyDescent="0.3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20.100000000000001" customHeight="1" thickBot="1" x14ac:dyDescent="0.3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20.100000000000001" customHeight="1" thickBot="1" x14ac:dyDescent="0.3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20.100000000000001" customHeight="1" thickBot="1" x14ac:dyDescent="0.3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20.100000000000001" customHeight="1" thickBot="1" x14ac:dyDescent="0.3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20.100000000000001" customHeight="1" thickBot="1" x14ac:dyDescent="0.3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20.100000000000001" customHeight="1" thickBot="1" x14ac:dyDescent="0.3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20.100000000000001" customHeight="1" thickBot="1" x14ac:dyDescent="0.3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20.100000000000001" customHeight="1" thickBot="1" x14ac:dyDescent="0.3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20.100000000000001" customHeight="1" thickBot="1" x14ac:dyDescent="0.3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20.100000000000001" customHeight="1" thickBot="1" x14ac:dyDescent="0.3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20.100000000000001" customHeight="1" thickBot="1" x14ac:dyDescent="0.3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20.100000000000001" customHeight="1" thickBot="1" x14ac:dyDescent="0.3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20.100000000000001" customHeight="1" thickBot="1" x14ac:dyDescent="0.3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20.100000000000001" customHeight="1" thickBot="1" x14ac:dyDescent="0.3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20.100000000000001" customHeight="1" thickBot="1" x14ac:dyDescent="0.3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20.100000000000001" customHeight="1" thickBot="1" x14ac:dyDescent="0.3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20.100000000000001" customHeight="1" thickBot="1" x14ac:dyDescent="0.3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20.100000000000001" customHeight="1" thickBot="1" x14ac:dyDescent="0.3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20.100000000000001" customHeight="1" thickBot="1" x14ac:dyDescent="0.3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20.100000000000001" customHeight="1" thickBot="1" x14ac:dyDescent="0.3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20.100000000000001" customHeight="1" thickBot="1" x14ac:dyDescent="0.3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20.100000000000001" customHeight="1" thickBot="1" x14ac:dyDescent="0.3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20.100000000000001" customHeight="1" thickBot="1" x14ac:dyDescent="0.3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20.100000000000001" customHeight="1" thickBot="1" x14ac:dyDescent="0.3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20.100000000000001" customHeight="1" thickBot="1" x14ac:dyDescent="0.3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20.100000000000001" customHeight="1" thickBot="1" x14ac:dyDescent="0.3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20.100000000000001" customHeight="1" thickBot="1" x14ac:dyDescent="0.3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20.100000000000001" customHeight="1" thickBot="1" x14ac:dyDescent="0.3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20.100000000000001" customHeight="1" thickBot="1" x14ac:dyDescent="0.3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20.100000000000001" customHeight="1" thickBot="1" x14ac:dyDescent="0.3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20.100000000000001" customHeight="1" thickBot="1" x14ac:dyDescent="0.3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20.100000000000001" customHeight="1" thickBot="1" x14ac:dyDescent="0.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20.100000000000001" customHeight="1" thickBot="1" x14ac:dyDescent="0.3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20.100000000000001" customHeight="1" thickBot="1" x14ac:dyDescent="0.3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20.100000000000001" customHeight="1" thickBot="1" x14ac:dyDescent="0.3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20.100000000000001" customHeight="1" thickBot="1" x14ac:dyDescent="0.3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20.100000000000001" customHeight="1" thickBot="1" x14ac:dyDescent="0.3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20.100000000000001" customHeight="1" thickBot="1" x14ac:dyDescent="0.3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20.100000000000001" customHeight="1" thickBot="1" x14ac:dyDescent="0.3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20.100000000000001" customHeight="1" thickBot="1" x14ac:dyDescent="0.3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20.100000000000001" customHeight="1" thickBot="1" x14ac:dyDescent="0.3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20.100000000000001" customHeight="1" thickBot="1" x14ac:dyDescent="0.3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20.100000000000001" customHeight="1" thickBot="1" x14ac:dyDescent="0.3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20.100000000000001" customHeight="1" thickBot="1" x14ac:dyDescent="0.3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20.100000000000001" customHeight="1" thickBot="1" x14ac:dyDescent="0.3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20.100000000000001" customHeight="1" thickBot="1" x14ac:dyDescent="0.3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20.100000000000001" customHeight="1" thickBot="1" x14ac:dyDescent="0.3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20.100000000000001" customHeight="1" thickBot="1" x14ac:dyDescent="0.3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20.100000000000001" customHeight="1" thickBot="1" x14ac:dyDescent="0.3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20.100000000000001" customHeight="1" thickBot="1" x14ac:dyDescent="0.3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20.100000000000001" customHeight="1" thickBot="1" x14ac:dyDescent="0.3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20.100000000000001" customHeight="1" thickBot="1" x14ac:dyDescent="0.3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20.100000000000001" customHeight="1" thickBot="1" x14ac:dyDescent="0.3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20.100000000000001" customHeight="1" thickBot="1" x14ac:dyDescent="0.3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20.100000000000001" customHeight="1" thickBot="1" x14ac:dyDescent="0.3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20.100000000000001" customHeight="1" thickBot="1" x14ac:dyDescent="0.3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20.100000000000001" customHeight="1" thickBot="1" x14ac:dyDescent="0.3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20.100000000000001" customHeight="1" thickBot="1" x14ac:dyDescent="0.3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20.100000000000001" customHeight="1" thickBot="1" x14ac:dyDescent="0.3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20.100000000000001" customHeight="1" thickBot="1" x14ac:dyDescent="0.3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20.100000000000001" customHeight="1" thickBot="1" x14ac:dyDescent="0.3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20.100000000000001" customHeight="1" thickBot="1" x14ac:dyDescent="0.3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20.100000000000001" customHeight="1" thickBot="1" x14ac:dyDescent="0.3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20.100000000000001" customHeight="1" thickBot="1" x14ac:dyDescent="0.3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20.100000000000001" customHeight="1" thickBot="1" x14ac:dyDescent="0.3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20.100000000000001" customHeight="1" thickBot="1" x14ac:dyDescent="0.3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20.100000000000001" customHeight="1" thickBot="1" x14ac:dyDescent="0.3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20.100000000000001" customHeight="1" thickBot="1" x14ac:dyDescent="0.3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20.100000000000001" customHeight="1" thickBot="1" x14ac:dyDescent="0.3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20.100000000000001" customHeight="1" thickBot="1" x14ac:dyDescent="0.3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20.100000000000001" customHeight="1" thickBot="1" x14ac:dyDescent="0.3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20.100000000000001" customHeight="1" thickBot="1" x14ac:dyDescent="0.3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20.100000000000001" customHeight="1" thickBot="1" x14ac:dyDescent="0.3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20.100000000000001" customHeight="1" thickBot="1" x14ac:dyDescent="0.3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20.100000000000001" customHeight="1" thickBot="1" x14ac:dyDescent="0.3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20.100000000000001" customHeight="1" thickBot="1" x14ac:dyDescent="0.3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20.100000000000001" customHeight="1" thickBot="1" x14ac:dyDescent="0.3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20.100000000000001" customHeight="1" thickBot="1" x14ac:dyDescent="0.3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20.100000000000001" customHeight="1" thickBot="1" x14ac:dyDescent="0.3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20.100000000000001" customHeight="1" thickBot="1" x14ac:dyDescent="0.3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20.100000000000001" customHeight="1" thickBot="1" x14ac:dyDescent="0.3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20.100000000000001" customHeight="1" thickBot="1" x14ac:dyDescent="0.3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20.100000000000001" customHeight="1" thickBot="1" x14ac:dyDescent="0.3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20.100000000000001" customHeight="1" thickBot="1" x14ac:dyDescent="0.3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20.100000000000001" customHeight="1" thickBot="1" x14ac:dyDescent="0.3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20.100000000000001" customHeight="1" thickBot="1" x14ac:dyDescent="0.3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20.100000000000001" customHeight="1" thickBot="1" x14ac:dyDescent="0.3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20.100000000000001" customHeight="1" thickBot="1" x14ac:dyDescent="0.3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20.100000000000001" customHeight="1" thickBot="1" x14ac:dyDescent="0.3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20.100000000000001" customHeight="1" thickBot="1" x14ac:dyDescent="0.3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20.100000000000001" customHeight="1" thickBot="1" x14ac:dyDescent="0.3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20.100000000000001" customHeight="1" thickBot="1" x14ac:dyDescent="0.3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20.100000000000001" customHeight="1" thickBot="1" x14ac:dyDescent="0.3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20.100000000000001" customHeight="1" thickBot="1" x14ac:dyDescent="0.3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20.100000000000001" customHeight="1" thickBot="1" x14ac:dyDescent="0.3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20.100000000000001" customHeight="1" thickBot="1" x14ac:dyDescent="0.3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20.100000000000001" customHeight="1" thickBot="1" x14ac:dyDescent="0.3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20.100000000000001" customHeight="1" thickBot="1" x14ac:dyDescent="0.3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20.100000000000001" customHeight="1" thickBot="1" x14ac:dyDescent="0.3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20.100000000000001" customHeight="1" thickBot="1" x14ac:dyDescent="0.3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20.100000000000001" customHeight="1" thickBot="1" x14ac:dyDescent="0.3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20.100000000000001" customHeight="1" thickBot="1" x14ac:dyDescent="0.3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20.100000000000001" customHeight="1" thickBot="1" x14ac:dyDescent="0.3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20.100000000000001" customHeight="1" thickBot="1" x14ac:dyDescent="0.3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20.100000000000001" customHeight="1" thickBot="1" x14ac:dyDescent="0.3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20.100000000000001" customHeight="1" thickBot="1" x14ac:dyDescent="0.3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20.100000000000001" customHeight="1" thickBot="1" x14ac:dyDescent="0.3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20.100000000000001" customHeight="1" thickBot="1" x14ac:dyDescent="0.3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20.100000000000001" customHeight="1" thickBot="1" x14ac:dyDescent="0.3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20.100000000000001" customHeight="1" thickBot="1" x14ac:dyDescent="0.3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20.100000000000001" customHeight="1" thickBot="1" x14ac:dyDescent="0.3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20.100000000000001" customHeight="1" thickBot="1" x14ac:dyDescent="0.3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20.100000000000001" customHeight="1" thickBot="1" x14ac:dyDescent="0.3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20.100000000000001" customHeight="1" thickBot="1" x14ac:dyDescent="0.3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20.100000000000001" customHeight="1" thickBot="1" x14ac:dyDescent="0.3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20.100000000000001" customHeight="1" thickBot="1" x14ac:dyDescent="0.3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20.100000000000001" customHeight="1" thickBot="1" x14ac:dyDescent="0.3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20.100000000000001" customHeight="1" thickBot="1" x14ac:dyDescent="0.3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20.100000000000001" customHeight="1" thickBot="1" x14ac:dyDescent="0.3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20.100000000000001" customHeight="1" thickBot="1" x14ac:dyDescent="0.3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20.100000000000001" customHeight="1" thickBot="1" x14ac:dyDescent="0.3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20.100000000000001" customHeight="1" thickBot="1" x14ac:dyDescent="0.3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20.100000000000001" customHeight="1" thickBot="1" x14ac:dyDescent="0.3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20.100000000000001" customHeight="1" thickBot="1" x14ac:dyDescent="0.3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20.100000000000001" customHeight="1" thickBot="1" x14ac:dyDescent="0.3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20.100000000000001" customHeight="1" thickBot="1" x14ac:dyDescent="0.3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20.100000000000001" customHeight="1" thickBot="1" x14ac:dyDescent="0.3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20.100000000000001" customHeight="1" thickBot="1" x14ac:dyDescent="0.3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20.100000000000001" customHeight="1" thickBot="1" x14ac:dyDescent="0.3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20.100000000000001" customHeight="1" thickBot="1" x14ac:dyDescent="0.3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20.100000000000001" customHeight="1" thickBot="1" x14ac:dyDescent="0.3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20.100000000000001" customHeight="1" thickBot="1" x14ac:dyDescent="0.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20.100000000000001" customHeight="1" thickBot="1" x14ac:dyDescent="0.3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20.100000000000001" customHeight="1" thickBot="1" x14ac:dyDescent="0.3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20.100000000000001" customHeight="1" thickBot="1" x14ac:dyDescent="0.3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20.100000000000001" customHeight="1" thickBot="1" x14ac:dyDescent="0.3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20.100000000000001" customHeight="1" thickBot="1" x14ac:dyDescent="0.3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20.100000000000001" customHeight="1" thickBot="1" x14ac:dyDescent="0.3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20.100000000000001" customHeight="1" thickBot="1" x14ac:dyDescent="0.3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20.100000000000001" customHeight="1" thickBot="1" x14ac:dyDescent="0.3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20.100000000000001" customHeight="1" thickBot="1" x14ac:dyDescent="0.3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20.100000000000001" customHeight="1" thickBot="1" x14ac:dyDescent="0.3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20.100000000000001" customHeight="1" thickBot="1" x14ac:dyDescent="0.3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20.100000000000001" customHeight="1" thickBot="1" x14ac:dyDescent="0.3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20.100000000000001" customHeight="1" thickBot="1" x14ac:dyDescent="0.3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20.100000000000001" customHeight="1" thickBot="1" x14ac:dyDescent="0.3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20.100000000000001" customHeight="1" thickBot="1" x14ac:dyDescent="0.3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20.100000000000001" customHeight="1" thickBot="1" x14ac:dyDescent="0.3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20.100000000000001" customHeight="1" thickBot="1" x14ac:dyDescent="0.3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20.100000000000001" customHeight="1" thickBot="1" x14ac:dyDescent="0.3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20.100000000000001" customHeight="1" thickBot="1" x14ac:dyDescent="0.3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20.100000000000001" customHeight="1" thickBot="1" x14ac:dyDescent="0.3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20.100000000000001" customHeight="1" thickBot="1" x14ac:dyDescent="0.3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20.100000000000001" customHeight="1" thickBot="1" x14ac:dyDescent="0.3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20.100000000000001" customHeight="1" thickBot="1" x14ac:dyDescent="0.3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20.100000000000001" customHeight="1" thickBot="1" x14ac:dyDescent="0.3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20.100000000000001" customHeight="1" thickBot="1" x14ac:dyDescent="0.3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20.100000000000001" customHeight="1" thickBot="1" x14ac:dyDescent="0.3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20.100000000000001" customHeight="1" thickBot="1" x14ac:dyDescent="0.3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20.100000000000001" customHeight="1" thickBot="1" x14ac:dyDescent="0.3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20.100000000000001" customHeight="1" thickBot="1" x14ac:dyDescent="0.3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20.100000000000001" customHeight="1" thickBot="1" x14ac:dyDescent="0.3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20.100000000000001" customHeight="1" thickBot="1" x14ac:dyDescent="0.3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20.100000000000001" customHeight="1" thickBot="1" x14ac:dyDescent="0.3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20.100000000000001" customHeight="1" thickBot="1" x14ac:dyDescent="0.3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20.100000000000001" customHeight="1" thickBot="1" x14ac:dyDescent="0.3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20.100000000000001" customHeight="1" thickBot="1" x14ac:dyDescent="0.3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20.100000000000001" customHeight="1" thickBot="1" x14ac:dyDescent="0.3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20.100000000000001" customHeight="1" thickBot="1" x14ac:dyDescent="0.3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20.100000000000001" customHeight="1" thickBot="1" x14ac:dyDescent="0.3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20.100000000000001" customHeight="1" thickBot="1" x14ac:dyDescent="0.3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20.100000000000001" customHeight="1" thickBot="1" x14ac:dyDescent="0.3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20.100000000000001" customHeight="1" thickBot="1" x14ac:dyDescent="0.3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20.100000000000001" customHeight="1" thickBot="1" x14ac:dyDescent="0.3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20.100000000000001" customHeight="1" thickBot="1" x14ac:dyDescent="0.3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20.100000000000001" customHeight="1" thickBot="1" x14ac:dyDescent="0.3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20.100000000000001" customHeight="1" thickBot="1" x14ac:dyDescent="0.3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20.100000000000001" customHeight="1" thickBot="1" x14ac:dyDescent="0.3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20.100000000000001" customHeight="1" thickBot="1" x14ac:dyDescent="0.3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20.100000000000001" customHeight="1" thickBot="1" x14ac:dyDescent="0.3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20.100000000000001" customHeight="1" thickBot="1" x14ac:dyDescent="0.3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20.100000000000001" customHeight="1" thickBot="1" x14ac:dyDescent="0.3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20.100000000000001" customHeight="1" thickBot="1" x14ac:dyDescent="0.3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20.100000000000001" customHeight="1" thickBot="1" x14ac:dyDescent="0.3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20.100000000000001" customHeight="1" thickBot="1" x14ac:dyDescent="0.3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20.100000000000001" customHeight="1" thickBot="1" x14ac:dyDescent="0.3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20.100000000000001" customHeight="1" thickBot="1" x14ac:dyDescent="0.3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20.100000000000001" customHeight="1" thickBot="1" x14ac:dyDescent="0.3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20.100000000000001" customHeight="1" thickBot="1" x14ac:dyDescent="0.3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20.100000000000001" customHeight="1" thickBot="1" x14ac:dyDescent="0.3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20.100000000000001" customHeight="1" thickBot="1" x14ac:dyDescent="0.3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COUNTIF SIMPLE</vt:lpstr>
      <vt:lpstr>COUNTIF LEVEL 2</vt:lpstr>
      <vt:lpstr>COUNTIFS LEVEL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2023-01-09T05:35:07Z</dcterms:created>
  <dcterms:modified xsi:type="dcterms:W3CDTF">2026-08-19T11:28:53Z</dcterms:modified>
</cp:coreProperties>
</file>