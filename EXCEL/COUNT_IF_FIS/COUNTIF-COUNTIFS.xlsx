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0" documentId="8_{C0BDBE62-C27D-4EAA-9597-21022BF8769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UNTIF SIMPLE" sheetId="3" r:id="rId1"/>
    <sheet name="COUNTIFS LEVEL 3" sheetId="2" r:id="rId2"/>
  </sheets>
  <definedNames>
    <definedName name="_xlnm._FilterDatabase" localSheetId="0" hidden="1">'COUNTIF SIMPLE'!$B$3:$C$25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I6" i="2"/>
  <c r="I5" i="2"/>
  <c r="F8" i="3"/>
  <c r="F6" i="3"/>
  <c r="F4" i="3"/>
</calcChain>
</file>

<file path=xl/sharedStrings.xml><?xml version="1.0" encoding="utf-8"?>
<sst xmlns="http://schemas.openxmlformats.org/spreadsheetml/2006/main" count="89" uniqueCount="43">
  <si>
    <t>COUNTIF FORMULA</t>
  </si>
  <si>
    <t>COUNTIFS</t>
  </si>
  <si>
    <t>Location</t>
  </si>
  <si>
    <t>Division</t>
  </si>
  <si>
    <t>No of Employees</t>
  </si>
  <si>
    <t xml:space="preserve">Salaries </t>
  </si>
  <si>
    <t>Total</t>
  </si>
  <si>
    <t>Pune</t>
  </si>
  <si>
    <t>Sales</t>
  </si>
  <si>
    <t>Mumbai</t>
  </si>
  <si>
    <t>Accounts</t>
  </si>
  <si>
    <t>Delhi</t>
  </si>
  <si>
    <t>Engineering</t>
  </si>
  <si>
    <t>Komal Jayshing Chandanshive</t>
  </si>
  <si>
    <t>Ashwini Bhagwan Kure</t>
  </si>
  <si>
    <t>RASHID RAFIK SHEIKH</t>
  </si>
  <si>
    <t>Yuvraj Santosh Lohokare</t>
  </si>
  <si>
    <t>Kaveri Prakash Gujar</t>
  </si>
  <si>
    <t>Priyanka Basavaraj Gurav</t>
  </si>
  <si>
    <t>Sonali Deepak Dhavale</t>
  </si>
  <si>
    <t>Sejal Bhanudas Ghotane</t>
  </si>
  <si>
    <t>Shruti Bhanudas Ghotane</t>
  </si>
  <si>
    <t>Preeti Vikas Bodke</t>
  </si>
  <si>
    <t>Divya Anil Jagtap</t>
  </si>
  <si>
    <t>Pradnya Balu Salve</t>
  </si>
  <si>
    <t>Sujata Shivram Mitkari</t>
  </si>
  <si>
    <t>Dhanashri Subhash Kumbhar</t>
  </si>
  <si>
    <t>Pooja Sopan Jedhe</t>
  </si>
  <si>
    <t>Shivali Chandrashekar Abanave</t>
  </si>
  <si>
    <t>Rakesh Chenaram Solanki</t>
  </si>
  <si>
    <t>Abhijeet Popat Kalbhor</t>
  </si>
  <si>
    <t>Mithilesh Sanjay Adhikari</t>
  </si>
  <si>
    <t>ishrat abdulrehman shaikh</t>
  </si>
  <si>
    <t>Uma Dattatray Bhorade</t>
  </si>
  <si>
    <t>Pallavi Pandit Talekar</t>
  </si>
  <si>
    <t>P</t>
  </si>
  <si>
    <t>A</t>
  </si>
  <si>
    <t>SR. NO</t>
  </si>
  <si>
    <t>Employee Name</t>
  </si>
  <si>
    <t>Attendance
Satus</t>
  </si>
  <si>
    <t>How many Employees Absent</t>
  </si>
  <si>
    <t>How Many Employees Present</t>
  </si>
  <si>
    <t>TOTAL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</si>
</sst>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8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3" fillId="2" borderId="12" xfId="0" applyFont="1" applyFill="1" applyBorder="1" applyAlignment="1">
      <alignment horizontal="left" wrapText="1"/>
    </xf>
    <xf numFmtId="0" fontId="4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wrapText="1"/>
    </xf>
    <xf numFmtId="0" fontId="1" fillId="2" borderId="8" xfId="0" applyFont="1" applyFill="1" applyBorder="1"/>
    <xf numFmtId="0" fontId="1" fillId="0" borderId="8" xfId="0" applyFont="1" applyBorder="1"/>
    <xf numFmtId="0" fontId="1" fillId="0" borderId="8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5"/>
  <sheetViews>
    <sheetView workbookViewId="0">
      <selection activeCell="F13" sqref="F13"/>
    </sheetView>
  </sheetViews>
  <sheetFormatPr defaultRowHeight="14.4" x14ac:dyDescent="0.3"/>
  <cols>
    <col min="1" max="1" width="6.44140625" bestFit="1" customWidth="1"/>
    <col min="2" max="2" width="44.5546875" customWidth="1"/>
    <col min="3" max="3" width="11.33203125" style="18" bestFit="1" customWidth="1"/>
    <col min="5" max="5" width="26.44140625" bestFit="1" customWidth="1"/>
  </cols>
  <sheetData>
    <row r="2" spans="1:6" ht="15" thickBot="1" x14ac:dyDescent="0.35">
      <c r="E2" t="s">
        <v>0</v>
      </c>
    </row>
    <row r="3" spans="1:6" ht="29.4" thickBot="1" x14ac:dyDescent="0.35">
      <c r="A3" s="23" t="s">
        <v>37</v>
      </c>
      <c r="B3" s="20" t="s">
        <v>38</v>
      </c>
      <c r="C3" s="25" t="s">
        <v>39</v>
      </c>
    </row>
    <row r="4" spans="1:6" ht="16.2" thickBot="1" x14ac:dyDescent="0.35">
      <c r="A4" s="19">
        <v>1</v>
      </c>
      <c r="B4" s="21" t="s">
        <v>13</v>
      </c>
      <c r="C4" s="19" t="s">
        <v>35</v>
      </c>
      <c r="E4" t="s">
        <v>40</v>
      </c>
      <c r="F4" s="17">
        <f>COUNTIF(C4:C25,"A")</f>
        <v>10</v>
      </c>
    </row>
    <row r="5" spans="1:6" ht="16.2" thickBot="1" x14ac:dyDescent="0.35">
      <c r="A5" s="19">
        <v>2</v>
      </c>
      <c r="B5" s="21" t="s">
        <v>14</v>
      </c>
      <c r="C5" s="19" t="s">
        <v>35</v>
      </c>
    </row>
    <row r="6" spans="1:6" ht="16.2" thickBot="1" x14ac:dyDescent="0.35">
      <c r="A6" s="19">
        <v>3</v>
      </c>
      <c r="B6" s="22" t="s">
        <v>15</v>
      </c>
      <c r="C6" s="19" t="s">
        <v>35</v>
      </c>
      <c r="E6" t="s">
        <v>41</v>
      </c>
      <c r="F6" s="17">
        <f>COUNTIF(C4:C25,"P")</f>
        <v>12</v>
      </c>
    </row>
    <row r="7" spans="1:6" ht="16.2" thickBot="1" x14ac:dyDescent="0.35">
      <c r="A7" s="19">
        <v>4</v>
      </c>
      <c r="B7" s="21" t="s">
        <v>16</v>
      </c>
      <c r="C7" s="19" t="s">
        <v>36</v>
      </c>
    </row>
    <row r="8" spans="1:6" ht="16.2" thickBot="1" x14ac:dyDescent="0.35">
      <c r="A8" s="19">
        <v>5</v>
      </c>
      <c r="B8" s="22" t="s">
        <v>17</v>
      </c>
      <c r="C8" s="19" t="s">
        <v>36</v>
      </c>
      <c r="E8" t="s">
        <v>42</v>
      </c>
      <c r="F8" s="24">
        <f>SUM(F4:F7)</f>
        <v>22</v>
      </c>
    </row>
    <row r="9" spans="1:6" ht="16.2" thickBot="1" x14ac:dyDescent="0.35">
      <c r="A9" s="19">
        <v>6</v>
      </c>
      <c r="B9" s="21" t="s">
        <v>18</v>
      </c>
      <c r="C9" s="19" t="s">
        <v>36</v>
      </c>
    </row>
    <row r="10" spans="1:6" ht="16.2" thickBot="1" x14ac:dyDescent="0.35">
      <c r="A10" s="19">
        <v>7</v>
      </c>
      <c r="B10" s="21" t="s">
        <v>19</v>
      </c>
      <c r="C10" s="19" t="s">
        <v>36</v>
      </c>
    </row>
    <row r="11" spans="1:6" ht="16.2" thickBot="1" x14ac:dyDescent="0.35">
      <c r="A11" s="19">
        <v>8</v>
      </c>
      <c r="B11" s="21" t="s">
        <v>20</v>
      </c>
      <c r="C11" s="19" t="s">
        <v>35</v>
      </c>
    </row>
    <row r="12" spans="1:6" ht="16.2" thickBot="1" x14ac:dyDescent="0.35">
      <c r="A12" s="19">
        <v>9</v>
      </c>
      <c r="B12" s="21" t="s">
        <v>21</v>
      </c>
      <c r="C12" s="19" t="s">
        <v>35</v>
      </c>
    </row>
    <row r="13" spans="1:6" ht="16.2" thickBot="1" x14ac:dyDescent="0.35">
      <c r="A13" s="19">
        <v>10</v>
      </c>
      <c r="B13" s="22" t="s">
        <v>22</v>
      </c>
      <c r="C13" s="19" t="s">
        <v>36</v>
      </c>
    </row>
    <row r="14" spans="1:6" ht="16.2" thickBot="1" x14ac:dyDescent="0.35">
      <c r="A14" s="19">
        <v>11</v>
      </c>
      <c r="B14" s="22" t="s">
        <v>23</v>
      </c>
      <c r="C14" s="19" t="s">
        <v>35</v>
      </c>
    </row>
    <row r="15" spans="1:6" ht="16.2" thickBot="1" x14ac:dyDescent="0.35">
      <c r="A15" s="19">
        <v>12</v>
      </c>
      <c r="B15" s="22" t="s">
        <v>24</v>
      </c>
      <c r="C15" s="19" t="s">
        <v>35</v>
      </c>
    </row>
    <row r="16" spans="1:6" ht="16.2" thickBot="1" x14ac:dyDescent="0.35">
      <c r="A16" s="19">
        <v>13</v>
      </c>
      <c r="B16" s="21" t="s">
        <v>25</v>
      </c>
      <c r="C16" s="19" t="s">
        <v>36</v>
      </c>
    </row>
    <row r="17" spans="1:3" ht="16.2" thickBot="1" x14ac:dyDescent="0.35">
      <c r="A17" s="19">
        <v>14</v>
      </c>
      <c r="B17" s="21" t="s">
        <v>26</v>
      </c>
      <c r="C17" s="19" t="s">
        <v>36</v>
      </c>
    </row>
    <row r="18" spans="1:3" ht="16.2" thickBot="1" x14ac:dyDescent="0.35">
      <c r="A18" s="19">
        <v>15</v>
      </c>
      <c r="B18" s="22" t="s">
        <v>27</v>
      </c>
      <c r="C18" s="19" t="s">
        <v>35</v>
      </c>
    </row>
    <row r="19" spans="1:3" ht="16.2" thickBot="1" x14ac:dyDescent="0.35">
      <c r="A19" s="19">
        <v>16</v>
      </c>
      <c r="B19" s="21" t="s">
        <v>28</v>
      </c>
      <c r="C19" s="19" t="s">
        <v>35</v>
      </c>
    </row>
    <row r="20" spans="1:3" ht="16.2" thickBot="1" x14ac:dyDescent="0.35">
      <c r="A20" s="19">
        <v>17</v>
      </c>
      <c r="B20" s="21" t="s">
        <v>29</v>
      </c>
      <c r="C20" s="19" t="s">
        <v>36</v>
      </c>
    </row>
    <row r="21" spans="1:3" ht="16.2" thickBot="1" x14ac:dyDescent="0.35">
      <c r="A21" s="19">
        <v>18</v>
      </c>
      <c r="B21" s="21" t="s">
        <v>30</v>
      </c>
      <c r="C21" s="19" t="s">
        <v>35</v>
      </c>
    </row>
    <row r="22" spans="1:3" ht="16.2" thickBot="1" x14ac:dyDescent="0.35">
      <c r="A22" s="19">
        <v>19</v>
      </c>
      <c r="B22" s="21" t="s">
        <v>31</v>
      </c>
      <c r="C22" s="19" t="s">
        <v>36</v>
      </c>
    </row>
    <row r="23" spans="1:3" ht="16.2" thickBot="1" x14ac:dyDescent="0.35">
      <c r="A23" s="19">
        <v>20</v>
      </c>
      <c r="B23" s="21" t="s">
        <v>32</v>
      </c>
      <c r="C23" s="19" t="s">
        <v>35</v>
      </c>
    </row>
    <row r="24" spans="1:3" ht="16.2" thickBot="1" x14ac:dyDescent="0.35">
      <c r="A24" s="19">
        <v>21</v>
      </c>
      <c r="B24" s="21" t="s">
        <v>33</v>
      </c>
      <c r="C24" s="19" t="s">
        <v>35</v>
      </c>
    </row>
    <row r="25" spans="1:3" ht="16.2" thickBot="1" x14ac:dyDescent="0.35">
      <c r="A25" s="19">
        <v>22</v>
      </c>
      <c r="B25" s="22" t="s">
        <v>34</v>
      </c>
      <c r="C25" s="19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94"/>
  <sheetViews>
    <sheetView tabSelected="1" workbookViewId="0">
      <selection activeCell="I8" sqref="I8"/>
    </sheetView>
  </sheetViews>
  <sheetFormatPr defaultRowHeight="14.4" x14ac:dyDescent="0.3"/>
  <cols>
    <col min="3" max="4" width="14.5546875" customWidth="1"/>
    <col min="5" max="5" width="14.109375" customWidth="1"/>
    <col min="8" max="9" width="14.88671875" bestFit="1" customWidth="1"/>
  </cols>
  <sheetData>
    <row r="1" spans="1:23" ht="20.100000000000001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.100000000000001" customHeight="1" thickBot="1" x14ac:dyDescent="0.5">
      <c r="A2" s="1"/>
      <c r="B2" s="26" t="s">
        <v>1</v>
      </c>
      <c r="C2" s="27"/>
      <c r="D2" s="27"/>
      <c r="E2" s="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0.100000000000001" customHeight="1" thickBot="1" x14ac:dyDescent="0.35">
      <c r="A3" s="1"/>
      <c r="B3" s="2"/>
      <c r="C3" s="3"/>
      <c r="D3" s="3"/>
      <c r="E3" s="3"/>
      <c r="F3" s="1"/>
      <c r="G3" s="1"/>
      <c r="H3" s="4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0.100000000000001" customHeight="1" thickBot="1" x14ac:dyDescent="0.35">
      <c r="A4" s="6"/>
      <c r="B4" s="7" t="s">
        <v>2</v>
      </c>
      <c r="C4" s="8" t="s">
        <v>3</v>
      </c>
      <c r="D4" s="9" t="s">
        <v>4</v>
      </c>
      <c r="E4" s="8" t="s">
        <v>5</v>
      </c>
      <c r="F4" s="1"/>
      <c r="G4" s="7" t="s">
        <v>2</v>
      </c>
      <c r="H4" s="8" t="s">
        <v>3</v>
      </c>
      <c r="I4" s="9" t="s">
        <v>6</v>
      </c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0.100000000000001" customHeight="1" thickBot="1" x14ac:dyDescent="0.35">
      <c r="A5" s="6"/>
      <c r="B5" s="11" t="s">
        <v>7</v>
      </c>
      <c r="C5" s="12" t="s">
        <v>8</v>
      </c>
      <c r="D5" s="9">
        <v>10</v>
      </c>
      <c r="E5" s="13">
        <v>20</v>
      </c>
      <c r="F5" s="1"/>
      <c r="G5" s="11" t="s">
        <v>7</v>
      </c>
      <c r="H5" s="12" t="s">
        <v>8</v>
      </c>
      <c r="I5" s="9">
        <f>COUNTIFS(B5:B16,"Pune",C5:C16,"Sales")</f>
        <v>3</v>
      </c>
      <c r="J5" s="1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0.100000000000001" customHeight="1" thickBot="1" x14ac:dyDescent="0.35">
      <c r="A6" s="6"/>
      <c r="B6" s="11" t="s">
        <v>9</v>
      </c>
      <c r="C6" s="12" t="s">
        <v>10</v>
      </c>
      <c r="D6" s="9">
        <v>5</v>
      </c>
      <c r="E6" s="13">
        <v>30</v>
      </c>
      <c r="F6" s="1"/>
      <c r="G6" s="11" t="s">
        <v>9</v>
      </c>
      <c r="H6" s="12" t="s">
        <v>10</v>
      </c>
      <c r="I6" s="9">
        <f>COUNTIFS(B5:B16,"Mumbai",C5:C16,"Accounts")</f>
        <v>5</v>
      </c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0.100000000000001" customHeight="1" thickBot="1" x14ac:dyDescent="0.35">
      <c r="A7" s="6"/>
      <c r="B7" s="11" t="s">
        <v>11</v>
      </c>
      <c r="C7" s="12" t="s">
        <v>12</v>
      </c>
      <c r="D7" s="9">
        <v>7</v>
      </c>
      <c r="E7" s="13">
        <v>20</v>
      </c>
      <c r="F7" s="1"/>
      <c r="G7" s="11" t="s">
        <v>11</v>
      </c>
      <c r="H7" s="12" t="s">
        <v>12</v>
      </c>
      <c r="I7" s="9">
        <f>COUNTIFS(B5:B16,"Delhi",C5:C16,"Engineering")</f>
        <v>4</v>
      </c>
      <c r="J7" s="1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0.100000000000001" customHeight="1" thickBot="1" x14ac:dyDescent="0.35">
      <c r="A8" s="6"/>
      <c r="B8" s="11" t="s">
        <v>7</v>
      </c>
      <c r="C8" s="12" t="s">
        <v>8</v>
      </c>
      <c r="D8" s="9">
        <v>10</v>
      </c>
      <c r="E8" s="13">
        <v>10</v>
      </c>
      <c r="F8" s="6"/>
      <c r="G8" s="14"/>
      <c r="H8" s="15"/>
      <c r="I8" s="14"/>
      <c r="J8" s="1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0.100000000000001" customHeight="1" thickBot="1" x14ac:dyDescent="0.35">
      <c r="A9" s="6"/>
      <c r="B9" s="11" t="s">
        <v>7</v>
      </c>
      <c r="C9" s="12" t="s">
        <v>8</v>
      </c>
      <c r="D9" s="9">
        <v>10</v>
      </c>
      <c r="E9" s="13">
        <v>20</v>
      </c>
      <c r="F9" s="6"/>
      <c r="G9" s="14"/>
      <c r="H9" s="15"/>
      <c r="I9" s="14"/>
      <c r="J9" s="1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0.100000000000001" customHeight="1" thickBot="1" x14ac:dyDescent="0.35">
      <c r="A10" s="6"/>
      <c r="B10" s="11" t="s">
        <v>9</v>
      </c>
      <c r="C10" s="12" t="s">
        <v>10</v>
      </c>
      <c r="D10" s="9">
        <v>5</v>
      </c>
      <c r="E10" s="13">
        <v>50</v>
      </c>
      <c r="F10" s="6"/>
      <c r="G10" s="14"/>
      <c r="H10" s="15"/>
      <c r="I10" s="14"/>
      <c r="J10" s="1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0.100000000000001" customHeight="1" thickBot="1" x14ac:dyDescent="0.35">
      <c r="A11" s="6"/>
      <c r="B11" s="16" t="s">
        <v>9</v>
      </c>
      <c r="C11" s="12" t="s">
        <v>10</v>
      </c>
      <c r="D11" s="9">
        <v>5</v>
      </c>
      <c r="E11" s="13">
        <v>30</v>
      </c>
      <c r="F11" s="6"/>
      <c r="G11" s="14"/>
      <c r="H11" s="15"/>
      <c r="I11" s="14"/>
      <c r="J11" s="1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0.100000000000001" customHeight="1" thickBot="1" x14ac:dyDescent="0.35">
      <c r="A12" s="6"/>
      <c r="B12" s="16" t="s">
        <v>9</v>
      </c>
      <c r="C12" s="12" t="s">
        <v>10</v>
      </c>
      <c r="D12" s="9">
        <v>5</v>
      </c>
      <c r="E12" s="13">
        <v>30</v>
      </c>
      <c r="F12" s="6"/>
      <c r="G12" s="14"/>
      <c r="H12" s="15"/>
      <c r="I12" s="14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0.100000000000001" customHeight="1" thickBot="1" x14ac:dyDescent="0.35">
      <c r="A13" s="6"/>
      <c r="B13" s="16" t="s">
        <v>11</v>
      </c>
      <c r="C13" s="12" t="s">
        <v>12</v>
      </c>
      <c r="D13" s="9">
        <v>7</v>
      </c>
      <c r="E13" s="13">
        <v>40</v>
      </c>
      <c r="F13" s="6"/>
      <c r="G13" s="14"/>
      <c r="H13" s="15"/>
      <c r="I13" s="14"/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0.100000000000001" customHeight="1" thickBot="1" x14ac:dyDescent="0.35">
      <c r="A14" s="6"/>
      <c r="B14" s="16" t="s">
        <v>11</v>
      </c>
      <c r="C14" s="12" t="s">
        <v>12</v>
      </c>
      <c r="D14" s="9">
        <v>7</v>
      </c>
      <c r="E14" s="13">
        <v>30</v>
      </c>
      <c r="F14" s="6"/>
      <c r="G14" s="14"/>
      <c r="H14" s="15"/>
      <c r="I14" s="14"/>
      <c r="J14" s="1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0.100000000000001" customHeight="1" thickBot="1" x14ac:dyDescent="0.35">
      <c r="A15" s="6"/>
      <c r="B15" s="16" t="s">
        <v>11</v>
      </c>
      <c r="C15" s="12" t="s">
        <v>12</v>
      </c>
      <c r="D15" s="9">
        <v>7</v>
      </c>
      <c r="E15" s="13">
        <v>30</v>
      </c>
      <c r="F15" s="6"/>
      <c r="G15" s="14"/>
      <c r="H15" s="15"/>
      <c r="I15" s="14"/>
      <c r="J15" s="1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0.100000000000001" customHeight="1" thickBot="1" x14ac:dyDescent="0.35">
      <c r="A16" s="1"/>
      <c r="B16" s="11" t="s">
        <v>9</v>
      </c>
      <c r="C16" s="12" t="s">
        <v>10</v>
      </c>
      <c r="D16" s="9">
        <v>5</v>
      </c>
      <c r="E16" s="13">
        <v>50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0.100000000000001" customHeight="1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0.100000000000001" customHeight="1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0.100000000000001" customHeight="1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0.100000000000001" customHeight="1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0.100000000000001" customHeight="1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0.100000000000001" customHeight="1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0.100000000000001" customHeight="1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0.100000000000001" customHeight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0.100000000000001" customHeight="1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0.100000000000001" customHeight="1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0.100000000000001" customHeight="1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0.100000000000001" customHeight="1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0.100000000000001" customHeight="1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0.100000000000001" customHeight="1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0.100000000000001" customHeight="1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0.100000000000001" customHeight="1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100000000000001" customHeight="1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0.100000000000001" customHeight="1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0.100000000000001" customHeight="1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100000000000001" customHeight="1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0.100000000000001" customHeight="1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0.100000000000001" customHeight="1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0.100000000000001" customHeight="1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0.100000000000001" customHeight="1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0.100000000000001" customHeight="1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0.100000000000001" customHeight="1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0.100000000000001" customHeight="1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0.100000000000001" customHeight="1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0.100000000000001" customHeight="1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0.100000000000001" customHeight="1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20.100000000000001" customHeight="1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20.100000000000001" customHeight="1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0.100000000000001" customHeight="1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20.100000000000001" customHeight="1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20.100000000000001" customHeight="1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0.100000000000001" customHeight="1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20.100000000000001" customHeight="1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20.100000000000001" customHeight="1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20.100000000000001" customHeight="1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0.100000000000001" customHeight="1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0.100000000000001" customHeight="1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20.100000000000001" customHeight="1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0.100000000000001" customHeight="1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0.100000000000001" customHeight="1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0.100000000000001" customHeight="1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0.100000000000001" customHeight="1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0.100000000000001" customHeight="1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0.100000000000001" customHeight="1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20.100000000000001" customHeight="1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20.100000000000001" customHeight="1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20.100000000000001" customHeight="1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20.100000000000001" customHeight="1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20.100000000000001" customHeight="1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20.100000000000001" customHeight="1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20.100000000000001" customHeight="1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0.100000000000001" customHeight="1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20.100000000000001" customHeight="1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20.100000000000001" customHeight="1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20.100000000000001" customHeight="1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20.100000000000001" customHeight="1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20.100000000000001" customHeight="1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20.100000000000001" customHeight="1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20.100000000000001" customHeight="1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20.100000000000001" customHeight="1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20.100000000000001" customHeight="1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0.100000000000001" customHeight="1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0.100000000000001" customHeight="1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0.100000000000001" customHeight="1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0.100000000000001" customHeight="1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0.100000000000001" customHeight="1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0.100000000000001" customHeight="1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20.100000000000001" customHeight="1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20.100000000000001" customHeight="1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20.100000000000001" customHeight="1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20.100000000000001" customHeight="1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20.100000000000001" customHeight="1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20.100000000000001" customHeight="1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20.100000000000001" customHeight="1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20.100000000000001" customHeight="1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20.100000000000001" customHeight="1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20.100000000000001" customHeight="1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20.100000000000001" customHeight="1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20.100000000000001" customHeight="1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20.100000000000001" customHeight="1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20.100000000000001" customHeight="1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20.100000000000001" customHeight="1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20.100000000000001" customHeight="1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20.100000000000001" customHeight="1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20.100000000000001" customHeight="1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20.100000000000001" customHeight="1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20.100000000000001" customHeight="1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20.100000000000001" customHeight="1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20.100000000000001" customHeight="1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20.100000000000001" customHeight="1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20.100000000000001" customHeight="1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20.100000000000001" customHeight="1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0.100000000000001" customHeight="1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0.100000000000001" customHeight="1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0.100000000000001" customHeight="1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0.100000000000001" customHeight="1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20.100000000000001" customHeight="1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20.100000000000001" customHeight="1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20.100000000000001" customHeight="1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20.100000000000001" customHeight="1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20.100000000000001" customHeight="1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20.100000000000001" customHeight="1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20.100000000000001" customHeight="1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20.100000000000001" customHeight="1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20.100000000000001" customHeight="1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20.100000000000001" customHeight="1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20.100000000000001" customHeight="1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20.100000000000001" customHeight="1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20.100000000000001" customHeight="1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20.100000000000001" customHeight="1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20.100000000000001" customHeight="1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20.100000000000001" customHeight="1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20.100000000000001" customHeight="1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20.100000000000001" customHeight="1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20.100000000000001" customHeight="1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20.100000000000001" customHeight="1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20.100000000000001" customHeight="1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20.100000000000001" customHeight="1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20.100000000000001" customHeight="1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20.100000000000001" customHeight="1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20.100000000000001" customHeight="1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0.100000000000001" customHeight="1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20.100000000000001" customHeight="1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20.100000000000001" customHeight="1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20.100000000000001" customHeight="1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20.100000000000001" customHeight="1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20.100000000000001" customHeight="1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20.100000000000001" customHeight="1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20.100000000000001" customHeight="1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20.100000000000001" customHeight="1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20.100000000000001" customHeight="1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20.100000000000001" customHeight="1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20.100000000000001" customHeight="1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20.100000000000001" customHeight="1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20.100000000000001" customHeight="1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20.100000000000001" customHeight="1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20.100000000000001" customHeight="1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20.100000000000001" customHeight="1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20.100000000000001" customHeight="1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20.100000000000001" customHeight="1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20.100000000000001" customHeight="1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20.100000000000001" customHeight="1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20.100000000000001" customHeight="1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20.100000000000001" customHeight="1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20.100000000000001" customHeight="1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20.100000000000001" customHeight="1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20.100000000000001" customHeight="1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20.100000000000001" customHeight="1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20.100000000000001" customHeight="1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20.100000000000001" customHeight="1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20.100000000000001" customHeight="1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20.100000000000001" customHeight="1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20.100000000000001" customHeight="1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20.100000000000001" customHeight="1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20.100000000000001" customHeight="1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20.100000000000001" customHeight="1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20.100000000000001" customHeight="1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20.100000000000001" customHeight="1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20.100000000000001" customHeight="1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20.100000000000001" customHeight="1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20.100000000000001" customHeight="1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20.100000000000001" customHeight="1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20.100000000000001" customHeight="1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20.100000000000001" customHeight="1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20.100000000000001" customHeight="1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20.100000000000001" customHeight="1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20.100000000000001" customHeight="1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20.100000000000001" customHeight="1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20.100000000000001" customHeight="1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20.100000000000001" customHeight="1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20.100000000000001" customHeight="1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20.100000000000001" customHeight="1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20.100000000000001" customHeight="1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20.100000000000001" customHeight="1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20.100000000000001" customHeight="1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20.100000000000001" customHeight="1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20.100000000000001" customHeight="1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20.100000000000001" customHeight="1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20.100000000000001" customHeight="1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20.100000000000001" customHeight="1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20.100000000000001" customHeight="1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20.100000000000001" customHeight="1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20.100000000000001" customHeight="1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20.100000000000001" customHeight="1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20.100000000000001" customHeight="1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20.100000000000001" customHeight="1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20.100000000000001" customHeight="1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20.100000000000001" customHeight="1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20.100000000000001" customHeight="1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20.100000000000001" customHeight="1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20.100000000000001" customHeight="1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20.100000000000001" customHeight="1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20.100000000000001" customHeight="1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20.100000000000001" customHeight="1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20.100000000000001" customHeight="1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20.100000000000001" customHeight="1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20.100000000000001" customHeight="1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20.100000000000001" customHeight="1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20.100000000000001" customHeight="1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20.100000000000001" customHeight="1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20.100000000000001" customHeight="1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20.100000000000001" customHeight="1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20.100000000000001" customHeight="1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20.100000000000001" customHeight="1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20.100000000000001" customHeight="1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20.100000000000001" customHeight="1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20.100000000000001" customHeight="1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20.100000000000001" customHeight="1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20.100000000000001" customHeight="1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20.100000000000001" customHeight="1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20.100000000000001" customHeight="1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20.100000000000001" customHeight="1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20.100000000000001" customHeight="1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20.100000000000001" customHeight="1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20.100000000000001" customHeight="1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20.100000000000001" customHeight="1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20.100000000000001" customHeight="1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20.100000000000001" customHeight="1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20.100000000000001" customHeight="1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20.100000000000001" customHeight="1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20.100000000000001" customHeight="1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20.100000000000001" customHeight="1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20.100000000000001" customHeight="1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20.100000000000001" customHeight="1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20.100000000000001" customHeight="1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20.100000000000001" customHeight="1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20.100000000000001" customHeight="1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20.100000000000001" customHeight="1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20.100000000000001" customHeight="1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20.100000000000001" customHeight="1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20.100000000000001" customHeight="1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20.100000000000001" customHeight="1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20.100000000000001" customHeight="1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20.100000000000001" customHeight="1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20.100000000000001" customHeight="1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20.100000000000001" customHeight="1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20.100000000000001" customHeight="1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20.100000000000001" customHeight="1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20.100000000000001" customHeight="1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20.100000000000001" customHeight="1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20.100000000000001" customHeight="1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20.100000000000001" customHeight="1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20.100000000000001" customHeight="1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20.100000000000001" customHeight="1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20.100000000000001" customHeight="1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20.100000000000001" customHeight="1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20.100000000000001" customHeight="1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20.100000000000001" customHeight="1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20.100000000000001" customHeight="1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20.100000000000001" customHeight="1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20.100000000000001" customHeight="1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20.100000000000001" customHeight="1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20.100000000000001" customHeight="1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20.100000000000001" customHeight="1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20.100000000000001" customHeight="1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20.100000000000001" customHeight="1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20.100000000000001" customHeight="1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20.100000000000001" customHeight="1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20.100000000000001" customHeight="1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20.100000000000001" customHeight="1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20.100000000000001" customHeight="1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20.100000000000001" customHeight="1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20.100000000000001" customHeight="1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20.100000000000001" customHeight="1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20.100000000000001" customHeight="1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20.100000000000001" customHeight="1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20.100000000000001" customHeight="1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20.100000000000001" customHeight="1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20.100000000000001" customHeight="1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20.100000000000001" customHeight="1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20.100000000000001" customHeight="1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20.100000000000001" customHeight="1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20.100000000000001" customHeight="1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20.100000000000001" customHeight="1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20.100000000000001" customHeight="1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20.100000000000001" customHeight="1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20.100000000000001" customHeight="1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20.100000000000001" customHeight="1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20.100000000000001" customHeight="1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20.100000000000001" customHeight="1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20.100000000000001" customHeight="1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20.100000000000001" customHeight="1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20.100000000000001" customHeight="1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20.100000000000001" customHeight="1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20.100000000000001" customHeight="1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20.100000000000001" customHeight="1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20.100000000000001" customHeight="1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20.100000000000001" customHeight="1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20.100000000000001" customHeight="1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20.100000000000001" customHeight="1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20.100000000000001" customHeight="1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20.100000000000001" customHeight="1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20.100000000000001" customHeight="1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20.100000000000001" customHeight="1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20.100000000000001" customHeight="1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20.100000000000001" customHeight="1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20.100000000000001" customHeight="1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20.100000000000001" customHeight="1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20.100000000000001" customHeight="1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20.100000000000001" customHeight="1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20.100000000000001" customHeight="1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20.100000000000001" customHeight="1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20.100000000000001" customHeight="1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20.100000000000001" customHeight="1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20.100000000000001" customHeight="1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20.100000000000001" customHeight="1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20.100000000000001" customHeight="1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20.100000000000001" customHeight="1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20.100000000000001" customHeight="1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20.100000000000001" customHeight="1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20.100000000000001" customHeight="1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20.100000000000001" customHeight="1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20.100000000000001" customHeight="1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20.100000000000001" customHeight="1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20.100000000000001" customHeight="1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20.100000000000001" customHeight="1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20.100000000000001" customHeight="1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20.100000000000001" customHeight="1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20.100000000000001" customHeight="1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20.100000000000001" customHeight="1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20.100000000000001" customHeight="1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20.100000000000001" customHeight="1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20.100000000000001" customHeight="1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20.100000000000001" customHeight="1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20.100000000000001" customHeight="1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20.100000000000001" customHeight="1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20.100000000000001" customHeight="1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20.100000000000001" customHeight="1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20.100000000000001" customHeight="1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20.100000000000001" customHeight="1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20.100000000000001" customHeight="1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20.100000000000001" customHeight="1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20.100000000000001" customHeight="1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20.100000000000001" customHeight="1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20.100000000000001" customHeight="1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20.100000000000001" customHeight="1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20.100000000000001" customHeight="1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20.100000000000001" customHeight="1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20.100000000000001" customHeight="1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20.100000000000001" customHeight="1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20.100000000000001" customHeight="1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20.100000000000001" customHeight="1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20.100000000000001" customHeight="1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20.100000000000001" customHeight="1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20.100000000000001" customHeight="1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20.100000000000001" customHeight="1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20.100000000000001" customHeight="1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20.100000000000001" customHeight="1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20.100000000000001" customHeight="1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20.100000000000001" customHeight="1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20.100000000000001" customHeight="1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20.100000000000001" customHeight="1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20.100000000000001" customHeight="1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20.100000000000001" customHeight="1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20.100000000000001" customHeight="1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20.100000000000001" customHeight="1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20.100000000000001" customHeight="1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20.100000000000001" customHeight="1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20.100000000000001" customHeight="1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20.100000000000001" customHeight="1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20.100000000000001" customHeight="1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20.100000000000001" customHeight="1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20.100000000000001" customHeight="1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20.100000000000001" customHeight="1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20.100000000000001" customHeight="1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20.100000000000001" customHeight="1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20.100000000000001" customHeight="1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20.100000000000001" customHeight="1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20.100000000000001" customHeight="1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20.100000000000001" customHeight="1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20.100000000000001" customHeight="1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20.100000000000001" customHeight="1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20.100000000000001" customHeight="1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20.100000000000001" customHeight="1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20.100000000000001" customHeight="1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20.100000000000001" customHeight="1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20.100000000000001" customHeight="1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20.100000000000001" customHeight="1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20.100000000000001" customHeight="1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20.100000000000001" customHeight="1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20.100000000000001" customHeight="1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20.100000000000001" customHeight="1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20.100000000000001" customHeight="1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20.100000000000001" customHeight="1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20.100000000000001" customHeight="1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20.100000000000001" customHeight="1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20.100000000000001" customHeight="1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20.100000000000001" customHeight="1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20.100000000000001" customHeight="1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20.100000000000001" customHeight="1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20.100000000000001" customHeight="1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20.100000000000001" customHeight="1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20.100000000000001" customHeight="1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20.100000000000001" customHeight="1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20.100000000000001" customHeight="1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20.100000000000001" customHeight="1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20.100000000000001" customHeight="1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20.100000000000001" customHeight="1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20.100000000000001" customHeight="1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20.100000000000001" customHeight="1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20.100000000000001" customHeight="1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20.100000000000001" customHeight="1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20.100000000000001" customHeight="1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20.100000000000001" customHeight="1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20.100000000000001" customHeight="1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20.100000000000001" customHeight="1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20.100000000000001" customHeight="1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20.100000000000001" customHeight="1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20.100000000000001" customHeight="1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20.100000000000001" customHeight="1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20.100000000000001" customHeight="1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20.100000000000001" customHeight="1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20.100000000000001" customHeight="1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20.100000000000001" customHeight="1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20.100000000000001" customHeight="1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20.100000000000001" customHeight="1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20.100000000000001" customHeight="1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20.100000000000001" customHeight="1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20.100000000000001" customHeight="1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20.100000000000001" customHeight="1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20.100000000000001" customHeight="1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20.100000000000001" customHeight="1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20.100000000000001" customHeight="1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20.100000000000001" customHeight="1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20.100000000000001" customHeight="1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20.100000000000001" customHeight="1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20.100000000000001" customHeight="1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20.100000000000001" customHeight="1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20.100000000000001" customHeight="1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20.100000000000001" customHeight="1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20.100000000000001" customHeight="1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20.100000000000001" customHeight="1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20.100000000000001" customHeight="1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0.100000000000001" customHeight="1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20.100000000000001" customHeight="1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20.100000000000001" customHeight="1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20.100000000000001" customHeight="1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20.100000000000001" customHeight="1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20.100000000000001" customHeight="1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20.100000000000001" customHeight="1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20.100000000000001" customHeight="1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20.100000000000001" customHeight="1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20.100000000000001" customHeight="1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20.100000000000001" customHeight="1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20.100000000000001" customHeight="1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20.100000000000001" customHeight="1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20.100000000000001" customHeight="1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20.100000000000001" customHeight="1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20.100000000000001" customHeight="1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20.100000000000001" customHeight="1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20.100000000000001" customHeight="1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20.100000000000001" customHeight="1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20.100000000000001" customHeight="1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20.100000000000001" customHeight="1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20.100000000000001" customHeight="1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20.100000000000001" customHeight="1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20.100000000000001" customHeight="1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20.100000000000001" customHeight="1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20.100000000000001" customHeight="1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20.100000000000001" customHeight="1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20.100000000000001" customHeight="1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0.100000000000001" customHeight="1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0.100000000000001" customHeight="1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0.100000000000001" customHeight="1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0.100000000000001" customHeight="1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0.100000000000001" customHeight="1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0.100000000000001" customHeight="1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0.100000000000001" customHeight="1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0.100000000000001" customHeight="1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0.100000000000001" customHeight="1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0.100000000000001" customHeight="1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0.100000000000001" customHeight="1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0.100000000000001" customHeight="1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0.100000000000001" customHeight="1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0.100000000000001" customHeight="1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0.100000000000001" customHeight="1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0.100000000000001" customHeight="1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0.100000000000001" customHeight="1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0.100000000000001" customHeight="1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0.100000000000001" customHeight="1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0.100000000000001" customHeight="1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0.100000000000001" customHeight="1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0.100000000000001" customHeight="1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0.100000000000001" customHeight="1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0.100000000000001" customHeight="1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0.100000000000001" customHeight="1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0.100000000000001" customHeight="1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0.100000000000001" customHeight="1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0.100000000000001" customHeight="1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0.100000000000001" customHeight="1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0.100000000000001" customHeight="1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0.100000000000001" customHeight="1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0.100000000000001" customHeight="1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0.100000000000001" customHeight="1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0.100000000000001" customHeight="1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0.100000000000001" customHeight="1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0.100000000000001" customHeight="1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0.100000000000001" customHeight="1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0.100000000000001" customHeight="1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0.100000000000001" customHeight="1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0.100000000000001" customHeight="1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0.100000000000001" customHeight="1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0.100000000000001" customHeight="1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0.100000000000001" customHeight="1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0.100000000000001" customHeight="1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0.100000000000001" customHeight="1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0.100000000000001" customHeight="1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0.100000000000001" customHeight="1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0.100000000000001" customHeight="1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0.100000000000001" customHeight="1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0.100000000000001" customHeight="1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0.100000000000001" customHeight="1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0.100000000000001" customHeight="1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0.100000000000001" customHeight="1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0.100000000000001" customHeight="1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0.100000000000001" customHeight="1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0.100000000000001" customHeight="1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0.100000000000001" customHeight="1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0.100000000000001" customHeight="1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0.100000000000001" customHeight="1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0.100000000000001" customHeight="1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0.100000000000001" customHeight="1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0.100000000000001" customHeight="1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0.100000000000001" customHeight="1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0.100000000000001" customHeight="1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0.100000000000001" customHeight="1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0.100000000000001" customHeight="1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0.100000000000001" customHeight="1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0.100000000000001" customHeight="1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0.100000000000001" customHeight="1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0.100000000000001" customHeight="1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0.100000000000001" customHeight="1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0.100000000000001" customHeight="1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0.100000000000001" customHeight="1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0.100000000000001" customHeight="1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0.100000000000001" customHeight="1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0.100000000000001" customHeight="1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0.100000000000001" customHeight="1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0.100000000000001" customHeight="1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0.100000000000001" customHeight="1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0.100000000000001" customHeight="1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0.100000000000001" customHeight="1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0.100000000000001" customHeight="1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0.100000000000001" customHeight="1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0.100000000000001" customHeight="1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0.100000000000001" customHeight="1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0.100000000000001" customHeight="1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0.100000000000001" customHeight="1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0.100000000000001" customHeight="1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0.100000000000001" customHeight="1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0.100000000000001" customHeight="1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0.100000000000001" customHeight="1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0.100000000000001" customHeight="1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0.100000000000001" customHeight="1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0.100000000000001" customHeight="1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0.100000000000001" customHeight="1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0.100000000000001" customHeight="1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0.100000000000001" customHeight="1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0.100000000000001" customHeight="1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0.100000000000001" customHeight="1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0.100000000000001" customHeight="1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0.100000000000001" customHeight="1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0.100000000000001" customHeight="1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0.100000000000001" customHeight="1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0.100000000000001" customHeight="1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0.100000000000001" customHeight="1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0.100000000000001" customHeight="1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0.100000000000001" customHeight="1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0.100000000000001" customHeight="1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0.100000000000001" customHeight="1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0.100000000000001" customHeight="1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0.100000000000001" customHeight="1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0.100000000000001" customHeight="1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0.100000000000001" customHeight="1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0.100000000000001" customHeight="1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0.100000000000001" customHeight="1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0.100000000000001" customHeight="1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0.100000000000001" customHeight="1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0.100000000000001" customHeight="1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0.100000000000001" customHeight="1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0.100000000000001" customHeight="1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0.100000000000001" customHeight="1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0.100000000000001" customHeight="1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0.100000000000001" customHeight="1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0.100000000000001" customHeight="1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0.100000000000001" customHeight="1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0.100000000000001" customHeight="1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0.100000000000001" customHeight="1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0.100000000000001" customHeight="1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0.100000000000001" customHeight="1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0.100000000000001" customHeight="1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0.100000000000001" customHeight="1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0.100000000000001" customHeight="1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0.100000000000001" customHeight="1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0.100000000000001" customHeight="1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0.100000000000001" customHeight="1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0.100000000000001" customHeight="1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0.100000000000001" customHeight="1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0.100000000000001" customHeight="1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0.100000000000001" customHeight="1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0.100000000000001" customHeight="1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0.100000000000001" customHeight="1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0.100000000000001" customHeight="1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0.100000000000001" customHeight="1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0.100000000000001" customHeight="1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0.100000000000001" customHeight="1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0.100000000000001" customHeight="1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0.100000000000001" customHeight="1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0.100000000000001" customHeight="1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0.100000000000001" customHeight="1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0.100000000000001" customHeight="1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0.100000000000001" customHeight="1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0.100000000000001" customHeight="1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0.100000000000001" customHeight="1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0.100000000000001" customHeight="1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0.100000000000001" customHeight="1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0.100000000000001" customHeight="1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0.100000000000001" customHeight="1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0.100000000000001" customHeight="1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0.100000000000001" customHeight="1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0.100000000000001" customHeight="1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0.100000000000001" customHeight="1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0.100000000000001" customHeight="1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0.100000000000001" customHeight="1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0.100000000000001" customHeight="1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0.100000000000001" customHeight="1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0.100000000000001" customHeight="1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0.100000000000001" customHeight="1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0.100000000000001" customHeight="1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0.100000000000001" customHeight="1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0.100000000000001" customHeight="1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0.100000000000001" customHeight="1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0.100000000000001" customHeight="1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0.100000000000001" customHeight="1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0.100000000000001" customHeight="1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0.100000000000001" customHeight="1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0.100000000000001" customHeight="1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0.100000000000001" customHeight="1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0.100000000000001" customHeight="1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0.100000000000001" customHeight="1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0.100000000000001" customHeight="1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0.100000000000001" customHeight="1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0.100000000000001" customHeight="1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0.100000000000001" customHeight="1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0.100000000000001" customHeight="1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0.100000000000001" customHeight="1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0.100000000000001" customHeight="1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0.100000000000001" customHeight="1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0.100000000000001" customHeight="1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0.100000000000001" customHeight="1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0.100000000000001" customHeight="1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0.100000000000001" customHeight="1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0.100000000000001" customHeight="1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0.100000000000001" customHeight="1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0.100000000000001" customHeight="1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0.100000000000001" customHeight="1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0.100000000000001" customHeight="1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0.100000000000001" customHeight="1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0.100000000000001" customHeight="1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0.100000000000001" customHeight="1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0.100000000000001" customHeight="1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0.100000000000001" customHeight="1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0.100000000000001" customHeight="1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0.100000000000001" customHeight="1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0.100000000000001" customHeight="1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0.100000000000001" customHeight="1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0.100000000000001" customHeight="1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0.100000000000001" customHeight="1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0.100000000000001" customHeight="1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0.100000000000001" customHeight="1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0.100000000000001" customHeight="1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0.100000000000001" customHeight="1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0.100000000000001" customHeight="1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0.100000000000001" customHeight="1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0.100000000000001" customHeight="1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0.100000000000001" customHeight="1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0.100000000000001" customHeight="1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0.100000000000001" customHeight="1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0.100000000000001" customHeight="1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0.100000000000001" customHeight="1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0.100000000000001" customHeight="1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0.100000000000001" customHeight="1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0.100000000000001" customHeight="1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0.100000000000001" customHeight="1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0.100000000000001" customHeight="1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0.100000000000001" customHeight="1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0.100000000000001" customHeight="1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0.100000000000001" customHeight="1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0.100000000000001" customHeight="1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0.100000000000001" customHeight="1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0.100000000000001" customHeight="1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0.100000000000001" customHeight="1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0.100000000000001" customHeight="1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0.100000000000001" customHeight="1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0.100000000000001" customHeight="1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0.100000000000001" customHeight="1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0.100000000000001" customHeight="1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0.100000000000001" customHeight="1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0.100000000000001" customHeight="1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0.100000000000001" customHeight="1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0.100000000000001" customHeight="1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0.100000000000001" customHeight="1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0.100000000000001" customHeight="1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0.100000000000001" customHeight="1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0.100000000000001" customHeight="1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0.100000000000001" customHeight="1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0.100000000000001" customHeight="1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0.100000000000001" customHeight="1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0.100000000000001" customHeight="1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0.100000000000001" customHeight="1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0.100000000000001" customHeight="1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0.100000000000001" customHeight="1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0.100000000000001" customHeight="1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0.100000000000001" customHeight="1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0.100000000000001" customHeight="1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0.100000000000001" customHeight="1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0.100000000000001" customHeight="1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0.100000000000001" customHeight="1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0.100000000000001" customHeight="1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0.100000000000001" customHeight="1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0.100000000000001" customHeight="1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0.100000000000001" customHeight="1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0.100000000000001" customHeight="1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0.100000000000001" customHeight="1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0.100000000000001" customHeight="1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0.100000000000001" customHeight="1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0.100000000000001" customHeight="1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0.100000000000001" customHeight="1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0.100000000000001" customHeight="1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0.100000000000001" customHeight="1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0.100000000000001" customHeight="1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0.100000000000001" customHeight="1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0.100000000000001" customHeight="1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0.100000000000001" customHeight="1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0.100000000000001" customHeight="1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0.100000000000001" customHeight="1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0.100000000000001" customHeight="1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0.100000000000001" customHeight="1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0.100000000000001" customHeight="1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0.100000000000001" customHeight="1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0.100000000000001" customHeight="1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0.100000000000001" customHeight="1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0.100000000000001" customHeight="1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0.100000000000001" customHeight="1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0.100000000000001" customHeight="1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0.100000000000001" customHeight="1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0.100000000000001" customHeight="1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0.100000000000001" customHeight="1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0.100000000000001" customHeight="1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0.100000000000001" customHeight="1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0.100000000000001" customHeight="1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0.100000000000001" customHeight="1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0.100000000000001" customHeight="1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0.100000000000001" customHeight="1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0.100000000000001" customHeight="1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0.100000000000001" customHeight="1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0.100000000000001" customHeight="1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0.100000000000001" customHeight="1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0.100000000000001" customHeight="1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0.100000000000001" customHeight="1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0.100000000000001" customHeight="1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0.100000000000001" customHeight="1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0.100000000000001" customHeight="1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0.100000000000001" customHeight="1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0.100000000000001" customHeight="1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0.100000000000001" customHeight="1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0.100000000000001" customHeight="1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0.100000000000001" customHeight="1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0.100000000000001" customHeight="1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0.100000000000001" customHeight="1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0.100000000000001" customHeight="1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0.100000000000001" customHeight="1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0.100000000000001" customHeight="1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0.100000000000001" customHeight="1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0.100000000000001" customHeight="1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0.100000000000001" customHeight="1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0.100000000000001" customHeight="1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0.100000000000001" customHeight="1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0.100000000000001" customHeight="1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0.100000000000001" customHeight="1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0.100000000000001" customHeight="1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0.100000000000001" customHeight="1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0.100000000000001" customHeight="1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0.100000000000001" customHeight="1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0.100000000000001" customHeight="1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0.100000000000001" customHeight="1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0.100000000000001" customHeight="1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0.100000000000001" customHeight="1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0.100000000000001" customHeight="1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0.100000000000001" customHeight="1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0.100000000000001" customHeight="1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0.100000000000001" customHeight="1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0.100000000000001" customHeight="1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0.100000000000001" customHeight="1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0.100000000000001" customHeight="1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0.100000000000001" customHeight="1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0.100000000000001" customHeight="1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0.100000000000001" customHeight="1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0.100000000000001" customHeight="1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0.100000000000001" customHeight="1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0.100000000000001" customHeight="1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0.100000000000001" customHeight="1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0.100000000000001" customHeight="1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0.100000000000001" customHeight="1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0.100000000000001" customHeight="1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0.100000000000001" customHeight="1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0.100000000000001" customHeight="1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0.100000000000001" customHeight="1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0.100000000000001" customHeight="1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0.100000000000001" customHeight="1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0.100000000000001" customHeight="1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0.100000000000001" customHeight="1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0.100000000000001" customHeight="1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0.100000000000001" customHeight="1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0.100000000000001" customHeight="1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0.100000000000001" customHeight="1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0.100000000000001" customHeight="1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0.100000000000001" customHeight="1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0.100000000000001" customHeight="1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0.100000000000001" customHeight="1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0.100000000000001" customHeight="1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0.100000000000001" customHeight="1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0.100000000000001" customHeight="1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0.100000000000001" customHeight="1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0.100000000000001" customHeight="1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0.100000000000001" customHeight="1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0.100000000000001" customHeight="1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0.100000000000001" customHeight="1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0.100000000000001" customHeight="1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0.100000000000001" customHeight="1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0.100000000000001" customHeight="1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0.100000000000001" customHeight="1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0.100000000000001" customHeight="1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0.100000000000001" customHeight="1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0.100000000000001" customHeight="1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0.100000000000001" customHeight="1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0.100000000000001" customHeight="1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0.100000000000001" customHeight="1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0.100000000000001" customHeight="1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0.100000000000001" customHeight="1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0.100000000000001" customHeight="1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0.100000000000001" customHeight="1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0.100000000000001" customHeight="1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0.100000000000001" customHeight="1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0.100000000000001" customHeight="1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0.100000000000001" customHeight="1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0.100000000000001" customHeight="1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0.100000000000001" customHeight="1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0.100000000000001" customHeight="1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0.100000000000001" customHeight="1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0.100000000000001" customHeight="1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0.100000000000001" customHeight="1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0.100000000000001" customHeight="1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0.100000000000001" customHeight="1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0.100000000000001" customHeight="1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0.100000000000001" customHeight="1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0.100000000000001" customHeight="1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0.100000000000001" customHeight="1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0.100000000000001" customHeight="1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0.100000000000001" customHeight="1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0.100000000000001" customHeight="1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0.100000000000001" customHeight="1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0.100000000000001" customHeight="1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0.100000000000001" customHeight="1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0.100000000000001" customHeight="1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0.100000000000001" customHeight="1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0.100000000000001" customHeight="1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0.100000000000001" customHeight="1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0.100000000000001" customHeight="1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0.100000000000001" customHeight="1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0.100000000000001" customHeight="1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0.100000000000001" customHeight="1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0.100000000000001" customHeight="1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0.100000000000001" customHeight="1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0.100000000000001" customHeight="1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0.100000000000001" customHeight="1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0.100000000000001" customHeight="1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0.100000000000001" customHeight="1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0.100000000000001" customHeight="1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0.100000000000001" customHeight="1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0.100000000000001" customHeight="1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0.100000000000001" customHeight="1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0.100000000000001" customHeight="1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0.100000000000001" customHeight="1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0.100000000000001" customHeight="1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0.100000000000001" customHeight="1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0.100000000000001" customHeight="1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0.100000000000001" customHeight="1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0.100000000000001" customHeight="1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0.100000000000001" customHeight="1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0.100000000000001" customHeight="1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0.100000000000001" customHeight="1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0.100000000000001" customHeight="1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0.100000000000001" customHeight="1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0.100000000000001" customHeight="1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0.100000000000001" customHeight="1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0.100000000000001" customHeight="1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0.100000000000001" customHeight="1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0.100000000000001" customHeight="1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0.100000000000001" customHeight="1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0.100000000000001" customHeight="1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0.100000000000001" customHeight="1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0.100000000000001" customHeight="1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0.100000000000001" customHeight="1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0.100000000000001" customHeight="1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0.100000000000001" customHeight="1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0.100000000000001" customHeight="1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0.100000000000001" customHeight="1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0.100000000000001" customHeight="1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0.100000000000001" customHeight="1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0.100000000000001" customHeight="1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0.100000000000001" customHeight="1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0.100000000000001" customHeight="1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0.100000000000001" customHeight="1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0.100000000000001" customHeight="1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0.100000000000001" customHeight="1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0.100000000000001" customHeight="1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0.100000000000001" customHeight="1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0.100000000000001" customHeight="1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0.100000000000001" customHeight="1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0.100000000000001" customHeight="1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0.100000000000001" customHeight="1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0.100000000000001" customHeight="1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0.100000000000001" customHeight="1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0.100000000000001" customHeight="1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0.100000000000001" customHeight="1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0.100000000000001" customHeight="1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0.100000000000001" customHeight="1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0.100000000000001" customHeight="1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0.100000000000001" customHeight="1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0.100000000000001" customHeight="1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0.100000000000001" customHeight="1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0.100000000000001" customHeight="1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0.100000000000001" customHeight="1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0.100000000000001" customHeight="1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0.100000000000001" customHeight="1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0.100000000000001" customHeight="1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0.100000000000001" customHeight="1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0.100000000000001" customHeight="1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0.100000000000001" customHeight="1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0.100000000000001" customHeight="1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0.100000000000001" customHeight="1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0.100000000000001" customHeight="1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0.100000000000001" customHeight="1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0.100000000000001" customHeight="1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0.100000000000001" customHeight="1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0.100000000000001" customHeight="1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0.100000000000001" customHeight="1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0.100000000000001" customHeight="1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0.100000000000001" customHeight="1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20.100000000000001" customHeight="1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20.100000000000001" customHeight="1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20.100000000000001" customHeight="1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20.100000000000001" customHeight="1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20.100000000000001" customHeight="1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20.100000000000001" customHeight="1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20.100000000000001" customHeight="1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20.100000000000001" customHeight="1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20.100000000000001" customHeight="1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20.100000000000001" customHeight="1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20.100000000000001" customHeight="1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20.100000000000001" customHeight="1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20.100000000000001" customHeight="1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20.100000000000001" customHeight="1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20.100000000000001" customHeight="1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20.100000000000001" customHeight="1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20.100000000000001" customHeight="1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20.100000000000001" customHeight="1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20.100000000000001" customHeight="1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20.100000000000001" customHeight="1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20.100000000000001" customHeight="1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20.100000000000001" customHeight="1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20.100000000000001" customHeight="1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20.100000000000001" customHeight="1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COUNTIF SIMPLE</vt:lpstr>
      <vt:lpstr>COUNTIFS LEVEL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2023-01-09T05:35:07Z</dcterms:created>
  <dcterms:modified xsi:type="dcterms:W3CDTF">2026-07-18T15:48:28Z</dcterms:modified>
</cp:coreProperties>
</file>