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oore elahi\OneDrive\ドキュメント\Desktop\EXCEL LHF\"/>
    </mc:Choice>
  </mc:AlternateContent>
  <xr:revisionPtr revIDLastSave="0" documentId="13_ncr:1_{687E8A0E-9CD7-451C-866C-976CA1B01975}" xr6:coauthVersionLast="47" xr6:coauthVersionMax="47" xr10:uidLastSave="{00000000-0000-0000-0000-000000000000}"/>
  <bookViews>
    <workbookView xWindow="-108" yWindow="-108" windowWidth="23256" windowHeight="13896" activeTab="3" xr2:uid="{00000000-000D-0000-FFFF-FFFF00000000}"/>
  </bookViews>
  <sheets>
    <sheet name="Sheet1" sheetId="13" r:id="rId1"/>
    <sheet name="Sheet2" sheetId="16" r:id="rId2"/>
    <sheet name="Sheet4" sheetId="18" r:id="rId3"/>
    <sheet name="Sheet3" sheetId="19" r:id="rId4"/>
    <sheet name="Pivot Table" sheetId="1" r:id="rId5"/>
  </sheets>
  <definedNames>
    <definedName name="Slicer_Zon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9" i="1" l="1"/>
  <c r="F189" i="1" s="1"/>
  <c r="D188" i="1"/>
  <c r="F188" i="1" s="1"/>
  <c r="D187" i="1"/>
  <c r="F187" i="1" s="1"/>
  <c r="D186" i="1"/>
  <c r="F186" i="1" s="1"/>
  <c r="D185" i="1"/>
  <c r="F185" i="1" s="1"/>
  <c r="D184" i="1"/>
  <c r="F184" i="1" s="1"/>
  <c r="D183" i="1"/>
  <c r="F183" i="1" s="1"/>
  <c r="D182" i="1"/>
  <c r="F182" i="1" s="1"/>
  <c r="D181" i="1"/>
  <c r="F181" i="1" s="1"/>
  <c r="D180" i="1"/>
  <c r="F180" i="1" s="1"/>
  <c r="D179" i="1"/>
  <c r="F179" i="1" s="1"/>
  <c r="D178" i="1"/>
  <c r="F178" i="1" s="1"/>
  <c r="D177" i="1"/>
  <c r="F177" i="1" s="1"/>
  <c r="D176" i="1"/>
  <c r="F176" i="1" s="1"/>
  <c r="D175" i="1"/>
  <c r="F175" i="1" s="1"/>
  <c r="D174" i="1"/>
  <c r="F174" i="1" s="1"/>
  <c r="D173" i="1"/>
  <c r="F173" i="1" s="1"/>
  <c r="D172" i="1"/>
  <c r="F172" i="1" s="1"/>
  <c r="D171" i="1"/>
  <c r="F171" i="1" s="1"/>
  <c r="D170" i="1"/>
  <c r="F170" i="1" s="1"/>
  <c r="D169" i="1"/>
  <c r="F169" i="1" s="1"/>
  <c r="D168" i="1"/>
  <c r="F168" i="1" s="1"/>
  <c r="D167" i="1"/>
  <c r="F167" i="1" s="1"/>
  <c r="D166" i="1"/>
  <c r="F166" i="1" s="1"/>
  <c r="D165" i="1"/>
  <c r="F165" i="1" s="1"/>
  <c r="D164" i="1"/>
  <c r="F164" i="1" s="1"/>
  <c r="D163" i="1"/>
  <c r="F163" i="1" s="1"/>
  <c r="D162" i="1"/>
  <c r="F162" i="1" s="1"/>
  <c r="D161" i="1"/>
  <c r="F161" i="1" s="1"/>
  <c r="D160" i="1"/>
  <c r="F160" i="1" s="1"/>
  <c r="D159" i="1"/>
  <c r="F159" i="1" s="1"/>
  <c r="D158" i="1"/>
  <c r="F158" i="1" s="1"/>
  <c r="D157" i="1"/>
  <c r="F157" i="1" s="1"/>
  <c r="D156" i="1"/>
  <c r="F156" i="1" s="1"/>
  <c r="D155" i="1"/>
  <c r="F155" i="1" s="1"/>
  <c r="D154" i="1"/>
  <c r="F154" i="1" s="1"/>
  <c r="D153" i="1"/>
  <c r="F153" i="1" s="1"/>
  <c r="D152" i="1"/>
  <c r="F152" i="1" s="1"/>
  <c r="D151" i="1"/>
  <c r="F151" i="1" s="1"/>
  <c r="D150" i="1"/>
  <c r="F150" i="1" s="1"/>
  <c r="D149" i="1"/>
  <c r="F149" i="1" s="1"/>
  <c r="D148" i="1"/>
  <c r="F148" i="1" s="1"/>
  <c r="D147" i="1"/>
  <c r="F147" i="1" s="1"/>
  <c r="D146" i="1"/>
  <c r="F146" i="1" s="1"/>
  <c r="D145" i="1"/>
  <c r="F145" i="1" s="1"/>
  <c r="D144" i="1"/>
  <c r="F144" i="1" s="1"/>
  <c r="D143" i="1"/>
  <c r="F143" i="1" s="1"/>
  <c r="D142" i="1"/>
  <c r="F142" i="1" s="1"/>
  <c r="D141" i="1"/>
  <c r="F141" i="1" s="1"/>
  <c r="D140" i="1"/>
  <c r="F140" i="1" s="1"/>
  <c r="D139" i="1"/>
  <c r="F139" i="1" s="1"/>
  <c r="D138" i="1"/>
  <c r="F138" i="1" s="1"/>
  <c r="D137" i="1"/>
  <c r="F137" i="1" s="1"/>
  <c r="D136" i="1"/>
  <c r="F136" i="1" s="1"/>
  <c r="D135" i="1"/>
  <c r="F135" i="1" s="1"/>
  <c r="D134" i="1"/>
  <c r="F134" i="1" s="1"/>
  <c r="D133" i="1"/>
  <c r="F133" i="1" s="1"/>
  <c r="D132" i="1"/>
  <c r="F132" i="1" s="1"/>
  <c r="D131" i="1"/>
  <c r="F131" i="1" s="1"/>
  <c r="D130" i="1"/>
  <c r="F130" i="1" s="1"/>
  <c r="D129" i="1"/>
  <c r="F129" i="1" s="1"/>
  <c r="D128" i="1"/>
  <c r="F128" i="1" s="1"/>
  <c r="D127" i="1"/>
  <c r="F127" i="1" s="1"/>
  <c r="D126" i="1"/>
  <c r="F126" i="1" s="1"/>
  <c r="D125" i="1"/>
  <c r="F125" i="1" s="1"/>
  <c r="D124" i="1"/>
  <c r="F124" i="1" s="1"/>
  <c r="D123" i="1"/>
  <c r="F123" i="1" s="1"/>
  <c r="D122" i="1"/>
  <c r="F122" i="1" s="1"/>
  <c r="D121" i="1"/>
  <c r="F121" i="1" s="1"/>
  <c r="D120" i="1"/>
  <c r="F120" i="1" s="1"/>
  <c r="D119" i="1"/>
  <c r="F119" i="1" s="1"/>
  <c r="D118" i="1"/>
  <c r="F118" i="1" s="1"/>
  <c r="D117" i="1"/>
  <c r="F117" i="1" s="1"/>
  <c r="D116" i="1"/>
  <c r="F116" i="1" s="1"/>
  <c r="D115" i="1"/>
  <c r="F115" i="1" s="1"/>
  <c r="D114" i="1"/>
  <c r="F114" i="1" s="1"/>
  <c r="D113" i="1"/>
  <c r="F113" i="1" s="1"/>
  <c r="D112" i="1"/>
  <c r="F112" i="1" s="1"/>
  <c r="D111" i="1"/>
  <c r="F111" i="1" s="1"/>
  <c r="D110" i="1"/>
  <c r="F110" i="1" s="1"/>
  <c r="D109" i="1"/>
  <c r="F109" i="1" s="1"/>
  <c r="D108" i="1"/>
  <c r="F108" i="1" s="1"/>
  <c r="D107" i="1"/>
  <c r="F107" i="1" s="1"/>
  <c r="D106" i="1"/>
  <c r="F106" i="1" s="1"/>
  <c r="D105" i="1"/>
  <c r="F105" i="1" s="1"/>
  <c r="D104" i="1"/>
  <c r="F104" i="1" s="1"/>
  <c r="D103" i="1"/>
  <c r="F103" i="1" s="1"/>
  <c r="D102" i="1"/>
  <c r="F102" i="1" s="1"/>
  <c r="D101" i="1"/>
  <c r="F101" i="1" s="1"/>
  <c r="D100" i="1"/>
  <c r="F100" i="1" s="1"/>
  <c r="D99" i="1"/>
  <c r="F99" i="1" s="1"/>
  <c r="D98" i="1"/>
  <c r="F98" i="1" s="1"/>
  <c r="D97" i="1"/>
  <c r="F97" i="1" s="1"/>
  <c r="D96" i="1"/>
  <c r="F96" i="1" s="1"/>
  <c r="D95" i="1"/>
  <c r="F95" i="1" s="1"/>
  <c r="D94" i="1"/>
  <c r="F94" i="1" s="1"/>
  <c r="D93" i="1"/>
  <c r="F93" i="1" s="1"/>
  <c r="D92" i="1"/>
  <c r="F92" i="1" s="1"/>
  <c r="D91" i="1"/>
  <c r="F91" i="1" s="1"/>
  <c r="D90" i="1"/>
  <c r="F90" i="1" s="1"/>
  <c r="D89" i="1"/>
  <c r="F89" i="1" s="1"/>
  <c r="D88" i="1"/>
  <c r="F88" i="1" s="1"/>
  <c r="D87" i="1"/>
  <c r="F87" i="1" s="1"/>
  <c r="D86" i="1"/>
  <c r="F86" i="1" s="1"/>
  <c r="D85" i="1"/>
  <c r="F85" i="1" s="1"/>
  <c r="D84" i="1"/>
  <c r="F84" i="1" s="1"/>
  <c r="D83" i="1"/>
  <c r="F83" i="1" s="1"/>
  <c r="D82" i="1"/>
  <c r="F82" i="1" s="1"/>
  <c r="D81" i="1"/>
  <c r="F81" i="1" s="1"/>
  <c r="D80" i="1"/>
  <c r="F80" i="1" s="1"/>
  <c r="D79" i="1"/>
  <c r="F79" i="1" s="1"/>
  <c r="D78" i="1"/>
  <c r="F78" i="1" s="1"/>
  <c r="D77" i="1"/>
  <c r="F77" i="1" s="1"/>
  <c r="D76" i="1"/>
  <c r="F76" i="1" s="1"/>
  <c r="D75" i="1"/>
  <c r="F75" i="1" s="1"/>
  <c r="D74" i="1"/>
  <c r="F74" i="1" s="1"/>
  <c r="D73" i="1"/>
  <c r="F73" i="1" s="1"/>
  <c r="D72" i="1"/>
  <c r="F72" i="1" s="1"/>
  <c r="D71" i="1"/>
  <c r="F71" i="1" s="1"/>
  <c r="D70" i="1"/>
  <c r="F70" i="1" s="1"/>
  <c r="D69" i="1"/>
  <c r="F69" i="1" s="1"/>
  <c r="D68" i="1"/>
  <c r="F68" i="1" s="1"/>
  <c r="D67" i="1"/>
  <c r="F67" i="1" s="1"/>
  <c r="D66" i="1"/>
  <c r="F66" i="1" s="1"/>
  <c r="D65" i="1"/>
  <c r="F65" i="1" s="1"/>
  <c r="D64" i="1"/>
  <c r="F64" i="1" s="1"/>
  <c r="D63" i="1"/>
  <c r="F63" i="1" s="1"/>
  <c r="D62" i="1"/>
  <c r="F62" i="1" s="1"/>
  <c r="D61" i="1"/>
  <c r="F61" i="1" s="1"/>
  <c r="D60" i="1"/>
  <c r="F60" i="1" s="1"/>
  <c r="D59" i="1"/>
  <c r="F59" i="1" s="1"/>
  <c r="D58" i="1"/>
  <c r="F58" i="1" s="1"/>
  <c r="D57" i="1"/>
  <c r="F57" i="1" s="1"/>
  <c r="D56" i="1"/>
  <c r="F56" i="1" s="1"/>
  <c r="D55" i="1"/>
  <c r="F55" i="1" s="1"/>
  <c r="D54" i="1"/>
  <c r="F54" i="1" s="1"/>
  <c r="D53" i="1"/>
  <c r="F53" i="1" s="1"/>
  <c r="D52" i="1"/>
  <c r="F52" i="1" s="1"/>
  <c r="D51" i="1"/>
  <c r="F51" i="1" s="1"/>
  <c r="D50" i="1"/>
  <c r="F50" i="1" s="1"/>
  <c r="D49" i="1"/>
  <c r="F49" i="1" s="1"/>
  <c r="D48" i="1"/>
  <c r="F48" i="1" s="1"/>
  <c r="D47" i="1"/>
  <c r="F47" i="1" s="1"/>
  <c r="D46" i="1"/>
  <c r="F46" i="1" s="1"/>
  <c r="D45" i="1"/>
  <c r="F45" i="1" s="1"/>
  <c r="D44" i="1"/>
  <c r="F44" i="1" s="1"/>
  <c r="D43" i="1"/>
  <c r="F43" i="1" s="1"/>
  <c r="D42" i="1"/>
  <c r="F42" i="1" s="1"/>
  <c r="D41" i="1"/>
  <c r="F41" i="1" s="1"/>
  <c r="D40" i="1"/>
  <c r="F40" i="1" s="1"/>
  <c r="D39" i="1"/>
  <c r="F39" i="1" s="1"/>
  <c r="D38" i="1"/>
  <c r="F38" i="1" s="1"/>
  <c r="D37" i="1"/>
  <c r="F37" i="1" s="1"/>
  <c r="D36" i="1"/>
  <c r="F36" i="1" s="1"/>
  <c r="D35" i="1"/>
  <c r="F35" i="1" s="1"/>
  <c r="D34" i="1"/>
  <c r="F34" i="1" s="1"/>
  <c r="D33" i="1"/>
  <c r="F33" i="1" s="1"/>
  <c r="D32" i="1"/>
  <c r="F32" i="1" s="1"/>
  <c r="D31" i="1"/>
  <c r="F31" i="1" s="1"/>
  <c r="D30" i="1"/>
  <c r="F30" i="1" s="1"/>
  <c r="D29" i="1"/>
  <c r="F29" i="1" s="1"/>
  <c r="F28" i="1" l="1"/>
  <c r="D7" i="1"/>
  <c r="F7" i="1" s="1"/>
  <c r="D8" i="1"/>
  <c r="F8" i="1" s="1"/>
  <c r="D9" i="1"/>
  <c r="F9" i="1" s="1"/>
  <c r="D10" i="1"/>
  <c r="F10" i="1" s="1"/>
  <c r="D11" i="1"/>
  <c r="F11" i="1" s="1"/>
  <c r="D12" i="1"/>
  <c r="F12" i="1" s="1"/>
  <c r="D13" i="1"/>
  <c r="F13" i="1" s="1"/>
  <c r="D14" i="1"/>
  <c r="F14" i="1" s="1"/>
  <c r="D15" i="1"/>
  <c r="F15" i="1" s="1"/>
  <c r="D16" i="1"/>
  <c r="F16" i="1" s="1"/>
  <c r="D17" i="1"/>
  <c r="F17" i="1" s="1"/>
  <c r="D18" i="1"/>
  <c r="F18" i="1" s="1"/>
  <c r="D19" i="1"/>
  <c r="F19" i="1" s="1"/>
  <c r="D20" i="1"/>
  <c r="F20" i="1" s="1"/>
  <c r="D21" i="1"/>
  <c r="F21" i="1" s="1"/>
  <c r="D22" i="1"/>
  <c r="F22" i="1" s="1"/>
  <c r="D23" i="1"/>
  <c r="F23" i="1" s="1"/>
  <c r="D24" i="1"/>
  <c r="F24" i="1" s="1"/>
  <c r="D25" i="1"/>
  <c r="F25" i="1" s="1"/>
  <c r="D26" i="1"/>
  <c r="F26" i="1" s="1"/>
  <c r="D27" i="1"/>
  <c r="F27" i="1" s="1"/>
  <c r="D28" i="1"/>
  <c r="D6" i="1"/>
  <c r="F6" i="1" s="1"/>
</calcChain>
</file>

<file path=xl/sharedStrings.xml><?xml version="1.0" encoding="utf-8"?>
<sst xmlns="http://schemas.openxmlformats.org/spreadsheetml/2006/main" count="1043" uniqueCount="59">
  <si>
    <t>Order ID</t>
  </si>
  <si>
    <t>Order Date</t>
  </si>
  <si>
    <t>Order Quantity</t>
  </si>
  <si>
    <t>Ship Mode</t>
  </si>
  <si>
    <t>Profit</t>
  </si>
  <si>
    <t>Unit Price</t>
  </si>
  <si>
    <t>Customer Name</t>
  </si>
  <si>
    <t>Customer Segment</t>
  </si>
  <si>
    <t>Product Category</t>
  </si>
  <si>
    <t>Regular Air</t>
  </si>
  <si>
    <t>Muhammed MacIntyre</t>
  </si>
  <si>
    <t>Small Business</t>
  </si>
  <si>
    <t>Office Supplies</t>
  </si>
  <si>
    <t>Ruben Dartt</t>
  </si>
  <si>
    <t>Corporate</t>
  </si>
  <si>
    <t>Liz Pelletier</t>
  </si>
  <si>
    <t>Furniture</t>
  </si>
  <si>
    <t>Delivery Truck</t>
  </si>
  <si>
    <t>Technology</t>
  </si>
  <si>
    <t>Julie Creighton</t>
  </si>
  <si>
    <t>Sample Company A</t>
  </si>
  <si>
    <t>Home Office</t>
  </si>
  <si>
    <t>Tamara Dahlen</t>
  </si>
  <si>
    <t>Arthur Gainer</t>
  </si>
  <si>
    <t>Consumer</t>
  </si>
  <si>
    <t>Jonathan Doherty</t>
  </si>
  <si>
    <t>Express Air</t>
  </si>
  <si>
    <t>Helen Wasserman</t>
  </si>
  <si>
    <t>Zone</t>
  </si>
  <si>
    <t>East</t>
  </si>
  <si>
    <t>West</t>
  </si>
  <si>
    <t>South</t>
  </si>
  <si>
    <t>Central</t>
  </si>
  <si>
    <t>Pivot Table - Pivot Chart - Slicer- DASHBOARD</t>
  </si>
  <si>
    <t>DATA Visualizations</t>
  </si>
  <si>
    <t>Sales Amount</t>
  </si>
  <si>
    <t>Sum of Order Quantity</t>
  </si>
  <si>
    <t>Sum of Sales Amount</t>
  </si>
  <si>
    <t>Sum of Profit</t>
  </si>
  <si>
    <t>Row Labels</t>
  </si>
  <si>
    <t>Grand Total</t>
  </si>
  <si>
    <t>JWS International</t>
  </si>
  <si>
    <t>Performance Daboard FY-2024-25</t>
  </si>
  <si>
    <t>Over Performance of the company</t>
  </si>
  <si>
    <t>Performance by Customer Segment</t>
  </si>
  <si>
    <t>Performance By Product Category</t>
  </si>
  <si>
    <t>Performance By Zone</t>
  </si>
  <si>
    <t>JSW International</t>
  </si>
  <si>
    <t>Sales - Dashboard</t>
  </si>
  <si>
    <t>Overall Company Business Performance</t>
  </si>
  <si>
    <t>Values</t>
  </si>
  <si>
    <t>Performance By Segments</t>
  </si>
  <si>
    <t>Sales Dashboard</t>
  </si>
  <si>
    <t>Overall Performance</t>
  </si>
  <si>
    <t>Performance By Segment</t>
  </si>
  <si>
    <t>Sales-Dashboard</t>
  </si>
  <si>
    <t>Overall Bussiness Performance</t>
  </si>
  <si>
    <t>performance by product</t>
  </si>
  <si>
    <t>Performance by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</si>
</sst>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2" x14ac:knownFonts="1">
    <font>
      <sz val="11"/>
      <color theme="1"/>
      <name val="Calibri"/>
      <family val="2"/>
      <scheme val="minor"/>
    </font>
    <font>
      <sz val="10"/>
      <name val="MS Sans Serif"/>
    </font>
    <font>
      <sz val="10"/>
      <name val="MS Sans Serif"/>
      <family val="2"/>
    </font>
    <font>
      <b/>
      <sz val="10"/>
      <color theme="0"/>
      <name val="MS Sans Serif"/>
      <family val="2"/>
    </font>
    <font>
      <b/>
      <sz val="16"/>
      <color theme="1"/>
      <name val="Calibri"/>
      <family val="2"/>
      <scheme val="minor"/>
    </font>
    <font>
      <b/>
      <sz val="20"/>
      <color theme="1"/>
      <name val="Calibri"/>
      <family val="2"/>
      <scheme val="minor"/>
    </font>
    <font>
      <b/>
      <sz val="12"/>
      <color theme="0"/>
      <name val="Calibri"/>
      <family val="2"/>
      <scheme val="minor"/>
    </font>
    <font>
      <b/>
      <sz val="14"/>
      <color theme="1"/>
      <name val="Calibri"/>
      <family val="2"/>
      <scheme val="minor"/>
    </font>
    <font>
      <b/>
      <sz val="22"/>
      <color theme="1"/>
      <name val="Calibri"/>
      <family val="2"/>
      <scheme val="minor"/>
    </font>
    <font>
      <sz val="14"/>
      <color theme="1"/>
      <name val="Calibri"/>
      <family val="2"/>
      <scheme val="minor"/>
    </font>
    <font>
      <sz val="20"/>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4"/>
        <bgColor indexed="64"/>
      </patternFill>
    </fill>
    <fill>
      <patternFill patternType="solid">
        <fgColor rgb="FF0070C0"/>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164" fontId="2" fillId="0" borderId="0" applyFont="0" applyFill="0" applyBorder="0" applyAlignment="0" applyProtection="0"/>
  </cellStyleXfs>
  <cellXfs count="33">
    <xf numFmtId="0" fontId="0" fillId="0" borderId="0" xfId="0"/>
    <xf numFmtId="49" fontId="3" fillId="2" borderId="1" xfId="1" applyNumberFormat="1" applyFont="1" applyFill="1" applyBorder="1" applyAlignment="1">
      <alignment horizontal="center" vertical="center"/>
    </xf>
    <xf numFmtId="0" fontId="3" fillId="2" borderId="1" xfId="1" applyFont="1" applyFill="1" applyBorder="1" applyAlignment="1">
      <alignment horizontal="center" vertical="center"/>
    </xf>
    <xf numFmtId="0" fontId="3" fillId="2" borderId="1" xfId="1" quotePrefix="1" applyFont="1" applyFill="1" applyBorder="1" applyAlignment="1">
      <alignment horizontal="center" vertical="center"/>
    </xf>
    <xf numFmtId="0" fontId="3" fillId="2" borderId="1" xfId="1" applyFont="1" applyFill="1" applyBorder="1" applyAlignment="1">
      <alignment horizontal="left" vertical="center"/>
    </xf>
    <xf numFmtId="2" fontId="3" fillId="2" borderId="1" xfId="1" applyNumberFormat="1" applyFont="1" applyFill="1" applyBorder="1" applyAlignment="1">
      <alignment horizontal="center" vertical="center"/>
    </xf>
    <xf numFmtId="0" fontId="3" fillId="2" borderId="1" xfId="2" applyNumberFormat="1" applyFont="1" applyFill="1" applyBorder="1" applyAlignment="1">
      <alignment horizontal="center" vertical="center"/>
    </xf>
    <xf numFmtId="0" fontId="1" fillId="0" borderId="2" xfId="1" quotePrefix="1" applyBorder="1" applyAlignment="1">
      <alignment horizontal="center"/>
    </xf>
    <xf numFmtId="14" fontId="1" fillId="0" borderId="2" xfId="2" quotePrefix="1" applyNumberFormat="1" applyFont="1" applyFill="1" applyBorder="1" applyAlignment="1">
      <alignment horizontal="center"/>
    </xf>
    <xf numFmtId="0" fontId="1" fillId="0" borderId="2" xfId="1" applyBorder="1" applyAlignment="1">
      <alignment horizontal="left"/>
    </xf>
    <xf numFmtId="2" fontId="2" fillId="0" borderId="2" xfId="1" applyNumberFormat="1" applyFont="1" applyBorder="1" applyAlignment="1">
      <alignment horizontal="center"/>
    </xf>
    <xf numFmtId="0" fontId="1" fillId="0" borderId="2" xfId="2" applyNumberFormat="1" applyFont="1" applyFill="1" applyBorder="1" applyAlignment="1">
      <alignment horizontal="center"/>
    </xf>
    <xf numFmtId="0" fontId="4" fillId="0" borderId="0" xfId="0" applyFont="1"/>
    <xf numFmtId="0" fontId="1" fillId="0" borderId="2" xfId="1"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0" fontId="5"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7" fillId="5" borderId="0" xfId="0" applyFont="1" applyFill="1"/>
    <xf numFmtId="0" fontId="9" fillId="5" borderId="0" xfId="0" applyFont="1" applyFill="1"/>
    <xf numFmtId="0" fontId="5" fillId="6" borderId="0" xfId="0" applyFont="1" applyFill="1"/>
    <xf numFmtId="0" fontId="0" fillId="6" borderId="0" xfId="0" applyFill="1"/>
    <xf numFmtId="0" fontId="4" fillId="4" borderId="0" xfId="0" applyFont="1" applyFill="1" applyAlignment="1">
      <alignment horizontal="left"/>
    </xf>
    <xf numFmtId="0" fontId="11" fillId="4" borderId="0" xfId="0" applyFont="1" applyFill="1" applyAlignment="1">
      <alignment horizontal="left"/>
    </xf>
    <xf numFmtId="0" fontId="7" fillId="4" borderId="0" xfId="0" applyFont="1" applyFill="1"/>
    <xf numFmtId="0" fontId="4" fillId="4" borderId="0" xfId="0" applyFont="1" applyFill="1"/>
    <xf numFmtId="0" fontId="6" fillId="3" borderId="0" xfId="0" applyFont="1" applyFill="1" applyAlignment="1">
      <alignment horizontal="left"/>
    </xf>
    <xf numFmtId="0" fontId="6" fillId="4" borderId="0" xfId="0" applyFont="1" applyFill="1" applyAlignment="1">
      <alignment horizontal="left"/>
    </xf>
    <xf numFmtId="0" fontId="0" fillId="0" borderId="0" xfId="0" applyNumberFormat="1"/>
  </cellXfs>
  <cellStyles count="3">
    <cellStyle name="Comma 2" xfId="2" xr:uid="{00000000-0005-0000-0000-000000000000}"/>
    <cellStyle name="Normal" xfId="0" builtinId="0"/>
    <cellStyle name="Normal 2" xfId="1" xr:uid="{00000000-0005-0000-0000-000002000000}"/>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Sheet1!$A$10</c:f>
              <c:strCache>
                <c:ptCount val="1"/>
                <c:pt idx="0">
                  <c:v>Sum of Order Quantity</c:v>
                </c:pt>
              </c:strCache>
            </c:strRef>
          </c:tx>
          <c:spPr>
            <a:solidFill>
              <a:schemeClr val="accent1"/>
            </a:solidFill>
            <a:ln>
              <a:noFill/>
            </a:ln>
            <a:effectLst/>
          </c:spPr>
          <c:invertIfNegative val="0"/>
          <c:cat>
            <c:strRef>
              <c:f>Sheet1!$A$11</c:f>
              <c:strCache>
                <c:ptCount val="1"/>
                <c:pt idx="0">
                  <c:v>Total</c:v>
                </c:pt>
              </c:strCache>
            </c:strRef>
          </c:cat>
          <c:val>
            <c:numRef>
              <c:f>Sheet1!$A$11</c:f>
              <c:numCache>
                <c:formatCode>General</c:formatCode>
                <c:ptCount val="1"/>
                <c:pt idx="0">
                  <c:v>9640</c:v>
                </c:pt>
              </c:numCache>
            </c:numRef>
          </c:val>
          <c:extLst>
            <c:ext xmlns:c16="http://schemas.microsoft.com/office/drawing/2014/chart" uri="{C3380CC4-5D6E-409C-BE32-E72D297353CC}">
              <c16:uniqueId val="{00000000-4B08-42DA-8E3A-E6612EBACA8F}"/>
            </c:ext>
          </c:extLst>
        </c:ser>
        <c:ser>
          <c:idx val="1"/>
          <c:order val="1"/>
          <c:tx>
            <c:strRef>
              <c:f>Sheet1!$B$10</c:f>
              <c:strCache>
                <c:ptCount val="1"/>
                <c:pt idx="0">
                  <c:v>Sum of Sales Amount</c:v>
                </c:pt>
              </c:strCache>
            </c:strRef>
          </c:tx>
          <c:spPr>
            <a:solidFill>
              <a:schemeClr val="accent2"/>
            </a:solidFill>
            <a:ln>
              <a:noFill/>
            </a:ln>
            <a:effectLst/>
          </c:spPr>
          <c:invertIfNegative val="0"/>
          <c:cat>
            <c:strRef>
              <c:f>Sheet1!$A$11</c:f>
              <c:strCache>
                <c:ptCount val="1"/>
                <c:pt idx="0">
                  <c:v>Total</c:v>
                </c:pt>
              </c:strCache>
            </c:strRef>
          </c:cat>
          <c:val>
            <c:numRef>
              <c:f>Sheet1!$B$11</c:f>
              <c:numCache>
                <c:formatCode>General</c:formatCode>
                <c:ptCount val="1"/>
                <c:pt idx="0">
                  <c:v>433812.24000000011</c:v>
                </c:pt>
              </c:numCache>
            </c:numRef>
          </c:val>
          <c:extLst>
            <c:ext xmlns:c16="http://schemas.microsoft.com/office/drawing/2014/chart" uri="{C3380CC4-5D6E-409C-BE32-E72D297353CC}">
              <c16:uniqueId val="{00000002-4B08-42DA-8E3A-E6612EBACA8F}"/>
            </c:ext>
          </c:extLst>
        </c:ser>
        <c:ser>
          <c:idx val="2"/>
          <c:order val="2"/>
          <c:tx>
            <c:strRef>
              <c:f>Sheet1!$C$10</c:f>
              <c:strCache>
                <c:ptCount val="1"/>
                <c:pt idx="0">
                  <c:v>Sum of Profit</c:v>
                </c:pt>
              </c:strCache>
            </c:strRef>
          </c:tx>
          <c:spPr>
            <a:solidFill>
              <a:schemeClr val="accent3"/>
            </a:solidFill>
            <a:ln>
              <a:noFill/>
            </a:ln>
            <a:effectLst/>
          </c:spPr>
          <c:invertIfNegative val="0"/>
          <c:cat>
            <c:strRef>
              <c:f>Sheet1!$A$11</c:f>
              <c:strCache>
                <c:ptCount val="1"/>
                <c:pt idx="0">
                  <c:v>Total</c:v>
                </c:pt>
              </c:strCache>
            </c:strRef>
          </c:cat>
          <c:val>
            <c:numRef>
              <c:f>Sheet1!$C$11</c:f>
              <c:numCache>
                <c:formatCode>0.00</c:formatCode>
                <c:ptCount val="1"/>
                <c:pt idx="0">
                  <c:v>108453.06000000003</c:v>
                </c:pt>
              </c:numCache>
            </c:numRef>
          </c:val>
          <c:extLst>
            <c:ext xmlns:c16="http://schemas.microsoft.com/office/drawing/2014/chart" uri="{C3380CC4-5D6E-409C-BE32-E72D297353CC}">
              <c16:uniqueId val="{00000003-4B08-42DA-8E3A-E6612EBACA8F}"/>
            </c:ext>
          </c:extLst>
        </c:ser>
        <c:dLbls>
          <c:showLegendKey val="0"/>
          <c:showVal val="0"/>
          <c:showCatName val="0"/>
          <c:showSerName val="0"/>
          <c:showPercent val="0"/>
          <c:showBubbleSize val="0"/>
        </c:dLbls>
        <c:gapWidth val="219"/>
        <c:overlap val="-27"/>
        <c:axId val="405472447"/>
        <c:axId val="405463807"/>
      </c:barChart>
      <c:catAx>
        <c:axId val="4054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63807"/>
        <c:crosses val="autoZero"/>
        <c:auto val="1"/>
        <c:lblAlgn val="ctr"/>
        <c:lblOffset val="100"/>
        <c:noMultiLvlLbl val="0"/>
      </c:catAx>
      <c:valAx>
        <c:axId val="40546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7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Sum of Sales Amount</c:v>
                </c:pt>
              </c:strCache>
            </c:strRef>
          </c:tx>
          <c:spPr>
            <a:solidFill>
              <a:schemeClr val="accent1"/>
            </a:solidFill>
            <a:ln>
              <a:noFill/>
            </a:ln>
            <a:effectLst/>
          </c:spPr>
          <c:invertIfNegative val="0"/>
          <c:cat>
            <c:strRef>
              <c:f>Sheet1!$A$19:$A$21</c:f>
              <c:strCache>
                <c:ptCount val="2"/>
                <c:pt idx="0">
                  <c:v>Corporate</c:v>
                </c:pt>
                <c:pt idx="1">
                  <c:v>Home Office</c:v>
                </c:pt>
              </c:strCache>
            </c:strRef>
          </c:cat>
          <c:val>
            <c:numRef>
              <c:f>Sheet1!$B$19:$B$21</c:f>
              <c:numCache>
                <c:formatCode>General</c:formatCode>
                <c:ptCount val="2"/>
                <c:pt idx="0">
                  <c:v>362388.24000000005</c:v>
                </c:pt>
                <c:pt idx="1">
                  <c:v>71424</c:v>
                </c:pt>
              </c:numCache>
            </c:numRef>
          </c:val>
          <c:extLst>
            <c:ext xmlns:c16="http://schemas.microsoft.com/office/drawing/2014/chart" uri="{C3380CC4-5D6E-409C-BE32-E72D297353CC}">
              <c16:uniqueId val="{00000000-388E-4684-90B4-2DAE986A3291}"/>
            </c:ext>
          </c:extLst>
        </c:ser>
        <c:ser>
          <c:idx val="1"/>
          <c:order val="1"/>
          <c:tx>
            <c:strRef>
              <c:f>Sheet1!$C$18</c:f>
              <c:strCache>
                <c:ptCount val="1"/>
                <c:pt idx="0">
                  <c:v>Sum of Profit</c:v>
                </c:pt>
              </c:strCache>
            </c:strRef>
          </c:tx>
          <c:spPr>
            <a:solidFill>
              <a:schemeClr val="accent2"/>
            </a:solidFill>
            <a:ln>
              <a:noFill/>
            </a:ln>
            <a:effectLst/>
          </c:spPr>
          <c:invertIfNegative val="0"/>
          <c:cat>
            <c:strRef>
              <c:f>Sheet1!$A$19:$A$21</c:f>
              <c:strCache>
                <c:ptCount val="2"/>
                <c:pt idx="0">
                  <c:v>Corporate</c:v>
                </c:pt>
                <c:pt idx="1">
                  <c:v>Home Office</c:v>
                </c:pt>
              </c:strCache>
            </c:strRef>
          </c:cat>
          <c:val>
            <c:numRef>
              <c:f>Sheet1!$C$19:$C$21</c:f>
              <c:numCache>
                <c:formatCode>0.00</c:formatCode>
                <c:ptCount val="2"/>
                <c:pt idx="0">
                  <c:v>90597.060000000012</c:v>
                </c:pt>
                <c:pt idx="1">
                  <c:v>17856</c:v>
                </c:pt>
              </c:numCache>
            </c:numRef>
          </c:val>
          <c:extLst>
            <c:ext xmlns:c16="http://schemas.microsoft.com/office/drawing/2014/chart" uri="{C3380CC4-5D6E-409C-BE32-E72D297353CC}">
              <c16:uniqueId val="{00000002-388E-4684-90B4-2DAE986A3291}"/>
            </c:ext>
          </c:extLst>
        </c:ser>
        <c:dLbls>
          <c:showLegendKey val="0"/>
          <c:showVal val="0"/>
          <c:showCatName val="0"/>
          <c:showSerName val="0"/>
          <c:showPercent val="0"/>
          <c:showBubbleSize val="0"/>
        </c:dLbls>
        <c:gapWidth val="219"/>
        <c:overlap val="-27"/>
        <c:axId val="512797855"/>
        <c:axId val="512806975"/>
      </c:barChart>
      <c:catAx>
        <c:axId val="5127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06975"/>
        <c:crosses val="autoZero"/>
        <c:auto val="1"/>
        <c:lblAlgn val="ctr"/>
        <c:lblOffset val="100"/>
        <c:noMultiLvlLbl val="0"/>
      </c:catAx>
      <c:valAx>
        <c:axId val="51280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79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Sheet1!$K$10</c:f>
              <c:strCache>
                <c:ptCount val="1"/>
                <c:pt idx="0">
                  <c:v>Sum of Sales Amount</c:v>
                </c:pt>
              </c:strCache>
            </c:strRef>
          </c:tx>
          <c:spPr>
            <a:solidFill>
              <a:schemeClr val="accent1"/>
            </a:solidFill>
            <a:ln>
              <a:noFill/>
            </a:ln>
            <a:effectLst/>
          </c:spPr>
          <c:invertIfNegative val="0"/>
          <c:cat>
            <c:strRef>
              <c:f>Sheet1!$J$11:$J$13</c:f>
              <c:strCache>
                <c:ptCount val="2"/>
                <c:pt idx="0">
                  <c:v>Office Supplies</c:v>
                </c:pt>
                <c:pt idx="1">
                  <c:v>Technology</c:v>
                </c:pt>
              </c:strCache>
            </c:strRef>
          </c:cat>
          <c:val>
            <c:numRef>
              <c:f>Sheet1!$K$11:$K$13</c:f>
              <c:numCache>
                <c:formatCode>General</c:formatCode>
                <c:ptCount val="2"/>
                <c:pt idx="0">
                  <c:v>101520</c:v>
                </c:pt>
                <c:pt idx="1">
                  <c:v>332292.24000000005</c:v>
                </c:pt>
              </c:numCache>
            </c:numRef>
          </c:val>
          <c:extLst>
            <c:ext xmlns:c16="http://schemas.microsoft.com/office/drawing/2014/chart" uri="{C3380CC4-5D6E-409C-BE32-E72D297353CC}">
              <c16:uniqueId val="{00000000-43CD-4DE3-AA21-6FB2F6B3133A}"/>
            </c:ext>
          </c:extLst>
        </c:ser>
        <c:ser>
          <c:idx val="1"/>
          <c:order val="1"/>
          <c:tx>
            <c:strRef>
              <c:f>Sheet1!$L$10</c:f>
              <c:strCache>
                <c:ptCount val="1"/>
                <c:pt idx="0">
                  <c:v>Sum of Profit</c:v>
                </c:pt>
              </c:strCache>
            </c:strRef>
          </c:tx>
          <c:spPr>
            <a:solidFill>
              <a:schemeClr val="accent2"/>
            </a:solidFill>
            <a:ln>
              <a:noFill/>
            </a:ln>
            <a:effectLst/>
          </c:spPr>
          <c:invertIfNegative val="0"/>
          <c:cat>
            <c:strRef>
              <c:f>Sheet1!$J$11:$J$13</c:f>
              <c:strCache>
                <c:ptCount val="2"/>
                <c:pt idx="0">
                  <c:v>Office Supplies</c:v>
                </c:pt>
                <c:pt idx="1">
                  <c:v>Technology</c:v>
                </c:pt>
              </c:strCache>
            </c:strRef>
          </c:cat>
          <c:val>
            <c:numRef>
              <c:f>Sheet1!$L$11:$L$13</c:f>
              <c:numCache>
                <c:formatCode>0.00</c:formatCode>
                <c:ptCount val="2"/>
                <c:pt idx="0">
                  <c:v>25380</c:v>
                </c:pt>
                <c:pt idx="1">
                  <c:v>83073.060000000012</c:v>
                </c:pt>
              </c:numCache>
            </c:numRef>
          </c:val>
          <c:extLst>
            <c:ext xmlns:c16="http://schemas.microsoft.com/office/drawing/2014/chart" uri="{C3380CC4-5D6E-409C-BE32-E72D297353CC}">
              <c16:uniqueId val="{00000002-43CD-4DE3-AA21-6FB2F6B3133A}"/>
            </c:ext>
          </c:extLst>
        </c:ser>
        <c:dLbls>
          <c:showLegendKey val="0"/>
          <c:showVal val="0"/>
          <c:showCatName val="0"/>
          <c:showSerName val="0"/>
          <c:showPercent val="0"/>
          <c:showBubbleSize val="0"/>
        </c:dLbls>
        <c:gapWidth val="219"/>
        <c:overlap val="-27"/>
        <c:axId val="512818975"/>
        <c:axId val="512820895"/>
      </c:barChart>
      <c:catAx>
        <c:axId val="51281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20895"/>
        <c:crosses val="autoZero"/>
        <c:auto val="1"/>
        <c:lblAlgn val="ctr"/>
        <c:lblOffset val="100"/>
        <c:noMultiLvlLbl val="0"/>
      </c:catAx>
      <c:valAx>
        <c:axId val="51282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1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Sheet1!$K$18</c:f>
              <c:strCache>
                <c:ptCount val="1"/>
                <c:pt idx="0">
                  <c:v>Sum of Sales Amount</c:v>
                </c:pt>
              </c:strCache>
            </c:strRef>
          </c:tx>
          <c:spPr>
            <a:solidFill>
              <a:schemeClr val="accent1"/>
            </a:solidFill>
            <a:ln>
              <a:noFill/>
            </a:ln>
            <a:effectLst/>
          </c:spPr>
          <c:invertIfNegative val="0"/>
          <c:cat>
            <c:strRef>
              <c:f>Sheet1!$J$19:$J$20</c:f>
              <c:strCache>
                <c:ptCount val="1"/>
                <c:pt idx="0">
                  <c:v>West</c:v>
                </c:pt>
              </c:strCache>
            </c:strRef>
          </c:cat>
          <c:val>
            <c:numRef>
              <c:f>Sheet1!$K$19:$K$20</c:f>
              <c:numCache>
                <c:formatCode>General</c:formatCode>
                <c:ptCount val="1"/>
                <c:pt idx="0">
                  <c:v>433812.24000000011</c:v>
                </c:pt>
              </c:numCache>
            </c:numRef>
          </c:val>
          <c:extLst>
            <c:ext xmlns:c16="http://schemas.microsoft.com/office/drawing/2014/chart" uri="{C3380CC4-5D6E-409C-BE32-E72D297353CC}">
              <c16:uniqueId val="{00000000-1A81-4AE4-95B6-511A0EC61BCE}"/>
            </c:ext>
          </c:extLst>
        </c:ser>
        <c:ser>
          <c:idx val="1"/>
          <c:order val="1"/>
          <c:tx>
            <c:strRef>
              <c:f>Sheet1!$L$18</c:f>
              <c:strCache>
                <c:ptCount val="1"/>
                <c:pt idx="0">
                  <c:v>Sum of Profit</c:v>
                </c:pt>
              </c:strCache>
            </c:strRef>
          </c:tx>
          <c:spPr>
            <a:solidFill>
              <a:schemeClr val="accent2"/>
            </a:solidFill>
            <a:ln>
              <a:noFill/>
            </a:ln>
            <a:effectLst/>
          </c:spPr>
          <c:invertIfNegative val="0"/>
          <c:cat>
            <c:strRef>
              <c:f>Sheet1!$J$19:$J$20</c:f>
              <c:strCache>
                <c:ptCount val="1"/>
                <c:pt idx="0">
                  <c:v>West</c:v>
                </c:pt>
              </c:strCache>
            </c:strRef>
          </c:cat>
          <c:val>
            <c:numRef>
              <c:f>Sheet1!$L$19:$L$20</c:f>
              <c:numCache>
                <c:formatCode>0.00</c:formatCode>
                <c:ptCount val="1"/>
                <c:pt idx="0">
                  <c:v>108453.06000000003</c:v>
                </c:pt>
              </c:numCache>
            </c:numRef>
          </c:val>
          <c:extLst>
            <c:ext xmlns:c16="http://schemas.microsoft.com/office/drawing/2014/chart" uri="{C3380CC4-5D6E-409C-BE32-E72D297353CC}">
              <c16:uniqueId val="{00000002-1A81-4AE4-95B6-511A0EC61BCE}"/>
            </c:ext>
          </c:extLst>
        </c:ser>
        <c:dLbls>
          <c:showLegendKey val="0"/>
          <c:showVal val="0"/>
          <c:showCatName val="0"/>
          <c:showSerName val="0"/>
          <c:showPercent val="0"/>
          <c:showBubbleSize val="0"/>
        </c:dLbls>
        <c:gapWidth val="219"/>
        <c:overlap val="-27"/>
        <c:axId val="512841055"/>
        <c:axId val="512831455"/>
      </c:barChart>
      <c:catAx>
        <c:axId val="51284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31455"/>
        <c:crosses val="autoZero"/>
        <c:auto val="1"/>
        <c:lblAlgn val="ctr"/>
        <c:lblOffset val="100"/>
        <c:noMultiLvlLbl val="0"/>
      </c:catAx>
      <c:valAx>
        <c:axId val="51283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4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Sheet2!$B$7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1A2-4DC9-8DDD-E5F1629988DC}"/>
              </c:ext>
            </c:extLst>
          </c:dPt>
          <c:dPt>
            <c:idx val="1"/>
            <c:bubble3D val="0"/>
            <c:spPr>
              <a:solidFill>
                <a:schemeClr val="accent2"/>
              </a:solidFill>
              <a:ln>
                <a:noFill/>
              </a:ln>
              <a:effectLst/>
            </c:spPr>
            <c:extLst>
              <c:ext xmlns:c16="http://schemas.microsoft.com/office/drawing/2014/chart" uri="{C3380CC4-5D6E-409C-BE32-E72D297353CC}">
                <c16:uniqueId val="{00000003-11A2-4DC9-8DDD-E5F1629988DC}"/>
              </c:ext>
            </c:extLst>
          </c:dPt>
          <c:dPt>
            <c:idx val="2"/>
            <c:bubble3D val="0"/>
            <c:spPr>
              <a:solidFill>
                <a:schemeClr val="accent3"/>
              </a:solidFill>
              <a:ln>
                <a:noFill/>
              </a:ln>
              <a:effectLst/>
            </c:spPr>
            <c:extLst>
              <c:ext xmlns:c16="http://schemas.microsoft.com/office/drawing/2014/chart" uri="{C3380CC4-5D6E-409C-BE32-E72D297353CC}">
                <c16:uniqueId val="{00000005-11A2-4DC9-8DDD-E5F162998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Sheet2!$A$8:$A$10</c:f>
              <c:strCache>
                <c:ptCount val="3"/>
                <c:pt idx="0">
                  <c:v>Sum of Order Quantity</c:v>
                </c:pt>
                <c:pt idx="1">
                  <c:v>Sum of Sales Amount</c:v>
                </c:pt>
                <c:pt idx="2">
                  <c:v>Sum of Profit</c:v>
                </c:pt>
              </c:strCache>
            </c:strRef>
          </c:cat>
          <c:val>
            <c:numRef>
              <c:f>Sheet2!$B$8:$B$10</c:f>
              <c:numCache>
                <c:formatCode>General</c:formatCode>
                <c:ptCount val="3"/>
                <c:pt idx="0">
                  <c:v>9640</c:v>
                </c:pt>
                <c:pt idx="1">
                  <c:v>433812.24000000011</c:v>
                </c:pt>
                <c:pt idx="2">
                  <c:v>108453.06000000003</c:v>
                </c:pt>
              </c:numCache>
            </c:numRef>
          </c:val>
          <c:extLst>
            <c:ext xmlns:c16="http://schemas.microsoft.com/office/drawing/2014/chart" uri="{C3380CC4-5D6E-409C-BE32-E72D297353CC}">
              <c16:uniqueId val="{00000000-CC2B-4C38-A727-CC4B35B58C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Sheet2!$B$16</c:f>
              <c:strCache>
                <c:ptCount val="1"/>
                <c:pt idx="0">
                  <c:v>Sum of Sales Amount</c:v>
                </c:pt>
              </c:strCache>
            </c:strRef>
          </c:tx>
          <c:spPr>
            <a:solidFill>
              <a:schemeClr val="accent1"/>
            </a:solidFill>
            <a:ln>
              <a:noFill/>
            </a:ln>
            <a:effectLst/>
          </c:spPr>
          <c:invertIfNegative val="0"/>
          <c:cat>
            <c:strRef>
              <c:f>Sheet2!$A$17:$A$19</c:f>
              <c:strCache>
                <c:ptCount val="2"/>
                <c:pt idx="0">
                  <c:v>Corporate</c:v>
                </c:pt>
                <c:pt idx="1">
                  <c:v>Home Office</c:v>
                </c:pt>
              </c:strCache>
            </c:strRef>
          </c:cat>
          <c:val>
            <c:numRef>
              <c:f>Sheet2!$B$17:$B$19</c:f>
              <c:numCache>
                <c:formatCode>General</c:formatCode>
                <c:ptCount val="2"/>
                <c:pt idx="0">
                  <c:v>362388.24000000005</c:v>
                </c:pt>
                <c:pt idx="1">
                  <c:v>71424</c:v>
                </c:pt>
              </c:numCache>
            </c:numRef>
          </c:val>
          <c:extLst>
            <c:ext xmlns:c16="http://schemas.microsoft.com/office/drawing/2014/chart" uri="{C3380CC4-5D6E-409C-BE32-E72D297353CC}">
              <c16:uniqueId val="{00000000-B445-448B-9B51-5F176B3E9DBB}"/>
            </c:ext>
          </c:extLst>
        </c:ser>
        <c:ser>
          <c:idx val="1"/>
          <c:order val="1"/>
          <c:tx>
            <c:strRef>
              <c:f>Sheet2!$C$16</c:f>
              <c:strCache>
                <c:ptCount val="1"/>
                <c:pt idx="0">
                  <c:v>Sum of Profit</c:v>
                </c:pt>
              </c:strCache>
            </c:strRef>
          </c:tx>
          <c:spPr>
            <a:solidFill>
              <a:schemeClr val="accent2"/>
            </a:solidFill>
            <a:ln>
              <a:noFill/>
            </a:ln>
            <a:effectLst/>
          </c:spPr>
          <c:invertIfNegative val="0"/>
          <c:cat>
            <c:strRef>
              <c:f>Sheet2!$A$17:$A$19</c:f>
              <c:strCache>
                <c:ptCount val="2"/>
                <c:pt idx="0">
                  <c:v>Corporate</c:v>
                </c:pt>
                <c:pt idx="1">
                  <c:v>Home Office</c:v>
                </c:pt>
              </c:strCache>
            </c:strRef>
          </c:cat>
          <c:val>
            <c:numRef>
              <c:f>Sheet2!$C$17:$C$19</c:f>
              <c:numCache>
                <c:formatCode>0.00</c:formatCode>
                <c:ptCount val="2"/>
                <c:pt idx="0">
                  <c:v>90597.060000000012</c:v>
                </c:pt>
                <c:pt idx="1">
                  <c:v>17856</c:v>
                </c:pt>
              </c:numCache>
            </c:numRef>
          </c:val>
          <c:extLst>
            <c:ext xmlns:c16="http://schemas.microsoft.com/office/drawing/2014/chart" uri="{C3380CC4-5D6E-409C-BE32-E72D297353CC}">
              <c16:uniqueId val="{00000002-B445-448B-9B51-5F176B3E9DBB}"/>
            </c:ext>
          </c:extLst>
        </c:ser>
        <c:dLbls>
          <c:showLegendKey val="0"/>
          <c:showVal val="0"/>
          <c:showCatName val="0"/>
          <c:showSerName val="0"/>
          <c:showPercent val="0"/>
          <c:showBubbleSize val="0"/>
        </c:dLbls>
        <c:gapWidth val="219"/>
        <c:overlap val="-27"/>
        <c:axId val="2121536848"/>
        <c:axId val="2121521968"/>
      </c:barChart>
      <c:catAx>
        <c:axId val="212153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521968"/>
        <c:crosses val="autoZero"/>
        <c:auto val="1"/>
        <c:lblAlgn val="ctr"/>
        <c:lblOffset val="100"/>
        <c:noMultiLvlLbl val="0"/>
      </c:catAx>
      <c:valAx>
        <c:axId val="212152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53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Sheet2!$J$7</c:f>
              <c:strCache>
                <c:ptCount val="1"/>
                <c:pt idx="0">
                  <c:v>Sum of Sales Amount</c:v>
                </c:pt>
              </c:strCache>
            </c:strRef>
          </c:tx>
          <c:spPr>
            <a:solidFill>
              <a:schemeClr val="accent1"/>
            </a:solidFill>
            <a:ln>
              <a:noFill/>
            </a:ln>
            <a:effectLst/>
          </c:spPr>
          <c:invertIfNegative val="0"/>
          <c:cat>
            <c:strRef>
              <c:f>Sheet2!$I$8:$I$10</c:f>
              <c:strCache>
                <c:ptCount val="2"/>
                <c:pt idx="0">
                  <c:v>Office Supplies</c:v>
                </c:pt>
                <c:pt idx="1">
                  <c:v>Technology</c:v>
                </c:pt>
              </c:strCache>
            </c:strRef>
          </c:cat>
          <c:val>
            <c:numRef>
              <c:f>Sheet2!$J$8:$J$10</c:f>
              <c:numCache>
                <c:formatCode>General</c:formatCode>
                <c:ptCount val="2"/>
                <c:pt idx="0">
                  <c:v>101520</c:v>
                </c:pt>
                <c:pt idx="1">
                  <c:v>332292.24000000005</c:v>
                </c:pt>
              </c:numCache>
            </c:numRef>
          </c:val>
          <c:extLst>
            <c:ext xmlns:c16="http://schemas.microsoft.com/office/drawing/2014/chart" uri="{C3380CC4-5D6E-409C-BE32-E72D297353CC}">
              <c16:uniqueId val="{00000000-BBB9-48BD-97C0-3FD4E3E9AA06}"/>
            </c:ext>
          </c:extLst>
        </c:ser>
        <c:ser>
          <c:idx val="1"/>
          <c:order val="1"/>
          <c:tx>
            <c:strRef>
              <c:f>Sheet2!$K$7</c:f>
              <c:strCache>
                <c:ptCount val="1"/>
                <c:pt idx="0">
                  <c:v>Sum of Profit</c:v>
                </c:pt>
              </c:strCache>
            </c:strRef>
          </c:tx>
          <c:spPr>
            <a:solidFill>
              <a:schemeClr val="accent2"/>
            </a:solidFill>
            <a:ln>
              <a:noFill/>
            </a:ln>
            <a:effectLst/>
          </c:spPr>
          <c:invertIfNegative val="0"/>
          <c:cat>
            <c:strRef>
              <c:f>Sheet2!$I$8:$I$10</c:f>
              <c:strCache>
                <c:ptCount val="2"/>
                <c:pt idx="0">
                  <c:v>Office Supplies</c:v>
                </c:pt>
                <c:pt idx="1">
                  <c:v>Technology</c:v>
                </c:pt>
              </c:strCache>
            </c:strRef>
          </c:cat>
          <c:val>
            <c:numRef>
              <c:f>Sheet2!$K$8:$K$10</c:f>
              <c:numCache>
                <c:formatCode>0.00</c:formatCode>
                <c:ptCount val="2"/>
                <c:pt idx="0">
                  <c:v>25380</c:v>
                </c:pt>
                <c:pt idx="1">
                  <c:v>83073.060000000012</c:v>
                </c:pt>
              </c:numCache>
            </c:numRef>
          </c:val>
          <c:extLst>
            <c:ext xmlns:c16="http://schemas.microsoft.com/office/drawing/2014/chart" uri="{C3380CC4-5D6E-409C-BE32-E72D297353CC}">
              <c16:uniqueId val="{00000002-BBB9-48BD-97C0-3FD4E3E9AA06}"/>
            </c:ext>
          </c:extLst>
        </c:ser>
        <c:dLbls>
          <c:showLegendKey val="0"/>
          <c:showVal val="0"/>
          <c:showCatName val="0"/>
          <c:showSerName val="0"/>
          <c:showPercent val="0"/>
          <c:showBubbleSize val="0"/>
        </c:dLbls>
        <c:gapWidth val="219"/>
        <c:axId val="2121546928"/>
        <c:axId val="2121547408"/>
      </c:barChart>
      <c:catAx>
        <c:axId val="212154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547408"/>
        <c:crosses val="autoZero"/>
        <c:auto val="1"/>
        <c:lblAlgn val="ctr"/>
        <c:lblOffset val="100"/>
        <c:noMultiLvlLbl val="0"/>
      </c:catAx>
      <c:valAx>
        <c:axId val="212154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54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Sheet2!$J$16</c:f>
              <c:strCache>
                <c:ptCount val="1"/>
                <c:pt idx="0">
                  <c:v>Sum of Sales Amount</c:v>
                </c:pt>
              </c:strCache>
            </c:strRef>
          </c:tx>
          <c:spPr>
            <a:solidFill>
              <a:schemeClr val="accent1"/>
            </a:solidFill>
            <a:ln>
              <a:noFill/>
            </a:ln>
            <a:effectLst/>
          </c:spPr>
          <c:invertIfNegative val="0"/>
          <c:cat>
            <c:strRef>
              <c:f>Sheet2!$I$17:$I$18</c:f>
              <c:strCache>
                <c:ptCount val="1"/>
                <c:pt idx="0">
                  <c:v>West</c:v>
                </c:pt>
              </c:strCache>
            </c:strRef>
          </c:cat>
          <c:val>
            <c:numRef>
              <c:f>Sheet2!$J$17:$J$18</c:f>
              <c:numCache>
                <c:formatCode>General</c:formatCode>
                <c:ptCount val="1"/>
                <c:pt idx="0">
                  <c:v>433812.24000000011</c:v>
                </c:pt>
              </c:numCache>
            </c:numRef>
          </c:val>
          <c:extLst>
            <c:ext xmlns:c16="http://schemas.microsoft.com/office/drawing/2014/chart" uri="{C3380CC4-5D6E-409C-BE32-E72D297353CC}">
              <c16:uniqueId val="{00000000-ED87-437E-B64E-A330C03FCBE9}"/>
            </c:ext>
          </c:extLst>
        </c:ser>
        <c:ser>
          <c:idx val="1"/>
          <c:order val="1"/>
          <c:tx>
            <c:strRef>
              <c:f>Sheet2!$K$16</c:f>
              <c:strCache>
                <c:ptCount val="1"/>
                <c:pt idx="0">
                  <c:v>Sum of Profit</c:v>
                </c:pt>
              </c:strCache>
            </c:strRef>
          </c:tx>
          <c:spPr>
            <a:solidFill>
              <a:schemeClr val="accent2"/>
            </a:solidFill>
            <a:ln>
              <a:noFill/>
            </a:ln>
            <a:effectLst/>
          </c:spPr>
          <c:invertIfNegative val="0"/>
          <c:cat>
            <c:strRef>
              <c:f>Sheet2!$I$17:$I$18</c:f>
              <c:strCache>
                <c:ptCount val="1"/>
                <c:pt idx="0">
                  <c:v>West</c:v>
                </c:pt>
              </c:strCache>
            </c:strRef>
          </c:cat>
          <c:val>
            <c:numRef>
              <c:f>Sheet2!$K$17:$K$18</c:f>
              <c:numCache>
                <c:formatCode>0.00</c:formatCode>
                <c:ptCount val="1"/>
                <c:pt idx="0">
                  <c:v>108453.06000000003</c:v>
                </c:pt>
              </c:numCache>
            </c:numRef>
          </c:val>
          <c:extLst>
            <c:ext xmlns:c16="http://schemas.microsoft.com/office/drawing/2014/chart" uri="{C3380CC4-5D6E-409C-BE32-E72D297353CC}">
              <c16:uniqueId val="{00000002-ED87-437E-B64E-A330C03FCBE9}"/>
            </c:ext>
          </c:extLst>
        </c:ser>
        <c:dLbls>
          <c:showLegendKey val="0"/>
          <c:showVal val="0"/>
          <c:showCatName val="0"/>
          <c:showSerName val="0"/>
          <c:showPercent val="0"/>
          <c:showBubbleSize val="0"/>
        </c:dLbls>
        <c:gapWidth val="219"/>
        <c:overlap val="-27"/>
        <c:axId val="2121498448"/>
        <c:axId val="2121497968"/>
      </c:barChart>
      <c:catAx>
        <c:axId val="212149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97968"/>
        <c:crosses val="autoZero"/>
        <c:auto val="1"/>
        <c:lblAlgn val="ctr"/>
        <c:lblOffset val="100"/>
        <c:noMultiLvlLbl val="0"/>
      </c:catAx>
      <c:valAx>
        <c:axId val="212149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9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Sheet4!$B$6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F5E-4669-AF8E-A498C9240B1E}"/>
              </c:ext>
            </c:extLst>
          </c:dPt>
          <c:dPt>
            <c:idx val="1"/>
            <c:bubble3D val="0"/>
            <c:spPr>
              <a:solidFill>
                <a:schemeClr val="accent2"/>
              </a:solidFill>
              <a:ln>
                <a:noFill/>
              </a:ln>
              <a:effectLst/>
            </c:spPr>
            <c:extLst>
              <c:ext xmlns:c16="http://schemas.microsoft.com/office/drawing/2014/chart" uri="{C3380CC4-5D6E-409C-BE32-E72D297353CC}">
                <c16:uniqueId val="{00000003-3F5E-4669-AF8E-A498C9240B1E}"/>
              </c:ext>
            </c:extLst>
          </c:dPt>
          <c:dPt>
            <c:idx val="2"/>
            <c:bubble3D val="0"/>
            <c:spPr>
              <a:solidFill>
                <a:schemeClr val="accent3"/>
              </a:solidFill>
              <a:ln>
                <a:noFill/>
              </a:ln>
              <a:effectLst/>
            </c:spPr>
            <c:extLst>
              <c:ext xmlns:c16="http://schemas.microsoft.com/office/drawing/2014/chart" uri="{C3380CC4-5D6E-409C-BE32-E72D297353CC}">
                <c16:uniqueId val="{00000005-3F5E-4669-AF8E-A498C9240B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Sheet4!$A$7:$A$9</c:f>
              <c:strCache>
                <c:ptCount val="3"/>
                <c:pt idx="0">
                  <c:v>Sum of Order Quantity</c:v>
                </c:pt>
                <c:pt idx="1">
                  <c:v>Sum of Sales Amount</c:v>
                </c:pt>
                <c:pt idx="2">
                  <c:v>Sum of Profit</c:v>
                </c:pt>
              </c:strCache>
            </c:strRef>
          </c:cat>
          <c:val>
            <c:numRef>
              <c:f>Sheet4!$B$7:$B$9</c:f>
              <c:numCache>
                <c:formatCode>General</c:formatCode>
                <c:ptCount val="3"/>
                <c:pt idx="0">
                  <c:v>9640</c:v>
                </c:pt>
                <c:pt idx="1">
                  <c:v>433812.24000000011</c:v>
                </c:pt>
                <c:pt idx="2">
                  <c:v>108453.06000000003</c:v>
                </c:pt>
              </c:numCache>
            </c:numRef>
          </c:val>
          <c:extLst>
            <c:ext xmlns:c16="http://schemas.microsoft.com/office/drawing/2014/chart" uri="{C3380CC4-5D6E-409C-BE32-E72D297353CC}">
              <c16:uniqueId val="{00000000-CBDC-457F-A357-11598B516CE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Sheet4!$B$14</c:f>
              <c:strCache>
                <c:ptCount val="1"/>
                <c:pt idx="0">
                  <c:v>Sum of Sales Amount</c:v>
                </c:pt>
              </c:strCache>
            </c:strRef>
          </c:tx>
          <c:spPr>
            <a:solidFill>
              <a:schemeClr val="accent1"/>
            </a:solidFill>
            <a:ln>
              <a:noFill/>
            </a:ln>
            <a:effectLst/>
          </c:spPr>
          <c:invertIfNegative val="0"/>
          <c:cat>
            <c:strRef>
              <c:f>Sheet4!$A$15:$A$17</c:f>
              <c:strCache>
                <c:ptCount val="2"/>
                <c:pt idx="0">
                  <c:v>Corporate</c:v>
                </c:pt>
                <c:pt idx="1">
                  <c:v>Home Office</c:v>
                </c:pt>
              </c:strCache>
            </c:strRef>
          </c:cat>
          <c:val>
            <c:numRef>
              <c:f>Sheet4!$B$15:$B$17</c:f>
              <c:numCache>
                <c:formatCode>General</c:formatCode>
                <c:ptCount val="2"/>
                <c:pt idx="0">
                  <c:v>362388.24000000005</c:v>
                </c:pt>
                <c:pt idx="1">
                  <c:v>71424</c:v>
                </c:pt>
              </c:numCache>
            </c:numRef>
          </c:val>
          <c:extLst>
            <c:ext xmlns:c16="http://schemas.microsoft.com/office/drawing/2014/chart" uri="{C3380CC4-5D6E-409C-BE32-E72D297353CC}">
              <c16:uniqueId val="{00000003-66CF-457C-B6AA-10BC6E87538F}"/>
            </c:ext>
          </c:extLst>
        </c:ser>
        <c:ser>
          <c:idx val="1"/>
          <c:order val="1"/>
          <c:tx>
            <c:strRef>
              <c:f>Sheet4!$C$14</c:f>
              <c:strCache>
                <c:ptCount val="1"/>
                <c:pt idx="0">
                  <c:v>Sum of Profit</c:v>
                </c:pt>
              </c:strCache>
            </c:strRef>
          </c:tx>
          <c:spPr>
            <a:solidFill>
              <a:schemeClr val="accent2"/>
            </a:solidFill>
            <a:ln>
              <a:noFill/>
            </a:ln>
            <a:effectLst/>
          </c:spPr>
          <c:invertIfNegative val="0"/>
          <c:cat>
            <c:strRef>
              <c:f>Sheet4!$A$15:$A$17</c:f>
              <c:strCache>
                <c:ptCount val="2"/>
                <c:pt idx="0">
                  <c:v>Corporate</c:v>
                </c:pt>
                <c:pt idx="1">
                  <c:v>Home Office</c:v>
                </c:pt>
              </c:strCache>
            </c:strRef>
          </c:cat>
          <c:val>
            <c:numRef>
              <c:f>Sheet4!$C$15:$C$17</c:f>
              <c:numCache>
                <c:formatCode>0.00</c:formatCode>
                <c:ptCount val="2"/>
                <c:pt idx="0">
                  <c:v>90597.060000000012</c:v>
                </c:pt>
                <c:pt idx="1">
                  <c:v>17856</c:v>
                </c:pt>
              </c:numCache>
            </c:numRef>
          </c:val>
          <c:extLst>
            <c:ext xmlns:c16="http://schemas.microsoft.com/office/drawing/2014/chart" uri="{C3380CC4-5D6E-409C-BE32-E72D297353CC}">
              <c16:uniqueId val="{00000004-66CF-457C-B6AA-10BC6E87538F}"/>
            </c:ext>
          </c:extLst>
        </c:ser>
        <c:dLbls>
          <c:showLegendKey val="0"/>
          <c:showVal val="0"/>
          <c:showCatName val="0"/>
          <c:showSerName val="0"/>
          <c:showPercent val="0"/>
          <c:showBubbleSize val="0"/>
        </c:dLbls>
        <c:gapWidth val="219"/>
        <c:axId val="1139567840"/>
        <c:axId val="1139578880"/>
      </c:barChart>
      <c:catAx>
        <c:axId val="113956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78880"/>
        <c:crosses val="autoZero"/>
        <c:auto val="1"/>
        <c:lblAlgn val="ctr"/>
        <c:lblOffset val="100"/>
        <c:noMultiLvlLbl val="0"/>
      </c:catAx>
      <c:valAx>
        <c:axId val="113957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6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DB.xlsx]Sheet4!PivotTable3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Sheet4!$H$6</c:f>
              <c:strCache>
                <c:ptCount val="1"/>
                <c:pt idx="0">
                  <c:v>Sum of Sales Amount</c:v>
                </c:pt>
              </c:strCache>
            </c:strRef>
          </c:tx>
          <c:spPr>
            <a:solidFill>
              <a:schemeClr val="accent1"/>
            </a:solidFill>
            <a:ln>
              <a:noFill/>
            </a:ln>
            <a:effectLst/>
          </c:spPr>
          <c:invertIfNegative val="0"/>
          <c:cat>
            <c:strRef>
              <c:f>Sheet4!$G$7:$G$9</c:f>
              <c:strCache>
                <c:ptCount val="2"/>
                <c:pt idx="0">
                  <c:v>Office Supplies</c:v>
                </c:pt>
                <c:pt idx="1">
                  <c:v>Technology</c:v>
                </c:pt>
              </c:strCache>
            </c:strRef>
          </c:cat>
          <c:val>
            <c:numRef>
              <c:f>Sheet4!$H$7:$H$9</c:f>
              <c:numCache>
                <c:formatCode>General</c:formatCode>
                <c:ptCount val="2"/>
                <c:pt idx="0">
                  <c:v>101520</c:v>
                </c:pt>
                <c:pt idx="1">
                  <c:v>332292.24000000005</c:v>
                </c:pt>
              </c:numCache>
            </c:numRef>
          </c:val>
          <c:extLst>
            <c:ext xmlns:c16="http://schemas.microsoft.com/office/drawing/2014/chart" uri="{C3380CC4-5D6E-409C-BE32-E72D297353CC}">
              <c16:uniqueId val="{00000000-5316-45D4-B78B-9BA45FCF3083}"/>
            </c:ext>
          </c:extLst>
        </c:ser>
        <c:ser>
          <c:idx val="1"/>
          <c:order val="1"/>
          <c:tx>
            <c:strRef>
              <c:f>Sheet4!$I$6</c:f>
              <c:strCache>
                <c:ptCount val="1"/>
                <c:pt idx="0">
                  <c:v>Sum of Profit</c:v>
                </c:pt>
              </c:strCache>
            </c:strRef>
          </c:tx>
          <c:spPr>
            <a:solidFill>
              <a:schemeClr val="accent2"/>
            </a:solidFill>
            <a:ln>
              <a:noFill/>
            </a:ln>
            <a:effectLst/>
          </c:spPr>
          <c:invertIfNegative val="0"/>
          <c:cat>
            <c:strRef>
              <c:f>Sheet4!$G$7:$G$9</c:f>
              <c:strCache>
                <c:ptCount val="2"/>
                <c:pt idx="0">
                  <c:v>Office Supplies</c:v>
                </c:pt>
                <c:pt idx="1">
                  <c:v>Technology</c:v>
                </c:pt>
              </c:strCache>
            </c:strRef>
          </c:cat>
          <c:val>
            <c:numRef>
              <c:f>Sheet4!$I$7:$I$9</c:f>
              <c:numCache>
                <c:formatCode>0.00</c:formatCode>
                <c:ptCount val="2"/>
                <c:pt idx="0">
                  <c:v>25380</c:v>
                </c:pt>
                <c:pt idx="1">
                  <c:v>83073.060000000012</c:v>
                </c:pt>
              </c:numCache>
            </c:numRef>
          </c:val>
          <c:extLst>
            <c:ext xmlns:c16="http://schemas.microsoft.com/office/drawing/2014/chart" uri="{C3380CC4-5D6E-409C-BE32-E72D297353CC}">
              <c16:uniqueId val="{00000002-5316-45D4-B78B-9BA45FCF3083}"/>
            </c:ext>
          </c:extLst>
        </c:ser>
        <c:dLbls>
          <c:showLegendKey val="0"/>
          <c:showVal val="0"/>
          <c:showCatName val="0"/>
          <c:showSerName val="0"/>
          <c:showPercent val="0"/>
          <c:showBubbleSize val="0"/>
        </c:dLbls>
        <c:gapWidth val="219"/>
        <c:overlap val="-27"/>
        <c:axId val="1329124944"/>
        <c:axId val="1329137424"/>
      </c:barChart>
      <c:catAx>
        <c:axId val="132912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37424"/>
        <c:crosses val="autoZero"/>
        <c:auto val="1"/>
        <c:lblAlgn val="ctr"/>
        <c:lblOffset val="100"/>
        <c:noMultiLvlLbl val="0"/>
      </c:catAx>
      <c:valAx>
        <c:axId val="132913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2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Sheet4!$H$14</c:f>
              <c:strCache>
                <c:ptCount val="1"/>
                <c:pt idx="0">
                  <c:v>Sum of Sales Amount</c:v>
                </c:pt>
              </c:strCache>
            </c:strRef>
          </c:tx>
          <c:spPr>
            <a:solidFill>
              <a:schemeClr val="accent1"/>
            </a:solidFill>
            <a:ln>
              <a:noFill/>
            </a:ln>
            <a:effectLst/>
          </c:spPr>
          <c:invertIfNegative val="0"/>
          <c:cat>
            <c:strRef>
              <c:f>Sheet4!$G$15:$G$16</c:f>
              <c:strCache>
                <c:ptCount val="1"/>
                <c:pt idx="0">
                  <c:v>West</c:v>
                </c:pt>
              </c:strCache>
            </c:strRef>
          </c:cat>
          <c:val>
            <c:numRef>
              <c:f>Sheet4!$H$15:$H$16</c:f>
              <c:numCache>
                <c:formatCode>General</c:formatCode>
                <c:ptCount val="1"/>
                <c:pt idx="0">
                  <c:v>433812.24000000011</c:v>
                </c:pt>
              </c:numCache>
            </c:numRef>
          </c:val>
          <c:extLst>
            <c:ext xmlns:c16="http://schemas.microsoft.com/office/drawing/2014/chart" uri="{C3380CC4-5D6E-409C-BE32-E72D297353CC}">
              <c16:uniqueId val="{00000000-DFC6-4858-A561-98C969D5CA2E}"/>
            </c:ext>
          </c:extLst>
        </c:ser>
        <c:ser>
          <c:idx val="1"/>
          <c:order val="1"/>
          <c:tx>
            <c:strRef>
              <c:f>Sheet4!$I$14</c:f>
              <c:strCache>
                <c:ptCount val="1"/>
                <c:pt idx="0">
                  <c:v>Sum of Profit</c:v>
                </c:pt>
              </c:strCache>
            </c:strRef>
          </c:tx>
          <c:spPr>
            <a:solidFill>
              <a:schemeClr val="accent2"/>
            </a:solidFill>
            <a:ln>
              <a:noFill/>
            </a:ln>
            <a:effectLst/>
          </c:spPr>
          <c:invertIfNegative val="0"/>
          <c:cat>
            <c:strRef>
              <c:f>Sheet4!$G$15:$G$16</c:f>
              <c:strCache>
                <c:ptCount val="1"/>
                <c:pt idx="0">
                  <c:v>West</c:v>
                </c:pt>
              </c:strCache>
            </c:strRef>
          </c:cat>
          <c:val>
            <c:numRef>
              <c:f>Sheet4!$I$15:$I$16</c:f>
              <c:numCache>
                <c:formatCode>0.00</c:formatCode>
                <c:ptCount val="1"/>
                <c:pt idx="0">
                  <c:v>108453.06000000003</c:v>
                </c:pt>
              </c:numCache>
            </c:numRef>
          </c:val>
          <c:extLst>
            <c:ext xmlns:c16="http://schemas.microsoft.com/office/drawing/2014/chart" uri="{C3380CC4-5D6E-409C-BE32-E72D297353CC}">
              <c16:uniqueId val="{00000002-DFC6-4858-A561-98C969D5CA2E}"/>
            </c:ext>
          </c:extLst>
        </c:ser>
        <c:dLbls>
          <c:showLegendKey val="0"/>
          <c:showVal val="0"/>
          <c:showCatName val="0"/>
          <c:showSerName val="0"/>
          <c:showPercent val="0"/>
          <c:showBubbleSize val="0"/>
        </c:dLbls>
        <c:gapWidth val="219"/>
        <c:overlap val="-27"/>
        <c:axId val="1329148464"/>
        <c:axId val="1329148944"/>
      </c:barChart>
      <c:catAx>
        <c:axId val="132914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48944"/>
        <c:crosses val="autoZero"/>
        <c:auto val="1"/>
        <c:lblAlgn val="ctr"/>
        <c:lblOffset val="100"/>
        <c:noMultiLvlLbl val="0"/>
      </c:catAx>
      <c:valAx>
        <c:axId val="1329148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4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167164449271"/>
          <c:y val="7.4074129517080325E-2"/>
          <c:w val="0.83953018372703414"/>
          <c:h val="0.8416746864975212"/>
        </c:manualLayout>
      </c:layout>
      <c:barChart>
        <c:barDir val="col"/>
        <c:grouping val="clustered"/>
        <c:varyColors val="0"/>
        <c:ser>
          <c:idx val="0"/>
          <c:order val="0"/>
          <c:tx>
            <c:strRef>
              <c:f>Sheet3!$A$8</c:f>
              <c:strCache>
                <c:ptCount val="1"/>
                <c:pt idx="0">
                  <c:v>Sum of Order Quantity</c:v>
                </c:pt>
              </c:strCache>
            </c:strRef>
          </c:tx>
          <c:spPr>
            <a:solidFill>
              <a:schemeClr val="accent1"/>
            </a:solidFill>
            <a:ln>
              <a:noFill/>
            </a:ln>
            <a:effectLst/>
          </c:spPr>
          <c:invertIfNegative val="0"/>
          <c:cat>
            <c:strRef>
              <c:f>Sheet3!$A$9</c:f>
              <c:strCache>
                <c:ptCount val="1"/>
                <c:pt idx="0">
                  <c:v>Total</c:v>
                </c:pt>
              </c:strCache>
            </c:strRef>
          </c:cat>
          <c:val>
            <c:numRef>
              <c:f>Sheet3!$A$9</c:f>
              <c:numCache>
                <c:formatCode>General</c:formatCode>
                <c:ptCount val="1"/>
                <c:pt idx="0">
                  <c:v>9640</c:v>
                </c:pt>
              </c:numCache>
            </c:numRef>
          </c:val>
          <c:extLst>
            <c:ext xmlns:c16="http://schemas.microsoft.com/office/drawing/2014/chart" uri="{C3380CC4-5D6E-409C-BE32-E72D297353CC}">
              <c16:uniqueId val="{00000000-738E-4FEE-8ACD-87C84555250D}"/>
            </c:ext>
          </c:extLst>
        </c:ser>
        <c:ser>
          <c:idx val="1"/>
          <c:order val="1"/>
          <c:tx>
            <c:strRef>
              <c:f>Sheet3!$B$8</c:f>
              <c:strCache>
                <c:ptCount val="1"/>
                <c:pt idx="0">
                  <c:v>Sum of Sales Amount</c:v>
                </c:pt>
              </c:strCache>
            </c:strRef>
          </c:tx>
          <c:spPr>
            <a:solidFill>
              <a:schemeClr val="accent2"/>
            </a:solidFill>
            <a:ln>
              <a:noFill/>
            </a:ln>
            <a:effectLst/>
          </c:spPr>
          <c:invertIfNegative val="0"/>
          <c:cat>
            <c:strRef>
              <c:f>Sheet3!$A$9</c:f>
              <c:strCache>
                <c:ptCount val="1"/>
                <c:pt idx="0">
                  <c:v>Total</c:v>
                </c:pt>
              </c:strCache>
            </c:strRef>
          </c:cat>
          <c:val>
            <c:numRef>
              <c:f>Sheet3!$B$9</c:f>
              <c:numCache>
                <c:formatCode>General</c:formatCode>
                <c:ptCount val="1"/>
                <c:pt idx="0">
                  <c:v>433812.24000000011</c:v>
                </c:pt>
              </c:numCache>
            </c:numRef>
          </c:val>
          <c:extLst>
            <c:ext xmlns:c16="http://schemas.microsoft.com/office/drawing/2014/chart" uri="{C3380CC4-5D6E-409C-BE32-E72D297353CC}">
              <c16:uniqueId val="{00000002-738E-4FEE-8ACD-87C84555250D}"/>
            </c:ext>
          </c:extLst>
        </c:ser>
        <c:ser>
          <c:idx val="2"/>
          <c:order val="2"/>
          <c:tx>
            <c:strRef>
              <c:f>Sheet3!$C$8</c:f>
              <c:strCache>
                <c:ptCount val="1"/>
                <c:pt idx="0">
                  <c:v>Sum of Profit</c:v>
                </c:pt>
              </c:strCache>
            </c:strRef>
          </c:tx>
          <c:spPr>
            <a:solidFill>
              <a:schemeClr val="accent3"/>
            </a:solidFill>
            <a:ln>
              <a:noFill/>
            </a:ln>
            <a:effectLst/>
          </c:spPr>
          <c:invertIfNegative val="0"/>
          <c:cat>
            <c:strRef>
              <c:f>Sheet3!$A$9</c:f>
              <c:strCache>
                <c:ptCount val="1"/>
                <c:pt idx="0">
                  <c:v>Total</c:v>
                </c:pt>
              </c:strCache>
            </c:strRef>
          </c:cat>
          <c:val>
            <c:numRef>
              <c:f>Sheet3!$C$9</c:f>
              <c:numCache>
                <c:formatCode>0.00</c:formatCode>
                <c:ptCount val="1"/>
                <c:pt idx="0">
                  <c:v>108453.06000000003</c:v>
                </c:pt>
              </c:numCache>
            </c:numRef>
          </c:val>
          <c:extLst>
            <c:ext xmlns:c16="http://schemas.microsoft.com/office/drawing/2014/chart" uri="{C3380CC4-5D6E-409C-BE32-E72D297353CC}">
              <c16:uniqueId val="{00000003-738E-4FEE-8ACD-87C84555250D}"/>
            </c:ext>
          </c:extLst>
        </c:ser>
        <c:dLbls>
          <c:showLegendKey val="0"/>
          <c:showVal val="0"/>
          <c:showCatName val="0"/>
          <c:showSerName val="0"/>
          <c:showPercent val="0"/>
          <c:showBubbleSize val="0"/>
        </c:dLbls>
        <c:gapWidth val="219"/>
        <c:overlap val="-27"/>
        <c:axId val="1039509472"/>
        <c:axId val="708769488"/>
      </c:barChart>
      <c:catAx>
        <c:axId val="103950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69488"/>
        <c:crosses val="autoZero"/>
        <c:auto val="1"/>
        <c:lblAlgn val="ctr"/>
        <c:lblOffset val="100"/>
        <c:noMultiLvlLbl val="0"/>
      </c:catAx>
      <c:valAx>
        <c:axId val="708769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0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7603036106972"/>
          <c:y val="2.5428331875182269E-2"/>
          <c:w val="0.84692863312594668"/>
          <c:h val="0.8416746864975212"/>
        </c:manualLayout>
      </c:layout>
      <c:barChart>
        <c:barDir val="col"/>
        <c:grouping val="clustered"/>
        <c:varyColors val="0"/>
        <c:ser>
          <c:idx val="0"/>
          <c:order val="0"/>
          <c:tx>
            <c:strRef>
              <c:f>Sheet3!$B$16</c:f>
              <c:strCache>
                <c:ptCount val="1"/>
                <c:pt idx="0">
                  <c:v>Sum of Order Quantity</c:v>
                </c:pt>
              </c:strCache>
            </c:strRef>
          </c:tx>
          <c:spPr>
            <a:solidFill>
              <a:schemeClr val="accent1"/>
            </a:solidFill>
            <a:ln>
              <a:noFill/>
            </a:ln>
            <a:effectLst/>
          </c:spPr>
          <c:invertIfNegative val="0"/>
          <c:cat>
            <c:strRef>
              <c:f>Sheet3!$A$17:$A$19</c:f>
              <c:strCache>
                <c:ptCount val="2"/>
                <c:pt idx="0">
                  <c:v>Corporate</c:v>
                </c:pt>
                <c:pt idx="1">
                  <c:v>Home Office</c:v>
                </c:pt>
              </c:strCache>
            </c:strRef>
          </c:cat>
          <c:val>
            <c:numRef>
              <c:f>Sheet3!$B$17:$B$19</c:f>
              <c:numCache>
                <c:formatCode>General</c:formatCode>
                <c:ptCount val="2"/>
                <c:pt idx="0">
                  <c:v>9256</c:v>
                </c:pt>
                <c:pt idx="1">
                  <c:v>384</c:v>
                </c:pt>
              </c:numCache>
            </c:numRef>
          </c:val>
          <c:extLst>
            <c:ext xmlns:c16="http://schemas.microsoft.com/office/drawing/2014/chart" uri="{C3380CC4-5D6E-409C-BE32-E72D297353CC}">
              <c16:uniqueId val="{00000000-9639-4E51-87F5-0C79614F7FE4}"/>
            </c:ext>
          </c:extLst>
        </c:ser>
        <c:ser>
          <c:idx val="1"/>
          <c:order val="1"/>
          <c:tx>
            <c:strRef>
              <c:f>Sheet3!$C$16</c:f>
              <c:strCache>
                <c:ptCount val="1"/>
                <c:pt idx="0">
                  <c:v>Sum of Sales Amount</c:v>
                </c:pt>
              </c:strCache>
            </c:strRef>
          </c:tx>
          <c:spPr>
            <a:solidFill>
              <a:schemeClr val="accent2"/>
            </a:solidFill>
            <a:ln>
              <a:noFill/>
            </a:ln>
            <a:effectLst/>
          </c:spPr>
          <c:invertIfNegative val="0"/>
          <c:cat>
            <c:strRef>
              <c:f>Sheet3!$A$17:$A$19</c:f>
              <c:strCache>
                <c:ptCount val="2"/>
                <c:pt idx="0">
                  <c:v>Corporate</c:v>
                </c:pt>
                <c:pt idx="1">
                  <c:v>Home Office</c:v>
                </c:pt>
              </c:strCache>
            </c:strRef>
          </c:cat>
          <c:val>
            <c:numRef>
              <c:f>Sheet3!$C$17:$C$19</c:f>
              <c:numCache>
                <c:formatCode>General</c:formatCode>
                <c:ptCount val="2"/>
                <c:pt idx="0">
                  <c:v>362388.24000000005</c:v>
                </c:pt>
                <c:pt idx="1">
                  <c:v>71424</c:v>
                </c:pt>
              </c:numCache>
            </c:numRef>
          </c:val>
          <c:extLst>
            <c:ext xmlns:c16="http://schemas.microsoft.com/office/drawing/2014/chart" uri="{C3380CC4-5D6E-409C-BE32-E72D297353CC}">
              <c16:uniqueId val="{00000002-9639-4E51-87F5-0C79614F7FE4}"/>
            </c:ext>
          </c:extLst>
        </c:ser>
        <c:ser>
          <c:idx val="2"/>
          <c:order val="2"/>
          <c:tx>
            <c:strRef>
              <c:f>Sheet3!$D$16</c:f>
              <c:strCache>
                <c:ptCount val="1"/>
                <c:pt idx="0">
                  <c:v>Sum of Profit</c:v>
                </c:pt>
              </c:strCache>
            </c:strRef>
          </c:tx>
          <c:spPr>
            <a:solidFill>
              <a:schemeClr val="accent3"/>
            </a:solidFill>
            <a:ln>
              <a:noFill/>
            </a:ln>
            <a:effectLst/>
          </c:spPr>
          <c:invertIfNegative val="0"/>
          <c:cat>
            <c:strRef>
              <c:f>Sheet3!$A$17:$A$19</c:f>
              <c:strCache>
                <c:ptCount val="2"/>
                <c:pt idx="0">
                  <c:v>Corporate</c:v>
                </c:pt>
                <c:pt idx="1">
                  <c:v>Home Office</c:v>
                </c:pt>
              </c:strCache>
            </c:strRef>
          </c:cat>
          <c:val>
            <c:numRef>
              <c:f>Sheet3!$D$17:$D$19</c:f>
              <c:numCache>
                <c:formatCode>0.00</c:formatCode>
                <c:ptCount val="2"/>
                <c:pt idx="0">
                  <c:v>90597.060000000012</c:v>
                </c:pt>
                <c:pt idx="1">
                  <c:v>17856</c:v>
                </c:pt>
              </c:numCache>
            </c:numRef>
          </c:val>
          <c:extLst>
            <c:ext xmlns:c16="http://schemas.microsoft.com/office/drawing/2014/chart" uri="{C3380CC4-5D6E-409C-BE32-E72D297353CC}">
              <c16:uniqueId val="{00000003-9639-4E51-87F5-0C79614F7FE4}"/>
            </c:ext>
          </c:extLst>
        </c:ser>
        <c:dLbls>
          <c:showLegendKey val="0"/>
          <c:showVal val="0"/>
          <c:showCatName val="0"/>
          <c:showSerName val="0"/>
          <c:showPercent val="0"/>
          <c:showBubbleSize val="0"/>
        </c:dLbls>
        <c:gapWidth val="219"/>
        <c:overlap val="-27"/>
        <c:axId val="1152293984"/>
        <c:axId val="581010864"/>
      </c:barChart>
      <c:catAx>
        <c:axId val="115229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10864"/>
        <c:crosses val="autoZero"/>
        <c:auto val="1"/>
        <c:lblAlgn val="ctr"/>
        <c:lblOffset val="100"/>
        <c:noMultiLvlLbl val="0"/>
      </c:catAx>
      <c:valAx>
        <c:axId val="58101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9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DB.xlsx]Sheet3!PivotTable4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2050790948428"/>
          <c:y val="7.9772079772079771E-2"/>
          <c:w val="0.82879944061046418"/>
          <c:h val="0.80513807568925677"/>
        </c:manualLayout>
      </c:layout>
      <c:barChart>
        <c:barDir val="col"/>
        <c:grouping val="clustered"/>
        <c:varyColors val="0"/>
        <c:ser>
          <c:idx val="0"/>
          <c:order val="0"/>
          <c:tx>
            <c:strRef>
              <c:f>Sheet3!$M$4</c:f>
              <c:strCache>
                <c:ptCount val="1"/>
                <c:pt idx="0">
                  <c:v>Sum of Order Quantity</c:v>
                </c:pt>
              </c:strCache>
            </c:strRef>
          </c:tx>
          <c:spPr>
            <a:solidFill>
              <a:schemeClr val="accent1"/>
            </a:solidFill>
            <a:ln>
              <a:noFill/>
            </a:ln>
            <a:effectLst/>
          </c:spPr>
          <c:invertIfNegative val="0"/>
          <c:cat>
            <c:strRef>
              <c:f>Sheet3!$L$5:$L$7</c:f>
              <c:strCache>
                <c:ptCount val="2"/>
                <c:pt idx="0">
                  <c:v>Office Supplies</c:v>
                </c:pt>
                <c:pt idx="1">
                  <c:v>Technology</c:v>
                </c:pt>
              </c:strCache>
            </c:strRef>
          </c:cat>
          <c:val>
            <c:numRef>
              <c:f>Sheet3!$M$5:$M$7</c:f>
              <c:numCache>
                <c:formatCode>General</c:formatCode>
                <c:ptCount val="2"/>
                <c:pt idx="0">
                  <c:v>1584</c:v>
                </c:pt>
                <c:pt idx="1">
                  <c:v>8056</c:v>
                </c:pt>
              </c:numCache>
            </c:numRef>
          </c:val>
          <c:extLst>
            <c:ext xmlns:c16="http://schemas.microsoft.com/office/drawing/2014/chart" uri="{C3380CC4-5D6E-409C-BE32-E72D297353CC}">
              <c16:uniqueId val="{00000000-FAE6-4100-A4DD-0F6CD6811E5D}"/>
            </c:ext>
          </c:extLst>
        </c:ser>
        <c:ser>
          <c:idx val="1"/>
          <c:order val="1"/>
          <c:tx>
            <c:strRef>
              <c:f>Sheet3!$N$4</c:f>
              <c:strCache>
                <c:ptCount val="1"/>
                <c:pt idx="0">
                  <c:v>Sum of Sales Amount</c:v>
                </c:pt>
              </c:strCache>
            </c:strRef>
          </c:tx>
          <c:spPr>
            <a:solidFill>
              <a:schemeClr val="accent2"/>
            </a:solidFill>
            <a:ln>
              <a:noFill/>
            </a:ln>
            <a:effectLst/>
          </c:spPr>
          <c:invertIfNegative val="0"/>
          <c:cat>
            <c:strRef>
              <c:f>Sheet3!$L$5:$L$7</c:f>
              <c:strCache>
                <c:ptCount val="2"/>
                <c:pt idx="0">
                  <c:v>Office Supplies</c:v>
                </c:pt>
                <c:pt idx="1">
                  <c:v>Technology</c:v>
                </c:pt>
              </c:strCache>
            </c:strRef>
          </c:cat>
          <c:val>
            <c:numRef>
              <c:f>Sheet3!$N$5:$N$7</c:f>
              <c:numCache>
                <c:formatCode>General</c:formatCode>
                <c:ptCount val="2"/>
                <c:pt idx="0">
                  <c:v>101520</c:v>
                </c:pt>
                <c:pt idx="1">
                  <c:v>332292.24000000005</c:v>
                </c:pt>
              </c:numCache>
            </c:numRef>
          </c:val>
          <c:extLst>
            <c:ext xmlns:c16="http://schemas.microsoft.com/office/drawing/2014/chart" uri="{C3380CC4-5D6E-409C-BE32-E72D297353CC}">
              <c16:uniqueId val="{00000002-FAE6-4100-A4DD-0F6CD6811E5D}"/>
            </c:ext>
          </c:extLst>
        </c:ser>
        <c:ser>
          <c:idx val="2"/>
          <c:order val="2"/>
          <c:tx>
            <c:strRef>
              <c:f>Sheet3!$O$4</c:f>
              <c:strCache>
                <c:ptCount val="1"/>
                <c:pt idx="0">
                  <c:v>Sum of Profit</c:v>
                </c:pt>
              </c:strCache>
            </c:strRef>
          </c:tx>
          <c:spPr>
            <a:solidFill>
              <a:schemeClr val="accent3"/>
            </a:solidFill>
            <a:ln>
              <a:noFill/>
            </a:ln>
            <a:effectLst/>
          </c:spPr>
          <c:invertIfNegative val="0"/>
          <c:cat>
            <c:strRef>
              <c:f>Sheet3!$L$5:$L$7</c:f>
              <c:strCache>
                <c:ptCount val="2"/>
                <c:pt idx="0">
                  <c:v>Office Supplies</c:v>
                </c:pt>
                <c:pt idx="1">
                  <c:v>Technology</c:v>
                </c:pt>
              </c:strCache>
            </c:strRef>
          </c:cat>
          <c:val>
            <c:numRef>
              <c:f>Sheet3!$O$5:$O$7</c:f>
              <c:numCache>
                <c:formatCode>0.00</c:formatCode>
                <c:ptCount val="2"/>
                <c:pt idx="0">
                  <c:v>25380</c:v>
                </c:pt>
                <c:pt idx="1">
                  <c:v>83073.060000000012</c:v>
                </c:pt>
              </c:numCache>
            </c:numRef>
          </c:val>
          <c:extLst>
            <c:ext xmlns:c16="http://schemas.microsoft.com/office/drawing/2014/chart" uri="{C3380CC4-5D6E-409C-BE32-E72D297353CC}">
              <c16:uniqueId val="{00000003-FAE6-4100-A4DD-0F6CD6811E5D}"/>
            </c:ext>
          </c:extLst>
        </c:ser>
        <c:dLbls>
          <c:showLegendKey val="0"/>
          <c:showVal val="0"/>
          <c:showCatName val="0"/>
          <c:showSerName val="0"/>
          <c:showPercent val="0"/>
          <c:showBubbleSize val="0"/>
        </c:dLbls>
        <c:gapWidth val="219"/>
        <c:overlap val="-27"/>
        <c:axId val="1213146656"/>
        <c:axId val="1181687536"/>
      </c:barChart>
      <c:catAx>
        <c:axId val="121314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687536"/>
        <c:crosses val="autoZero"/>
        <c:auto val="1"/>
        <c:lblAlgn val="ctr"/>
        <c:lblOffset val="100"/>
        <c:noMultiLvlLbl val="0"/>
      </c:catAx>
      <c:valAx>
        <c:axId val="118168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4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[16.2 F -Pivot Table -Pivot Chart _ Slicers DB.xlsx]Sheet3!PivotTable5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8726734500654"/>
          <c:y val="4.6468647940746545E-2"/>
          <c:w val="0.85095480711969829"/>
          <c:h val="0.8416746864975212"/>
        </c:manualLayout>
      </c:layout>
      <c:barChart>
        <c:barDir val="col"/>
        <c:grouping val="clustered"/>
        <c:varyColors val="0"/>
        <c:ser>
          <c:idx val="0"/>
          <c:order val="0"/>
          <c:tx>
            <c:strRef>
              <c:f>Sheet3!$M$20</c:f>
              <c:strCache>
                <c:ptCount val="1"/>
                <c:pt idx="0">
                  <c:v>Sum of Order Quantity</c:v>
                </c:pt>
              </c:strCache>
            </c:strRef>
          </c:tx>
          <c:spPr>
            <a:solidFill>
              <a:schemeClr val="accent1"/>
            </a:solidFill>
            <a:ln>
              <a:noFill/>
            </a:ln>
            <a:effectLst/>
          </c:spPr>
          <c:invertIfNegative val="0"/>
          <c:cat>
            <c:strRef>
              <c:f>Sheet3!$L$21:$L$22</c:f>
              <c:strCache>
                <c:ptCount val="1"/>
                <c:pt idx="0">
                  <c:v>West</c:v>
                </c:pt>
              </c:strCache>
            </c:strRef>
          </c:cat>
          <c:val>
            <c:numRef>
              <c:f>Sheet3!$M$21:$M$22</c:f>
              <c:numCache>
                <c:formatCode>General</c:formatCode>
                <c:ptCount val="1"/>
                <c:pt idx="0">
                  <c:v>9640</c:v>
                </c:pt>
              </c:numCache>
            </c:numRef>
          </c:val>
          <c:extLst>
            <c:ext xmlns:c16="http://schemas.microsoft.com/office/drawing/2014/chart" uri="{C3380CC4-5D6E-409C-BE32-E72D297353CC}">
              <c16:uniqueId val="{00000000-0FF7-499A-93EE-8DC5BCE1A170}"/>
            </c:ext>
          </c:extLst>
        </c:ser>
        <c:ser>
          <c:idx val="1"/>
          <c:order val="1"/>
          <c:tx>
            <c:strRef>
              <c:f>Sheet3!$N$20</c:f>
              <c:strCache>
                <c:ptCount val="1"/>
                <c:pt idx="0">
                  <c:v>Sum of Sales Amount</c:v>
                </c:pt>
              </c:strCache>
            </c:strRef>
          </c:tx>
          <c:spPr>
            <a:solidFill>
              <a:schemeClr val="accent2"/>
            </a:solidFill>
            <a:ln>
              <a:noFill/>
            </a:ln>
            <a:effectLst/>
          </c:spPr>
          <c:invertIfNegative val="0"/>
          <c:cat>
            <c:strRef>
              <c:f>Sheet3!$L$21:$L$22</c:f>
              <c:strCache>
                <c:ptCount val="1"/>
                <c:pt idx="0">
                  <c:v>West</c:v>
                </c:pt>
              </c:strCache>
            </c:strRef>
          </c:cat>
          <c:val>
            <c:numRef>
              <c:f>Sheet3!$N$21:$N$22</c:f>
              <c:numCache>
                <c:formatCode>General</c:formatCode>
                <c:ptCount val="1"/>
                <c:pt idx="0">
                  <c:v>433812.24000000011</c:v>
                </c:pt>
              </c:numCache>
            </c:numRef>
          </c:val>
          <c:extLst>
            <c:ext xmlns:c16="http://schemas.microsoft.com/office/drawing/2014/chart" uri="{C3380CC4-5D6E-409C-BE32-E72D297353CC}">
              <c16:uniqueId val="{00000002-0FF7-499A-93EE-8DC5BCE1A170}"/>
            </c:ext>
          </c:extLst>
        </c:ser>
        <c:ser>
          <c:idx val="2"/>
          <c:order val="2"/>
          <c:tx>
            <c:strRef>
              <c:f>Sheet3!$O$20</c:f>
              <c:strCache>
                <c:ptCount val="1"/>
                <c:pt idx="0">
                  <c:v>Sum of Profit</c:v>
                </c:pt>
              </c:strCache>
            </c:strRef>
          </c:tx>
          <c:spPr>
            <a:solidFill>
              <a:schemeClr val="accent3"/>
            </a:solidFill>
            <a:ln>
              <a:noFill/>
            </a:ln>
            <a:effectLst/>
          </c:spPr>
          <c:invertIfNegative val="0"/>
          <c:cat>
            <c:strRef>
              <c:f>Sheet3!$L$21:$L$22</c:f>
              <c:strCache>
                <c:ptCount val="1"/>
                <c:pt idx="0">
                  <c:v>West</c:v>
                </c:pt>
              </c:strCache>
            </c:strRef>
          </c:cat>
          <c:val>
            <c:numRef>
              <c:f>Sheet3!$O$21:$O$22</c:f>
              <c:numCache>
                <c:formatCode>0.00</c:formatCode>
                <c:ptCount val="1"/>
                <c:pt idx="0">
                  <c:v>108453.06000000003</c:v>
                </c:pt>
              </c:numCache>
            </c:numRef>
          </c:val>
          <c:extLst>
            <c:ext xmlns:c16="http://schemas.microsoft.com/office/drawing/2014/chart" uri="{C3380CC4-5D6E-409C-BE32-E72D297353CC}">
              <c16:uniqueId val="{00000003-0FF7-499A-93EE-8DC5BCE1A170}"/>
            </c:ext>
          </c:extLst>
        </c:ser>
        <c:dLbls>
          <c:showLegendKey val="0"/>
          <c:showVal val="0"/>
          <c:showCatName val="0"/>
          <c:showSerName val="0"/>
          <c:showPercent val="0"/>
          <c:showBubbleSize val="0"/>
        </c:dLbls>
        <c:gapWidth val="219"/>
        <c:overlap val="-27"/>
        <c:axId val="1224547744"/>
        <c:axId val="1181694736"/>
      </c:barChart>
      <c:catAx>
        <c:axId val="122454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694736"/>
        <c:crosses val="autoZero"/>
        <c:auto val="1"/>
        <c:lblAlgn val="ctr"/>
        <c:lblOffset val="100"/>
        <c:noMultiLvlLbl val="0"/>
      </c:catAx>
      <c:valAx>
        <c:axId val="118169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4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114300</xdr:rowOff>
    </xdr:from>
    <xdr:to>
      <xdr:col>8</xdr:col>
      <xdr:colOff>60960</xdr:colOff>
      <xdr:row>12</xdr:row>
      <xdr:rowOff>114300</xdr:rowOff>
    </xdr:to>
    <xdr:graphicFrame macro="">
      <xdr:nvGraphicFramePr>
        <xdr:cNvPr id="2" name="Chart 1">
          <a:extLst>
            <a:ext uri="{FF2B5EF4-FFF2-40B4-BE49-F238E27FC236}">
              <a16:creationId xmlns:a16="http://schemas.microsoft.com/office/drawing/2014/main" id="{2CE80DB9-3D02-1628-8484-A823A2ECD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14</xdr:row>
      <xdr:rowOff>91440</xdr:rowOff>
    </xdr:from>
    <xdr:to>
      <xdr:col>8</xdr:col>
      <xdr:colOff>137160</xdr:colOff>
      <xdr:row>24</xdr:row>
      <xdr:rowOff>53340</xdr:rowOff>
    </xdr:to>
    <xdr:graphicFrame macro="">
      <xdr:nvGraphicFramePr>
        <xdr:cNvPr id="3" name="Chart 2">
          <a:extLst>
            <a:ext uri="{FF2B5EF4-FFF2-40B4-BE49-F238E27FC236}">
              <a16:creationId xmlns:a16="http://schemas.microsoft.com/office/drawing/2014/main" id="{999D15D5-BF25-E7AE-80FF-A2F7EBD82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xdr:colOff>
      <xdr:row>6</xdr:row>
      <xdr:rowOff>15240</xdr:rowOff>
    </xdr:from>
    <xdr:to>
      <xdr:col>17</xdr:col>
      <xdr:colOff>121920</xdr:colOff>
      <xdr:row>15</xdr:row>
      <xdr:rowOff>64770</xdr:rowOff>
    </xdr:to>
    <xdr:graphicFrame macro="">
      <xdr:nvGraphicFramePr>
        <xdr:cNvPr id="4" name="Chart 3">
          <a:extLst>
            <a:ext uri="{FF2B5EF4-FFF2-40B4-BE49-F238E27FC236}">
              <a16:creationId xmlns:a16="http://schemas.microsoft.com/office/drawing/2014/main" id="{387C6AC3-8953-406F-7C82-8193B1389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xdr:colOff>
      <xdr:row>15</xdr:row>
      <xdr:rowOff>160020</xdr:rowOff>
    </xdr:from>
    <xdr:to>
      <xdr:col>17</xdr:col>
      <xdr:colOff>121920</xdr:colOff>
      <xdr:row>24</xdr:row>
      <xdr:rowOff>57150</xdr:rowOff>
    </xdr:to>
    <xdr:graphicFrame macro="">
      <xdr:nvGraphicFramePr>
        <xdr:cNvPr id="5" name="Chart 4">
          <a:extLst>
            <a:ext uri="{FF2B5EF4-FFF2-40B4-BE49-F238E27FC236}">
              <a16:creationId xmlns:a16="http://schemas.microsoft.com/office/drawing/2014/main" id="{E24A0769-43B1-9E22-0319-008BF2519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30480</xdr:colOff>
      <xdr:row>0</xdr:row>
      <xdr:rowOff>198121</xdr:rowOff>
    </xdr:from>
    <xdr:to>
      <xdr:col>8</xdr:col>
      <xdr:colOff>441960</xdr:colOff>
      <xdr:row>4</xdr:row>
      <xdr:rowOff>83820</xdr:rowOff>
    </xdr:to>
    <mc:AlternateContent xmlns:mc="http://schemas.openxmlformats.org/markup-compatibility/2006" xmlns:a14="http://schemas.microsoft.com/office/drawing/2010/main">
      <mc:Choice Requires="a14">
        <xdr:graphicFrame macro="">
          <xdr:nvGraphicFramePr>
            <xdr:cNvPr id="8" name="Zone">
              <a:extLst>
                <a:ext uri="{FF2B5EF4-FFF2-40B4-BE49-F238E27FC236}">
                  <a16:creationId xmlns:a16="http://schemas.microsoft.com/office/drawing/2014/main" id="{F6197DD2-7579-E3B0-38BE-9D75D664820C}"/>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3048000" y="198121"/>
              <a:ext cx="3459480"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30480</xdr:rowOff>
    </xdr:from>
    <xdr:to>
      <xdr:col>7</xdr:col>
      <xdr:colOff>434340</xdr:colOff>
      <xdr:row>13</xdr:row>
      <xdr:rowOff>38100</xdr:rowOff>
    </xdr:to>
    <xdr:graphicFrame macro="">
      <xdr:nvGraphicFramePr>
        <xdr:cNvPr id="2" name="Chart 1">
          <a:extLst>
            <a:ext uri="{FF2B5EF4-FFF2-40B4-BE49-F238E27FC236}">
              <a16:creationId xmlns:a16="http://schemas.microsoft.com/office/drawing/2014/main" id="{07D5A269-EF39-8BAB-1417-EECF5EC2B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13</xdr:row>
      <xdr:rowOff>118110</xdr:rowOff>
    </xdr:from>
    <xdr:to>
      <xdr:col>7</xdr:col>
      <xdr:colOff>434340</xdr:colOff>
      <xdr:row>22</xdr:row>
      <xdr:rowOff>137160</xdr:rowOff>
    </xdr:to>
    <xdr:graphicFrame macro="">
      <xdr:nvGraphicFramePr>
        <xdr:cNvPr id="3" name="Chart 2">
          <a:extLst>
            <a:ext uri="{FF2B5EF4-FFF2-40B4-BE49-F238E27FC236}">
              <a16:creationId xmlns:a16="http://schemas.microsoft.com/office/drawing/2014/main" id="{0124B8A7-DF7A-2FC1-30EE-704C60FBC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xdr:colOff>
      <xdr:row>3</xdr:row>
      <xdr:rowOff>167640</xdr:rowOff>
    </xdr:from>
    <xdr:to>
      <xdr:col>16</xdr:col>
      <xdr:colOff>441960</xdr:colOff>
      <xdr:row>13</xdr:row>
      <xdr:rowOff>60960</xdr:rowOff>
    </xdr:to>
    <xdr:graphicFrame macro="">
      <xdr:nvGraphicFramePr>
        <xdr:cNvPr id="4" name="Chart 3">
          <a:extLst>
            <a:ext uri="{FF2B5EF4-FFF2-40B4-BE49-F238E27FC236}">
              <a16:creationId xmlns:a16="http://schemas.microsoft.com/office/drawing/2014/main" id="{99A78676-6A6D-CE3D-34E5-5437479CE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13</xdr:row>
      <xdr:rowOff>144780</xdr:rowOff>
    </xdr:from>
    <xdr:to>
      <xdr:col>16</xdr:col>
      <xdr:colOff>411480</xdr:colOff>
      <xdr:row>22</xdr:row>
      <xdr:rowOff>99060</xdr:rowOff>
    </xdr:to>
    <xdr:graphicFrame macro="">
      <xdr:nvGraphicFramePr>
        <xdr:cNvPr id="5" name="Chart 4">
          <a:extLst>
            <a:ext uri="{FF2B5EF4-FFF2-40B4-BE49-F238E27FC236}">
              <a16:creationId xmlns:a16="http://schemas.microsoft.com/office/drawing/2014/main" id="{43E71549-2221-2D57-4AAB-8FF686E29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0</xdr:colOff>
      <xdr:row>1</xdr:row>
      <xdr:rowOff>15240</xdr:rowOff>
    </xdr:from>
    <xdr:to>
      <xdr:col>9</xdr:col>
      <xdr:colOff>45721</xdr:colOff>
      <xdr:row>3</xdr:row>
      <xdr:rowOff>45720</xdr:rowOff>
    </xdr:to>
    <mc:AlternateContent xmlns:mc="http://schemas.openxmlformats.org/markup-compatibility/2006" xmlns:a14="http://schemas.microsoft.com/office/drawing/2010/main">
      <mc:Choice Requires="a14">
        <xdr:graphicFrame macro="">
          <xdr:nvGraphicFramePr>
            <xdr:cNvPr id="6" name="Zone 1">
              <a:extLst>
                <a:ext uri="{FF2B5EF4-FFF2-40B4-BE49-F238E27FC236}">
                  <a16:creationId xmlns:a16="http://schemas.microsoft.com/office/drawing/2014/main" id="{D704E6DA-C65F-741B-75B1-A5BEF79455D8}"/>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mlns="">
        <xdr:sp macro="" textlink="">
          <xdr:nvSpPr>
            <xdr:cNvPr id="0" name=""/>
            <xdr:cNvSpPr>
              <a:spLocks noTextEdit="1"/>
            </xdr:cNvSpPr>
          </xdr:nvSpPr>
          <xdr:spPr>
            <a:xfrm>
              <a:off x="3063240" y="198120"/>
              <a:ext cx="3992881"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xdr:colOff>
      <xdr:row>2</xdr:row>
      <xdr:rowOff>205740</xdr:rowOff>
    </xdr:from>
    <xdr:to>
      <xdr:col>5</xdr:col>
      <xdr:colOff>457200</xdr:colOff>
      <xdr:row>9</xdr:row>
      <xdr:rowOff>167640</xdr:rowOff>
    </xdr:to>
    <xdr:graphicFrame macro="">
      <xdr:nvGraphicFramePr>
        <xdr:cNvPr id="2" name="Chart 1">
          <a:extLst>
            <a:ext uri="{FF2B5EF4-FFF2-40B4-BE49-F238E27FC236}">
              <a16:creationId xmlns:a16="http://schemas.microsoft.com/office/drawing/2014/main" id="{DDFADBE1-2B9E-5293-5056-C68CEF563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11</xdr:row>
      <xdr:rowOff>68580</xdr:rowOff>
    </xdr:from>
    <xdr:to>
      <xdr:col>5</xdr:col>
      <xdr:colOff>502920</xdr:colOff>
      <xdr:row>19</xdr:row>
      <xdr:rowOff>114300</xdr:rowOff>
    </xdr:to>
    <xdr:graphicFrame macro="">
      <xdr:nvGraphicFramePr>
        <xdr:cNvPr id="3" name="Chart 2">
          <a:extLst>
            <a:ext uri="{FF2B5EF4-FFF2-40B4-BE49-F238E27FC236}">
              <a16:creationId xmlns:a16="http://schemas.microsoft.com/office/drawing/2014/main" id="{42DD4391-B857-90DD-B282-0DB3213F7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2</xdr:row>
      <xdr:rowOff>205740</xdr:rowOff>
    </xdr:from>
    <xdr:to>
      <xdr:col>13</xdr:col>
      <xdr:colOff>327660</xdr:colOff>
      <xdr:row>11</xdr:row>
      <xdr:rowOff>30480</xdr:rowOff>
    </xdr:to>
    <xdr:graphicFrame macro="">
      <xdr:nvGraphicFramePr>
        <xdr:cNvPr id="4" name="Chart 3">
          <a:extLst>
            <a:ext uri="{FF2B5EF4-FFF2-40B4-BE49-F238E27FC236}">
              <a16:creationId xmlns:a16="http://schemas.microsoft.com/office/drawing/2014/main" id="{E28D9488-BE39-DB8C-F013-0313AF206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xdr:colOff>
      <xdr:row>11</xdr:row>
      <xdr:rowOff>167640</xdr:rowOff>
    </xdr:from>
    <xdr:to>
      <xdr:col>13</xdr:col>
      <xdr:colOff>289560</xdr:colOff>
      <xdr:row>19</xdr:row>
      <xdr:rowOff>167640</xdr:rowOff>
    </xdr:to>
    <xdr:graphicFrame macro="">
      <xdr:nvGraphicFramePr>
        <xdr:cNvPr id="5" name="Chart 4">
          <a:extLst>
            <a:ext uri="{FF2B5EF4-FFF2-40B4-BE49-F238E27FC236}">
              <a16:creationId xmlns:a16="http://schemas.microsoft.com/office/drawing/2014/main" id="{002C74E8-EE45-72B9-D4F5-4D0A7F6C0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228600</xdr:rowOff>
    </xdr:from>
    <xdr:to>
      <xdr:col>8</xdr:col>
      <xdr:colOff>266700</xdr:colOff>
      <xdr:row>13</xdr:row>
      <xdr:rowOff>53340</xdr:rowOff>
    </xdr:to>
    <xdr:graphicFrame macro="">
      <xdr:nvGraphicFramePr>
        <xdr:cNvPr id="2" name="Chart 1">
          <a:extLst>
            <a:ext uri="{FF2B5EF4-FFF2-40B4-BE49-F238E27FC236}">
              <a16:creationId xmlns:a16="http://schemas.microsoft.com/office/drawing/2014/main" id="{445481AC-1425-4E1F-DA10-3C0350255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13</xdr:row>
      <xdr:rowOff>60960</xdr:rowOff>
    </xdr:from>
    <xdr:to>
      <xdr:col>10</xdr:col>
      <xdr:colOff>388620</xdr:colOff>
      <xdr:row>25</xdr:row>
      <xdr:rowOff>137160</xdr:rowOff>
    </xdr:to>
    <xdr:graphicFrame macro="">
      <xdr:nvGraphicFramePr>
        <xdr:cNvPr id="4" name="Chart 3">
          <a:extLst>
            <a:ext uri="{FF2B5EF4-FFF2-40B4-BE49-F238E27FC236}">
              <a16:creationId xmlns:a16="http://schemas.microsoft.com/office/drawing/2014/main" id="{3FBE2D8A-34D6-8EB3-5BBE-1E351C6A8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xdr:colOff>
      <xdr:row>1</xdr:row>
      <xdr:rowOff>220980</xdr:rowOff>
    </xdr:from>
    <xdr:to>
      <xdr:col>21</xdr:col>
      <xdr:colOff>297180</xdr:colOff>
      <xdr:row>12</xdr:row>
      <xdr:rowOff>125730</xdr:rowOff>
    </xdr:to>
    <xdr:graphicFrame macro="">
      <xdr:nvGraphicFramePr>
        <xdr:cNvPr id="5" name="Chart 4">
          <a:extLst>
            <a:ext uri="{FF2B5EF4-FFF2-40B4-BE49-F238E27FC236}">
              <a16:creationId xmlns:a16="http://schemas.microsoft.com/office/drawing/2014/main" id="{0BCD1AC0-B99C-F651-80B1-3B299EA6F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30480</xdr:colOff>
      <xdr:row>17</xdr:row>
      <xdr:rowOff>76200</xdr:rowOff>
    </xdr:from>
    <xdr:to>
      <xdr:col>20</xdr:col>
      <xdr:colOff>320040</xdr:colOff>
      <xdr:row>27</xdr:row>
      <xdr:rowOff>87630</xdr:rowOff>
    </xdr:to>
    <xdr:graphicFrame macro="">
      <xdr:nvGraphicFramePr>
        <xdr:cNvPr id="6" name="Chart 5">
          <a:extLst>
            <a:ext uri="{FF2B5EF4-FFF2-40B4-BE49-F238E27FC236}">
              <a16:creationId xmlns:a16="http://schemas.microsoft.com/office/drawing/2014/main" id="{DB617A91-37CB-F767-DE17-9250096D2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7620</xdr:colOff>
      <xdr:row>0</xdr:row>
      <xdr:rowOff>111760</xdr:rowOff>
    </xdr:from>
    <xdr:to>
      <xdr:col>9</xdr:col>
      <xdr:colOff>186146</xdr:colOff>
      <xdr:row>2</xdr:row>
      <xdr:rowOff>226059</xdr:rowOff>
    </xdr:to>
    <mc:AlternateContent xmlns:mc="http://schemas.openxmlformats.org/markup-compatibility/2006">
      <mc:Choice xmlns:a14="http://schemas.microsoft.com/office/drawing/2010/main" Requires="a14">
        <xdr:graphicFrame macro="">
          <xdr:nvGraphicFramePr>
            <xdr:cNvPr id="7" name="Zone 2">
              <a:extLst>
                <a:ext uri="{FF2B5EF4-FFF2-40B4-BE49-F238E27FC236}">
                  <a16:creationId xmlns:a16="http://schemas.microsoft.com/office/drawing/2014/main" id="{060C85B0-D56F-C2C0-CCF7-2E427C7EC9F5}"/>
                </a:ext>
              </a:extLst>
            </xdr:cNvPr>
            <xdr:cNvGraphicFramePr/>
          </xdr:nvGraphicFramePr>
          <xdr:xfrm>
            <a:off x="0" y="0"/>
            <a:ext cx="0" cy="0"/>
          </xdr:xfrm>
          <a:graphic>
            <a:graphicData uri="http://schemas.microsoft.com/office/drawing/2010/slicer">
              <sle:slicer xmlns:sle="http://schemas.microsoft.com/office/drawing/2010/slicer" name="Zone 2"/>
            </a:graphicData>
          </a:graphic>
        </xdr:graphicFrame>
      </mc:Choice>
      <mc:Fallback>
        <xdr:sp macro="" textlink="">
          <xdr:nvSpPr>
            <xdr:cNvPr id="0" name=""/>
            <xdr:cNvSpPr>
              <a:spLocks noTextEdit="1"/>
            </xdr:cNvSpPr>
          </xdr:nvSpPr>
          <xdr:spPr>
            <a:xfrm>
              <a:off x="3766820" y="111760"/>
              <a:ext cx="4069806" cy="622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84.608147569445" createdVersion="8" refreshedVersion="8" minRefreshableVersion="3" recordCount="184" xr:uid="{392D48EC-428B-4BD7-AD9E-8435C6FD7E10}">
  <cacheSource type="worksheet">
    <worksheetSource ref="A5:K189" sheet="Pivot Table"/>
  </cacheSource>
  <cacheFields count="11">
    <cacheField name="Order ID" numFmtId="0">
      <sharedItems containsSemiMixedTypes="0" containsString="0" containsNumber="1" containsInteger="1" minValue="3" maxValue="70"/>
    </cacheField>
    <cacheField name="Order Date" numFmtId="14">
      <sharedItems containsSemiMixedTypes="0" containsNonDate="0" containsDate="1" containsString="0" minDate="2008-07-15T00:00:00" maxDate="2012-02-21T00:00:00"/>
    </cacheField>
    <cacheField name="Order Quantity" numFmtId="0">
      <sharedItems containsSemiMixedTypes="0" containsString="0" containsNumber="1" containsInteger="1" minValue="14" maxValue="800"/>
    </cacheField>
    <cacheField name="Sales Amount" numFmtId="0">
      <sharedItems containsSemiMixedTypes="0" containsString="0" containsNumber="1" minValue="118.08" maxValue="29945.54"/>
    </cacheField>
    <cacheField name="Ship Mode" numFmtId="0">
      <sharedItems/>
    </cacheField>
    <cacheField name="Profit" numFmtId="2">
      <sharedItems containsSemiMixedTypes="0" containsString="0" containsNumber="1" minValue="29.52" maxValue="7486.3850000000002"/>
    </cacheField>
    <cacheField name="Unit Price" numFmtId="0">
      <sharedItems containsSemiMixedTypes="0" containsString="0" containsNumber="1" minValue="2.88" maxValue="650.99"/>
    </cacheField>
    <cacheField name="Customer Name" numFmtId="0">
      <sharedItems/>
    </cacheField>
    <cacheField name="Customer Segment" numFmtId="0">
      <sharedItems count="4">
        <s v="Small Business"/>
        <s v="Corporate"/>
        <s v="Home Office"/>
        <s v="Consumer"/>
      </sharedItems>
    </cacheField>
    <cacheField name="Product Category" numFmtId="0">
      <sharedItems count="3">
        <s v="Office Supplies"/>
        <s v="Furniture"/>
        <s v="Technology"/>
      </sharedItems>
    </cacheField>
    <cacheField name="Zone" numFmtId="0">
      <sharedItems count="4">
        <s v="East"/>
        <s v="West"/>
        <s v="South"/>
        <s v="Central"/>
      </sharedItems>
    </cacheField>
  </cacheFields>
  <extLst>
    <ext xmlns:x14="http://schemas.microsoft.com/office/spreadsheetml/2009/9/main" uri="{725AE2AE-9491-48be-B2B4-4EB974FC3084}">
      <x14:pivotCacheDefinition pivotCacheId="1751191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n v="3"/>
    <d v="2010-10-13T00:00:00"/>
    <n v="25"/>
    <n v="973.5"/>
    <s v="Regular Air"/>
    <n v="243.375"/>
    <n v="38.94"/>
    <s v="Muhammed MacIntyre"/>
    <x v="0"/>
    <x v="0"/>
    <x v="0"/>
  </r>
  <r>
    <n v="6"/>
    <d v="2012-02-20T00:00:00"/>
    <n v="150"/>
    <n v="3761.9999999999995"/>
    <s v="Regular Air"/>
    <n v="940.49999999999989"/>
    <n v="25.08"/>
    <s v="Ruben Dartt"/>
    <x v="1"/>
    <x v="0"/>
    <x v="1"/>
  </r>
  <r>
    <n v="32"/>
    <d v="2011-07-15T00:00:00"/>
    <n v="200"/>
    <n v="21506"/>
    <s v="Regular Air"/>
    <n v="5376.5"/>
    <n v="107.53"/>
    <s v="Liz Pelletier"/>
    <x v="1"/>
    <x v="1"/>
    <x v="2"/>
  </r>
  <r>
    <n v="32"/>
    <d v="2011-07-15T00:00:00"/>
    <n v="350"/>
    <n v="24811.5"/>
    <s v="Delivery Truck"/>
    <n v="6202.875"/>
    <n v="70.89"/>
    <s v="Liz Pelletier"/>
    <x v="1"/>
    <x v="1"/>
    <x v="3"/>
  </r>
  <r>
    <n v="32"/>
    <d v="2011-07-15T00:00:00"/>
    <n v="500"/>
    <n v="3995"/>
    <s v="Regular Air"/>
    <n v="998.75"/>
    <n v="7.99"/>
    <s v="Liz Pelletier"/>
    <x v="1"/>
    <x v="2"/>
    <x v="0"/>
  </r>
  <r>
    <n v="32"/>
    <d v="2011-07-15T00:00:00"/>
    <n v="650"/>
    <n v="5499.0000000000009"/>
    <s v="Regular Air"/>
    <n v="1374.7500000000002"/>
    <n v="8.4600000000000009"/>
    <s v="Liz Pelletier"/>
    <x v="1"/>
    <x v="2"/>
    <x v="1"/>
  </r>
  <r>
    <n v="35"/>
    <d v="2011-10-22T00:00:00"/>
    <n v="800"/>
    <n v="7288"/>
    <s v="Regular Air"/>
    <n v="1822"/>
    <n v="9.11"/>
    <s v="Julie Creighton"/>
    <x v="1"/>
    <x v="0"/>
    <x v="2"/>
  </r>
  <r>
    <n v="35"/>
    <d v="2011-10-22T00:00:00"/>
    <n v="25"/>
    <n v="3899.75"/>
    <s v="Regular Air"/>
    <n v="974.9375"/>
    <n v="155.99"/>
    <s v="Julie Creighton"/>
    <x v="1"/>
    <x v="2"/>
    <x v="3"/>
  </r>
  <r>
    <n v="36"/>
    <d v="2011-11-02T00:00:00"/>
    <n v="46"/>
    <n v="29945.54"/>
    <s v="Regular Air"/>
    <n v="7486.3850000000002"/>
    <n v="650.99"/>
    <s v="Sample Company A"/>
    <x v="2"/>
    <x v="2"/>
    <x v="0"/>
  </r>
  <r>
    <n v="65"/>
    <d v="2011-03-17T00:00:00"/>
    <n v="175"/>
    <n v="20263.25"/>
    <s v="Regular Air"/>
    <n v="5065.8125"/>
    <n v="115.79"/>
    <s v="Tamara Dahlen"/>
    <x v="1"/>
    <x v="2"/>
    <x v="1"/>
  </r>
  <r>
    <n v="32"/>
    <d v="2008-07-15T00:00:00"/>
    <n v="260"/>
    <n v="27957.8"/>
    <s v="Regular Air"/>
    <n v="6989.45"/>
    <n v="107.53"/>
    <s v="Liz Pelletier"/>
    <x v="1"/>
    <x v="1"/>
    <x v="2"/>
  </r>
  <r>
    <n v="32"/>
    <d v="2008-07-15T00:00:00"/>
    <n v="24"/>
    <n v="1701.3600000000001"/>
    <s v="Delivery Truck"/>
    <n v="425.34000000000003"/>
    <n v="70.89"/>
    <s v="Liz Pelletier"/>
    <x v="1"/>
    <x v="1"/>
    <x v="3"/>
  </r>
  <r>
    <n v="32"/>
    <d v="2008-07-15T00:00:00"/>
    <n v="23"/>
    <n v="183.77"/>
    <s v="Regular Air"/>
    <n v="45.942500000000003"/>
    <n v="7.99"/>
    <s v="Liz Pelletier"/>
    <x v="1"/>
    <x v="2"/>
    <x v="0"/>
  </r>
  <r>
    <n v="32"/>
    <d v="2008-07-15T00:00:00"/>
    <n v="150"/>
    <n v="12068.999999999998"/>
    <s v="Regular Air"/>
    <n v="3017.2499999999995"/>
    <n v="80.459999999999994"/>
    <s v="Liz Pelletier"/>
    <x v="1"/>
    <x v="2"/>
    <x v="1"/>
  </r>
  <r>
    <n v="35"/>
    <d v="2008-10-22T00:00:00"/>
    <n v="30"/>
    <n v="273.29999999999995"/>
    <s v="Regular Air"/>
    <n v="68.324999999999989"/>
    <n v="9.11"/>
    <s v="Julie Creighton"/>
    <x v="1"/>
    <x v="0"/>
    <x v="2"/>
  </r>
  <r>
    <n v="35"/>
    <d v="2008-10-22T00:00:00"/>
    <n v="14"/>
    <n v="2183.86"/>
    <s v="Regular Air"/>
    <n v="545.96500000000003"/>
    <n v="155.99"/>
    <s v="Julie Creighton"/>
    <x v="1"/>
    <x v="2"/>
    <x v="3"/>
  </r>
  <r>
    <n v="36"/>
    <d v="2008-10-22T00:00:00"/>
    <n v="46"/>
    <n v="3035.54"/>
    <s v="Regular Air"/>
    <n v="758.88499999999999"/>
    <n v="65.989999999999995"/>
    <s v="Sample Company A"/>
    <x v="2"/>
    <x v="2"/>
    <x v="0"/>
  </r>
  <r>
    <n v="65"/>
    <d v="2008-10-22T00:00:00"/>
    <n v="32"/>
    <n v="3705.28"/>
    <s v="Regular Air"/>
    <n v="926.32"/>
    <n v="115.79"/>
    <s v="Tamara Dahlen"/>
    <x v="1"/>
    <x v="2"/>
    <x v="1"/>
  </r>
  <r>
    <n v="66"/>
    <d v="2009-01-19T00:00:00"/>
    <n v="41"/>
    <n v="118.08"/>
    <s v="Regular Air"/>
    <n v="29.52"/>
    <n v="2.88"/>
    <s v="Arthur Gainer"/>
    <x v="3"/>
    <x v="0"/>
    <x v="2"/>
  </r>
  <r>
    <n v="69"/>
    <d v="2009-06-03T00:00:00"/>
    <n v="42"/>
    <n v="1299.06"/>
    <s v="Regular Air"/>
    <n v="324.76499999999999"/>
    <n v="30.93"/>
    <s v="Jonathan Doherty"/>
    <x v="1"/>
    <x v="1"/>
    <x v="3"/>
  </r>
  <r>
    <n v="69"/>
    <d v="2009-06-03T00:00:00"/>
    <n v="28"/>
    <n v="4704"/>
    <s v="Express Air"/>
    <n v="1176"/>
    <n v="168"/>
    <s v="Jonathan Doherty"/>
    <x v="1"/>
    <x v="0"/>
    <x v="0"/>
  </r>
  <r>
    <n v="70"/>
    <d v="2010-12-17T00:00:00"/>
    <n v="48"/>
    <n v="8928"/>
    <s v="Regular Air"/>
    <n v="2232"/>
    <n v="186"/>
    <s v="Helen Wasserman"/>
    <x v="2"/>
    <x v="0"/>
    <x v="1"/>
  </r>
  <r>
    <n v="70"/>
    <d v="2010-12-17T00:00:00"/>
    <n v="46"/>
    <n v="9475.5400000000009"/>
    <s v="Regular Air"/>
    <n v="2368.8850000000002"/>
    <n v="205.99"/>
    <s v="Helen Wasserman"/>
    <x v="2"/>
    <x v="2"/>
    <x v="2"/>
  </r>
  <r>
    <n v="3"/>
    <d v="2010-10-13T00:00:00"/>
    <n v="25"/>
    <n v="973.5"/>
    <s v="Regular Air"/>
    <n v="243.375"/>
    <n v="38.94"/>
    <s v="Muhammed MacIntyre"/>
    <x v="0"/>
    <x v="0"/>
    <x v="0"/>
  </r>
  <r>
    <n v="6"/>
    <d v="2012-02-20T00:00:00"/>
    <n v="150"/>
    <n v="3761.9999999999995"/>
    <s v="Regular Air"/>
    <n v="940.49999999999989"/>
    <n v="25.08"/>
    <s v="Ruben Dartt"/>
    <x v="1"/>
    <x v="0"/>
    <x v="1"/>
  </r>
  <r>
    <n v="32"/>
    <d v="2011-07-15T00:00:00"/>
    <n v="200"/>
    <n v="21506"/>
    <s v="Regular Air"/>
    <n v="5376.5"/>
    <n v="107.53"/>
    <s v="Liz Pelletier"/>
    <x v="1"/>
    <x v="1"/>
    <x v="2"/>
  </r>
  <r>
    <n v="32"/>
    <d v="2011-07-15T00:00:00"/>
    <n v="350"/>
    <n v="24811.5"/>
    <s v="Delivery Truck"/>
    <n v="6202.875"/>
    <n v="70.89"/>
    <s v="Liz Pelletier"/>
    <x v="1"/>
    <x v="1"/>
    <x v="3"/>
  </r>
  <r>
    <n v="32"/>
    <d v="2011-07-15T00:00:00"/>
    <n v="500"/>
    <n v="3995"/>
    <s v="Regular Air"/>
    <n v="998.75"/>
    <n v="7.99"/>
    <s v="Liz Pelletier"/>
    <x v="1"/>
    <x v="2"/>
    <x v="0"/>
  </r>
  <r>
    <n v="32"/>
    <d v="2011-07-15T00:00:00"/>
    <n v="650"/>
    <n v="5499.0000000000009"/>
    <s v="Regular Air"/>
    <n v="1374.7500000000002"/>
    <n v="8.4600000000000009"/>
    <s v="Liz Pelletier"/>
    <x v="1"/>
    <x v="2"/>
    <x v="1"/>
  </r>
  <r>
    <n v="35"/>
    <d v="2011-10-22T00:00:00"/>
    <n v="800"/>
    <n v="7288"/>
    <s v="Regular Air"/>
    <n v="1822"/>
    <n v="9.11"/>
    <s v="Julie Creighton"/>
    <x v="1"/>
    <x v="0"/>
    <x v="2"/>
  </r>
  <r>
    <n v="35"/>
    <d v="2011-10-22T00:00:00"/>
    <n v="25"/>
    <n v="3899.75"/>
    <s v="Regular Air"/>
    <n v="974.9375"/>
    <n v="155.99"/>
    <s v="Julie Creighton"/>
    <x v="1"/>
    <x v="2"/>
    <x v="3"/>
  </r>
  <r>
    <n v="36"/>
    <d v="2011-11-02T00:00:00"/>
    <n v="46"/>
    <n v="29945.54"/>
    <s v="Regular Air"/>
    <n v="7486.3850000000002"/>
    <n v="650.99"/>
    <s v="Sample Company A"/>
    <x v="2"/>
    <x v="2"/>
    <x v="0"/>
  </r>
  <r>
    <n v="65"/>
    <d v="2011-03-17T00:00:00"/>
    <n v="175"/>
    <n v="20263.25"/>
    <s v="Regular Air"/>
    <n v="5065.8125"/>
    <n v="115.79"/>
    <s v="Tamara Dahlen"/>
    <x v="1"/>
    <x v="2"/>
    <x v="1"/>
  </r>
  <r>
    <n v="32"/>
    <d v="2008-07-15T00:00:00"/>
    <n v="260"/>
    <n v="27957.8"/>
    <s v="Regular Air"/>
    <n v="6989.45"/>
    <n v="107.53"/>
    <s v="Liz Pelletier"/>
    <x v="1"/>
    <x v="1"/>
    <x v="2"/>
  </r>
  <r>
    <n v="32"/>
    <d v="2008-07-15T00:00:00"/>
    <n v="24"/>
    <n v="1701.3600000000001"/>
    <s v="Delivery Truck"/>
    <n v="425.34000000000003"/>
    <n v="70.89"/>
    <s v="Liz Pelletier"/>
    <x v="1"/>
    <x v="1"/>
    <x v="3"/>
  </r>
  <r>
    <n v="32"/>
    <d v="2008-07-15T00:00:00"/>
    <n v="23"/>
    <n v="183.77"/>
    <s v="Regular Air"/>
    <n v="45.942500000000003"/>
    <n v="7.99"/>
    <s v="Liz Pelletier"/>
    <x v="1"/>
    <x v="2"/>
    <x v="0"/>
  </r>
  <r>
    <n v="32"/>
    <d v="2008-07-15T00:00:00"/>
    <n v="150"/>
    <n v="12068.999999999998"/>
    <s v="Regular Air"/>
    <n v="3017.2499999999995"/>
    <n v="80.459999999999994"/>
    <s v="Liz Pelletier"/>
    <x v="1"/>
    <x v="2"/>
    <x v="1"/>
  </r>
  <r>
    <n v="35"/>
    <d v="2008-10-22T00:00:00"/>
    <n v="30"/>
    <n v="273.29999999999995"/>
    <s v="Regular Air"/>
    <n v="68.324999999999989"/>
    <n v="9.11"/>
    <s v="Julie Creighton"/>
    <x v="1"/>
    <x v="0"/>
    <x v="2"/>
  </r>
  <r>
    <n v="35"/>
    <d v="2008-10-22T00:00:00"/>
    <n v="14"/>
    <n v="2183.86"/>
    <s v="Regular Air"/>
    <n v="545.96500000000003"/>
    <n v="155.99"/>
    <s v="Julie Creighton"/>
    <x v="1"/>
    <x v="2"/>
    <x v="3"/>
  </r>
  <r>
    <n v="36"/>
    <d v="2008-10-22T00:00:00"/>
    <n v="46"/>
    <n v="3035.54"/>
    <s v="Regular Air"/>
    <n v="758.88499999999999"/>
    <n v="65.989999999999995"/>
    <s v="Sample Company A"/>
    <x v="2"/>
    <x v="2"/>
    <x v="0"/>
  </r>
  <r>
    <n v="65"/>
    <d v="2008-10-22T00:00:00"/>
    <n v="32"/>
    <n v="3705.28"/>
    <s v="Regular Air"/>
    <n v="926.32"/>
    <n v="115.79"/>
    <s v="Tamara Dahlen"/>
    <x v="1"/>
    <x v="2"/>
    <x v="1"/>
  </r>
  <r>
    <n v="66"/>
    <d v="2009-01-19T00:00:00"/>
    <n v="41"/>
    <n v="118.08"/>
    <s v="Regular Air"/>
    <n v="29.52"/>
    <n v="2.88"/>
    <s v="Arthur Gainer"/>
    <x v="3"/>
    <x v="0"/>
    <x v="2"/>
  </r>
  <r>
    <n v="69"/>
    <d v="2009-06-03T00:00:00"/>
    <n v="42"/>
    <n v="1299.06"/>
    <s v="Regular Air"/>
    <n v="324.76499999999999"/>
    <n v="30.93"/>
    <s v="Jonathan Doherty"/>
    <x v="1"/>
    <x v="1"/>
    <x v="3"/>
  </r>
  <r>
    <n v="69"/>
    <d v="2009-06-03T00:00:00"/>
    <n v="28"/>
    <n v="4704"/>
    <s v="Express Air"/>
    <n v="1176"/>
    <n v="168"/>
    <s v="Jonathan Doherty"/>
    <x v="1"/>
    <x v="0"/>
    <x v="0"/>
  </r>
  <r>
    <n v="70"/>
    <d v="2010-12-17T00:00:00"/>
    <n v="48"/>
    <n v="8928"/>
    <s v="Regular Air"/>
    <n v="2232"/>
    <n v="186"/>
    <s v="Helen Wasserman"/>
    <x v="2"/>
    <x v="0"/>
    <x v="1"/>
  </r>
  <r>
    <n v="70"/>
    <d v="2010-12-17T00:00:00"/>
    <n v="46"/>
    <n v="9475.5400000000009"/>
    <s v="Regular Air"/>
    <n v="2368.8850000000002"/>
    <n v="205.99"/>
    <s v="Helen Wasserman"/>
    <x v="2"/>
    <x v="2"/>
    <x v="2"/>
  </r>
  <r>
    <n v="3"/>
    <d v="2010-10-13T00:00:00"/>
    <n v="25"/>
    <n v="973.5"/>
    <s v="Regular Air"/>
    <n v="243.375"/>
    <n v="38.94"/>
    <s v="Muhammed MacIntyre"/>
    <x v="0"/>
    <x v="0"/>
    <x v="0"/>
  </r>
  <r>
    <n v="6"/>
    <d v="2012-02-20T00:00:00"/>
    <n v="150"/>
    <n v="3761.9999999999995"/>
    <s v="Regular Air"/>
    <n v="940.49999999999989"/>
    <n v="25.08"/>
    <s v="Ruben Dartt"/>
    <x v="1"/>
    <x v="0"/>
    <x v="1"/>
  </r>
  <r>
    <n v="32"/>
    <d v="2011-07-15T00:00:00"/>
    <n v="200"/>
    <n v="21506"/>
    <s v="Regular Air"/>
    <n v="5376.5"/>
    <n v="107.53"/>
    <s v="Liz Pelletier"/>
    <x v="1"/>
    <x v="1"/>
    <x v="2"/>
  </r>
  <r>
    <n v="32"/>
    <d v="2011-07-15T00:00:00"/>
    <n v="350"/>
    <n v="24811.5"/>
    <s v="Delivery Truck"/>
    <n v="6202.875"/>
    <n v="70.89"/>
    <s v="Liz Pelletier"/>
    <x v="1"/>
    <x v="1"/>
    <x v="3"/>
  </r>
  <r>
    <n v="32"/>
    <d v="2011-07-15T00:00:00"/>
    <n v="500"/>
    <n v="3995"/>
    <s v="Regular Air"/>
    <n v="998.75"/>
    <n v="7.99"/>
    <s v="Liz Pelletier"/>
    <x v="1"/>
    <x v="2"/>
    <x v="0"/>
  </r>
  <r>
    <n v="32"/>
    <d v="2011-07-15T00:00:00"/>
    <n v="650"/>
    <n v="5499.0000000000009"/>
    <s v="Regular Air"/>
    <n v="1374.7500000000002"/>
    <n v="8.4600000000000009"/>
    <s v="Liz Pelletier"/>
    <x v="1"/>
    <x v="2"/>
    <x v="1"/>
  </r>
  <r>
    <n v="35"/>
    <d v="2011-10-22T00:00:00"/>
    <n v="800"/>
    <n v="7288"/>
    <s v="Regular Air"/>
    <n v="1822"/>
    <n v="9.11"/>
    <s v="Julie Creighton"/>
    <x v="1"/>
    <x v="0"/>
    <x v="2"/>
  </r>
  <r>
    <n v="35"/>
    <d v="2011-10-22T00:00:00"/>
    <n v="25"/>
    <n v="3899.75"/>
    <s v="Regular Air"/>
    <n v="974.9375"/>
    <n v="155.99"/>
    <s v="Julie Creighton"/>
    <x v="1"/>
    <x v="2"/>
    <x v="3"/>
  </r>
  <r>
    <n v="36"/>
    <d v="2011-11-02T00:00:00"/>
    <n v="46"/>
    <n v="29945.54"/>
    <s v="Regular Air"/>
    <n v="7486.3850000000002"/>
    <n v="650.99"/>
    <s v="Sample Company A"/>
    <x v="2"/>
    <x v="2"/>
    <x v="0"/>
  </r>
  <r>
    <n v="65"/>
    <d v="2011-03-17T00:00:00"/>
    <n v="175"/>
    <n v="20263.25"/>
    <s v="Regular Air"/>
    <n v="5065.8125"/>
    <n v="115.79"/>
    <s v="Tamara Dahlen"/>
    <x v="1"/>
    <x v="2"/>
    <x v="1"/>
  </r>
  <r>
    <n v="32"/>
    <d v="2008-07-15T00:00:00"/>
    <n v="260"/>
    <n v="27957.8"/>
    <s v="Regular Air"/>
    <n v="6989.45"/>
    <n v="107.53"/>
    <s v="Liz Pelletier"/>
    <x v="1"/>
    <x v="1"/>
    <x v="2"/>
  </r>
  <r>
    <n v="32"/>
    <d v="2008-07-15T00:00:00"/>
    <n v="24"/>
    <n v="1701.3600000000001"/>
    <s v="Delivery Truck"/>
    <n v="425.34000000000003"/>
    <n v="70.89"/>
    <s v="Liz Pelletier"/>
    <x v="1"/>
    <x v="1"/>
    <x v="3"/>
  </r>
  <r>
    <n v="32"/>
    <d v="2008-07-15T00:00:00"/>
    <n v="23"/>
    <n v="183.77"/>
    <s v="Regular Air"/>
    <n v="45.942500000000003"/>
    <n v="7.99"/>
    <s v="Liz Pelletier"/>
    <x v="1"/>
    <x v="2"/>
    <x v="0"/>
  </r>
  <r>
    <n v="32"/>
    <d v="2008-07-15T00:00:00"/>
    <n v="150"/>
    <n v="12068.999999999998"/>
    <s v="Regular Air"/>
    <n v="3017.2499999999995"/>
    <n v="80.459999999999994"/>
    <s v="Liz Pelletier"/>
    <x v="1"/>
    <x v="2"/>
    <x v="1"/>
  </r>
  <r>
    <n v="35"/>
    <d v="2008-10-22T00:00:00"/>
    <n v="30"/>
    <n v="273.29999999999995"/>
    <s v="Regular Air"/>
    <n v="68.324999999999989"/>
    <n v="9.11"/>
    <s v="Julie Creighton"/>
    <x v="1"/>
    <x v="0"/>
    <x v="2"/>
  </r>
  <r>
    <n v="35"/>
    <d v="2008-10-22T00:00:00"/>
    <n v="14"/>
    <n v="2183.86"/>
    <s v="Regular Air"/>
    <n v="545.96500000000003"/>
    <n v="155.99"/>
    <s v="Julie Creighton"/>
    <x v="1"/>
    <x v="2"/>
    <x v="3"/>
  </r>
  <r>
    <n v="36"/>
    <d v="2008-10-22T00:00:00"/>
    <n v="46"/>
    <n v="3035.54"/>
    <s v="Regular Air"/>
    <n v="758.88499999999999"/>
    <n v="65.989999999999995"/>
    <s v="Sample Company A"/>
    <x v="2"/>
    <x v="2"/>
    <x v="0"/>
  </r>
  <r>
    <n v="65"/>
    <d v="2008-10-22T00:00:00"/>
    <n v="32"/>
    <n v="3705.28"/>
    <s v="Regular Air"/>
    <n v="926.32"/>
    <n v="115.79"/>
    <s v="Tamara Dahlen"/>
    <x v="1"/>
    <x v="2"/>
    <x v="1"/>
  </r>
  <r>
    <n v="66"/>
    <d v="2009-01-19T00:00:00"/>
    <n v="41"/>
    <n v="118.08"/>
    <s v="Regular Air"/>
    <n v="29.52"/>
    <n v="2.88"/>
    <s v="Arthur Gainer"/>
    <x v="3"/>
    <x v="0"/>
    <x v="2"/>
  </r>
  <r>
    <n v="69"/>
    <d v="2009-06-03T00:00:00"/>
    <n v="42"/>
    <n v="1299.06"/>
    <s v="Regular Air"/>
    <n v="324.76499999999999"/>
    <n v="30.93"/>
    <s v="Jonathan Doherty"/>
    <x v="1"/>
    <x v="1"/>
    <x v="3"/>
  </r>
  <r>
    <n v="69"/>
    <d v="2009-06-03T00:00:00"/>
    <n v="28"/>
    <n v="4704"/>
    <s v="Express Air"/>
    <n v="1176"/>
    <n v="168"/>
    <s v="Jonathan Doherty"/>
    <x v="1"/>
    <x v="0"/>
    <x v="0"/>
  </r>
  <r>
    <n v="70"/>
    <d v="2010-12-17T00:00:00"/>
    <n v="48"/>
    <n v="8928"/>
    <s v="Regular Air"/>
    <n v="2232"/>
    <n v="186"/>
    <s v="Helen Wasserman"/>
    <x v="2"/>
    <x v="0"/>
    <x v="1"/>
  </r>
  <r>
    <n v="70"/>
    <d v="2010-12-17T00:00:00"/>
    <n v="46"/>
    <n v="9475.5400000000009"/>
    <s v="Regular Air"/>
    <n v="2368.8850000000002"/>
    <n v="205.99"/>
    <s v="Helen Wasserman"/>
    <x v="2"/>
    <x v="2"/>
    <x v="2"/>
  </r>
  <r>
    <n v="3"/>
    <d v="2010-10-13T00:00:00"/>
    <n v="25"/>
    <n v="973.5"/>
    <s v="Regular Air"/>
    <n v="243.375"/>
    <n v="38.94"/>
    <s v="Muhammed MacIntyre"/>
    <x v="0"/>
    <x v="0"/>
    <x v="0"/>
  </r>
  <r>
    <n v="6"/>
    <d v="2012-02-20T00:00:00"/>
    <n v="150"/>
    <n v="3761.9999999999995"/>
    <s v="Regular Air"/>
    <n v="940.49999999999989"/>
    <n v="25.08"/>
    <s v="Ruben Dartt"/>
    <x v="1"/>
    <x v="0"/>
    <x v="1"/>
  </r>
  <r>
    <n v="32"/>
    <d v="2011-07-15T00:00:00"/>
    <n v="200"/>
    <n v="21506"/>
    <s v="Regular Air"/>
    <n v="5376.5"/>
    <n v="107.53"/>
    <s v="Liz Pelletier"/>
    <x v="1"/>
    <x v="1"/>
    <x v="2"/>
  </r>
  <r>
    <n v="32"/>
    <d v="2011-07-15T00:00:00"/>
    <n v="350"/>
    <n v="24811.5"/>
    <s v="Delivery Truck"/>
    <n v="6202.875"/>
    <n v="70.89"/>
    <s v="Liz Pelletier"/>
    <x v="1"/>
    <x v="1"/>
    <x v="3"/>
  </r>
  <r>
    <n v="32"/>
    <d v="2011-07-15T00:00:00"/>
    <n v="500"/>
    <n v="3995"/>
    <s v="Regular Air"/>
    <n v="998.75"/>
    <n v="7.99"/>
    <s v="Liz Pelletier"/>
    <x v="1"/>
    <x v="2"/>
    <x v="0"/>
  </r>
  <r>
    <n v="32"/>
    <d v="2011-07-15T00:00:00"/>
    <n v="650"/>
    <n v="5499.0000000000009"/>
    <s v="Regular Air"/>
    <n v="1374.7500000000002"/>
    <n v="8.4600000000000009"/>
    <s v="Liz Pelletier"/>
    <x v="1"/>
    <x v="2"/>
    <x v="1"/>
  </r>
  <r>
    <n v="35"/>
    <d v="2011-10-22T00:00:00"/>
    <n v="800"/>
    <n v="7288"/>
    <s v="Regular Air"/>
    <n v="1822"/>
    <n v="9.11"/>
    <s v="Julie Creighton"/>
    <x v="1"/>
    <x v="0"/>
    <x v="2"/>
  </r>
  <r>
    <n v="35"/>
    <d v="2011-10-22T00:00:00"/>
    <n v="25"/>
    <n v="3899.75"/>
    <s v="Regular Air"/>
    <n v="974.9375"/>
    <n v="155.99"/>
    <s v="Julie Creighton"/>
    <x v="1"/>
    <x v="2"/>
    <x v="3"/>
  </r>
  <r>
    <n v="36"/>
    <d v="2011-11-02T00:00:00"/>
    <n v="46"/>
    <n v="29945.54"/>
    <s v="Regular Air"/>
    <n v="7486.3850000000002"/>
    <n v="650.99"/>
    <s v="Sample Company A"/>
    <x v="2"/>
    <x v="2"/>
    <x v="0"/>
  </r>
  <r>
    <n v="65"/>
    <d v="2011-03-17T00:00:00"/>
    <n v="175"/>
    <n v="20263.25"/>
    <s v="Regular Air"/>
    <n v="5065.8125"/>
    <n v="115.79"/>
    <s v="Tamara Dahlen"/>
    <x v="1"/>
    <x v="2"/>
    <x v="1"/>
  </r>
  <r>
    <n v="32"/>
    <d v="2008-07-15T00:00:00"/>
    <n v="260"/>
    <n v="27957.8"/>
    <s v="Regular Air"/>
    <n v="6989.45"/>
    <n v="107.53"/>
    <s v="Liz Pelletier"/>
    <x v="1"/>
    <x v="1"/>
    <x v="2"/>
  </r>
  <r>
    <n v="32"/>
    <d v="2008-07-15T00:00:00"/>
    <n v="24"/>
    <n v="1701.3600000000001"/>
    <s v="Delivery Truck"/>
    <n v="425.34000000000003"/>
    <n v="70.89"/>
    <s v="Liz Pelletier"/>
    <x v="1"/>
    <x v="1"/>
    <x v="3"/>
  </r>
  <r>
    <n v="32"/>
    <d v="2008-07-15T00:00:00"/>
    <n v="23"/>
    <n v="183.77"/>
    <s v="Regular Air"/>
    <n v="45.942500000000003"/>
    <n v="7.99"/>
    <s v="Liz Pelletier"/>
    <x v="1"/>
    <x v="2"/>
    <x v="0"/>
  </r>
  <r>
    <n v="32"/>
    <d v="2008-07-15T00:00:00"/>
    <n v="150"/>
    <n v="12068.999999999998"/>
    <s v="Regular Air"/>
    <n v="3017.2499999999995"/>
    <n v="80.459999999999994"/>
    <s v="Liz Pelletier"/>
    <x v="1"/>
    <x v="2"/>
    <x v="1"/>
  </r>
  <r>
    <n v="35"/>
    <d v="2008-10-22T00:00:00"/>
    <n v="30"/>
    <n v="273.29999999999995"/>
    <s v="Regular Air"/>
    <n v="68.324999999999989"/>
    <n v="9.11"/>
    <s v="Julie Creighton"/>
    <x v="1"/>
    <x v="0"/>
    <x v="2"/>
  </r>
  <r>
    <n v="35"/>
    <d v="2008-10-22T00:00:00"/>
    <n v="14"/>
    <n v="2183.86"/>
    <s v="Regular Air"/>
    <n v="545.96500000000003"/>
    <n v="155.99"/>
    <s v="Julie Creighton"/>
    <x v="1"/>
    <x v="2"/>
    <x v="3"/>
  </r>
  <r>
    <n v="36"/>
    <d v="2008-10-22T00:00:00"/>
    <n v="46"/>
    <n v="3035.54"/>
    <s v="Regular Air"/>
    <n v="758.88499999999999"/>
    <n v="65.989999999999995"/>
    <s v="Sample Company A"/>
    <x v="2"/>
    <x v="2"/>
    <x v="0"/>
  </r>
  <r>
    <n v="65"/>
    <d v="2008-10-22T00:00:00"/>
    <n v="32"/>
    <n v="3705.28"/>
    <s v="Regular Air"/>
    <n v="926.32"/>
    <n v="115.79"/>
    <s v="Tamara Dahlen"/>
    <x v="1"/>
    <x v="2"/>
    <x v="1"/>
  </r>
  <r>
    <n v="66"/>
    <d v="2009-01-19T00:00:00"/>
    <n v="41"/>
    <n v="118.08"/>
    <s v="Regular Air"/>
    <n v="29.52"/>
    <n v="2.88"/>
    <s v="Arthur Gainer"/>
    <x v="3"/>
    <x v="0"/>
    <x v="2"/>
  </r>
  <r>
    <n v="69"/>
    <d v="2009-06-03T00:00:00"/>
    <n v="42"/>
    <n v="1299.06"/>
    <s v="Regular Air"/>
    <n v="324.76499999999999"/>
    <n v="30.93"/>
    <s v="Jonathan Doherty"/>
    <x v="1"/>
    <x v="1"/>
    <x v="3"/>
  </r>
  <r>
    <n v="69"/>
    <d v="2009-06-03T00:00:00"/>
    <n v="28"/>
    <n v="4704"/>
    <s v="Express Air"/>
    <n v="1176"/>
    <n v="168"/>
    <s v="Jonathan Doherty"/>
    <x v="1"/>
    <x v="0"/>
    <x v="0"/>
  </r>
  <r>
    <n v="70"/>
    <d v="2010-12-17T00:00:00"/>
    <n v="48"/>
    <n v="8928"/>
    <s v="Regular Air"/>
    <n v="2232"/>
    <n v="186"/>
    <s v="Helen Wasserman"/>
    <x v="2"/>
    <x v="0"/>
    <x v="1"/>
  </r>
  <r>
    <n v="70"/>
    <d v="2010-12-17T00:00:00"/>
    <n v="46"/>
    <n v="9475.5400000000009"/>
    <s v="Regular Air"/>
    <n v="2368.8850000000002"/>
    <n v="205.99"/>
    <s v="Helen Wasserman"/>
    <x v="2"/>
    <x v="2"/>
    <x v="2"/>
  </r>
  <r>
    <n v="3"/>
    <d v="2010-10-13T00:00:00"/>
    <n v="25"/>
    <n v="973.5"/>
    <s v="Regular Air"/>
    <n v="243.375"/>
    <n v="38.94"/>
    <s v="Muhammed MacIntyre"/>
    <x v="0"/>
    <x v="0"/>
    <x v="0"/>
  </r>
  <r>
    <n v="6"/>
    <d v="2012-02-20T00:00:00"/>
    <n v="150"/>
    <n v="3761.9999999999995"/>
    <s v="Regular Air"/>
    <n v="940.49999999999989"/>
    <n v="25.08"/>
    <s v="Ruben Dartt"/>
    <x v="1"/>
    <x v="0"/>
    <x v="1"/>
  </r>
  <r>
    <n v="32"/>
    <d v="2011-07-15T00:00:00"/>
    <n v="200"/>
    <n v="21506"/>
    <s v="Regular Air"/>
    <n v="5376.5"/>
    <n v="107.53"/>
    <s v="Liz Pelletier"/>
    <x v="1"/>
    <x v="1"/>
    <x v="2"/>
  </r>
  <r>
    <n v="32"/>
    <d v="2011-07-15T00:00:00"/>
    <n v="350"/>
    <n v="24811.5"/>
    <s v="Delivery Truck"/>
    <n v="6202.875"/>
    <n v="70.89"/>
    <s v="Liz Pelletier"/>
    <x v="1"/>
    <x v="1"/>
    <x v="3"/>
  </r>
  <r>
    <n v="32"/>
    <d v="2011-07-15T00:00:00"/>
    <n v="500"/>
    <n v="3995"/>
    <s v="Regular Air"/>
    <n v="998.75"/>
    <n v="7.99"/>
    <s v="Liz Pelletier"/>
    <x v="1"/>
    <x v="2"/>
    <x v="0"/>
  </r>
  <r>
    <n v="32"/>
    <d v="2011-07-15T00:00:00"/>
    <n v="650"/>
    <n v="5499.0000000000009"/>
    <s v="Regular Air"/>
    <n v="1374.7500000000002"/>
    <n v="8.4600000000000009"/>
    <s v="Liz Pelletier"/>
    <x v="1"/>
    <x v="2"/>
    <x v="1"/>
  </r>
  <r>
    <n v="35"/>
    <d v="2011-10-22T00:00:00"/>
    <n v="800"/>
    <n v="7288"/>
    <s v="Regular Air"/>
    <n v="1822"/>
    <n v="9.11"/>
    <s v="Julie Creighton"/>
    <x v="1"/>
    <x v="0"/>
    <x v="2"/>
  </r>
  <r>
    <n v="35"/>
    <d v="2011-10-22T00:00:00"/>
    <n v="25"/>
    <n v="3899.75"/>
    <s v="Regular Air"/>
    <n v="974.9375"/>
    <n v="155.99"/>
    <s v="Julie Creighton"/>
    <x v="1"/>
    <x v="2"/>
    <x v="3"/>
  </r>
  <r>
    <n v="36"/>
    <d v="2011-11-02T00:00:00"/>
    <n v="46"/>
    <n v="29945.54"/>
    <s v="Regular Air"/>
    <n v="7486.3850000000002"/>
    <n v="650.99"/>
    <s v="Sample Company A"/>
    <x v="2"/>
    <x v="2"/>
    <x v="0"/>
  </r>
  <r>
    <n v="65"/>
    <d v="2011-03-17T00:00:00"/>
    <n v="175"/>
    <n v="20263.25"/>
    <s v="Regular Air"/>
    <n v="5065.8125"/>
    <n v="115.79"/>
    <s v="Tamara Dahlen"/>
    <x v="1"/>
    <x v="2"/>
    <x v="1"/>
  </r>
  <r>
    <n v="32"/>
    <d v="2008-07-15T00:00:00"/>
    <n v="260"/>
    <n v="27957.8"/>
    <s v="Regular Air"/>
    <n v="6989.45"/>
    <n v="107.53"/>
    <s v="Liz Pelletier"/>
    <x v="1"/>
    <x v="1"/>
    <x v="2"/>
  </r>
  <r>
    <n v="32"/>
    <d v="2008-07-15T00:00:00"/>
    <n v="24"/>
    <n v="1701.3600000000001"/>
    <s v="Delivery Truck"/>
    <n v="425.34000000000003"/>
    <n v="70.89"/>
    <s v="Liz Pelletier"/>
    <x v="1"/>
    <x v="1"/>
    <x v="3"/>
  </r>
  <r>
    <n v="32"/>
    <d v="2008-07-15T00:00:00"/>
    <n v="23"/>
    <n v="183.77"/>
    <s v="Regular Air"/>
    <n v="45.942500000000003"/>
    <n v="7.99"/>
    <s v="Liz Pelletier"/>
    <x v="1"/>
    <x v="2"/>
    <x v="0"/>
  </r>
  <r>
    <n v="32"/>
    <d v="2008-07-15T00:00:00"/>
    <n v="150"/>
    <n v="12068.999999999998"/>
    <s v="Regular Air"/>
    <n v="3017.2499999999995"/>
    <n v="80.459999999999994"/>
    <s v="Liz Pelletier"/>
    <x v="1"/>
    <x v="2"/>
    <x v="1"/>
  </r>
  <r>
    <n v="35"/>
    <d v="2008-10-22T00:00:00"/>
    <n v="30"/>
    <n v="273.29999999999995"/>
    <s v="Regular Air"/>
    <n v="68.324999999999989"/>
    <n v="9.11"/>
    <s v="Julie Creighton"/>
    <x v="1"/>
    <x v="0"/>
    <x v="2"/>
  </r>
  <r>
    <n v="35"/>
    <d v="2008-10-22T00:00:00"/>
    <n v="14"/>
    <n v="2183.86"/>
    <s v="Regular Air"/>
    <n v="545.96500000000003"/>
    <n v="155.99"/>
    <s v="Julie Creighton"/>
    <x v="1"/>
    <x v="2"/>
    <x v="3"/>
  </r>
  <r>
    <n v="36"/>
    <d v="2008-10-22T00:00:00"/>
    <n v="46"/>
    <n v="3035.54"/>
    <s v="Regular Air"/>
    <n v="758.88499999999999"/>
    <n v="65.989999999999995"/>
    <s v="Sample Company A"/>
    <x v="2"/>
    <x v="2"/>
    <x v="0"/>
  </r>
  <r>
    <n v="65"/>
    <d v="2008-10-22T00:00:00"/>
    <n v="32"/>
    <n v="3705.28"/>
    <s v="Regular Air"/>
    <n v="926.32"/>
    <n v="115.79"/>
    <s v="Tamara Dahlen"/>
    <x v="1"/>
    <x v="2"/>
    <x v="1"/>
  </r>
  <r>
    <n v="66"/>
    <d v="2009-01-19T00:00:00"/>
    <n v="41"/>
    <n v="118.08"/>
    <s v="Regular Air"/>
    <n v="29.52"/>
    <n v="2.88"/>
    <s v="Arthur Gainer"/>
    <x v="3"/>
    <x v="0"/>
    <x v="2"/>
  </r>
  <r>
    <n v="69"/>
    <d v="2009-06-03T00:00:00"/>
    <n v="42"/>
    <n v="1299.06"/>
    <s v="Regular Air"/>
    <n v="324.76499999999999"/>
    <n v="30.93"/>
    <s v="Jonathan Doherty"/>
    <x v="1"/>
    <x v="1"/>
    <x v="3"/>
  </r>
  <r>
    <n v="69"/>
    <d v="2009-06-03T00:00:00"/>
    <n v="28"/>
    <n v="4704"/>
    <s v="Express Air"/>
    <n v="1176"/>
    <n v="168"/>
    <s v="Jonathan Doherty"/>
    <x v="1"/>
    <x v="0"/>
    <x v="0"/>
  </r>
  <r>
    <n v="70"/>
    <d v="2010-12-17T00:00:00"/>
    <n v="48"/>
    <n v="8928"/>
    <s v="Regular Air"/>
    <n v="2232"/>
    <n v="186"/>
    <s v="Helen Wasserman"/>
    <x v="2"/>
    <x v="0"/>
    <x v="1"/>
  </r>
  <r>
    <n v="70"/>
    <d v="2010-12-17T00:00:00"/>
    <n v="46"/>
    <n v="9475.5400000000009"/>
    <s v="Regular Air"/>
    <n v="2368.8850000000002"/>
    <n v="205.99"/>
    <s v="Helen Wasserman"/>
    <x v="2"/>
    <x v="2"/>
    <x v="2"/>
  </r>
  <r>
    <n v="3"/>
    <d v="2010-10-13T00:00:00"/>
    <n v="25"/>
    <n v="973.5"/>
    <s v="Regular Air"/>
    <n v="243.375"/>
    <n v="38.94"/>
    <s v="Muhammed MacIntyre"/>
    <x v="0"/>
    <x v="0"/>
    <x v="0"/>
  </r>
  <r>
    <n v="6"/>
    <d v="2012-02-20T00:00:00"/>
    <n v="150"/>
    <n v="3761.9999999999995"/>
    <s v="Regular Air"/>
    <n v="940.49999999999989"/>
    <n v="25.08"/>
    <s v="Ruben Dartt"/>
    <x v="1"/>
    <x v="0"/>
    <x v="1"/>
  </r>
  <r>
    <n v="32"/>
    <d v="2011-07-15T00:00:00"/>
    <n v="200"/>
    <n v="21506"/>
    <s v="Regular Air"/>
    <n v="5376.5"/>
    <n v="107.53"/>
    <s v="Liz Pelletier"/>
    <x v="1"/>
    <x v="1"/>
    <x v="2"/>
  </r>
  <r>
    <n v="32"/>
    <d v="2011-07-15T00:00:00"/>
    <n v="350"/>
    <n v="24811.5"/>
    <s v="Delivery Truck"/>
    <n v="6202.875"/>
    <n v="70.89"/>
    <s v="Liz Pelletier"/>
    <x v="1"/>
    <x v="1"/>
    <x v="3"/>
  </r>
  <r>
    <n v="32"/>
    <d v="2011-07-15T00:00:00"/>
    <n v="500"/>
    <n v="3995"/>
    <s v="Regular Air"/>
    <n v="998.75"/>
    <n v="7.99"/>
    <s v="Liz Pelletier"/>
    <x v="1"/>
    <x v="2"/>
    <x v="0"/>
  </r>
  <r>
    <n v="32"/>
    <d v="2011-07-15T00:00:00"/>
    <n v="650"/>
    <n v="5499.0000000000009"/>
    <s v="Regular Air"/>
    <n v="1374.7500000000002"/>
    <n v="8.4600000000000009"/>
    <s v="Liz Pelletier"/>
    <x v="1"/>
    <x v="2"/>
    <x v="1"/>
  </r>
  <r>
    <n v="35"/>
    <d v="2011-10-22T00:00:00"/>
    <n v="800"/>
    <n v="7288"/>
    <s v="Regular Air"/>
    <n v="1822"/>
    <n v="9.11"/>
    <s v="Julie Creighton"/>
    <x v="1"/>
    <x v="0"/>
    <x v="2"/>
  </r>
  <r>
    <n v="35"/>
    <d v="2011-10-22T00:00:00"/>
    <n v="25"/>
    <n v="3899.75"/>
    <s v="Regular Air"/>
    <n v="974.9375"/>
    <n v="155.99"/>
    <s v="Julie Creighton"/>
    <x v="1"/>
    <x v="2"/>
    <x v="3"/>
  </r>
  <r>
    <n v="36"/>
    <d v="2011-11-02T00:00:00"/>
    <n v="46"/>
    <n v="29945.54"/>
    <s v="Regular Air"/>
    <n v="7486.3850000000002"/>
    <n v="650.99"/>
    <s v="Sample Company A"/>
    <x v="2"/>
    <x v="2"/>
    <x v="0"/>
  </r>
  <r>
    <n v="65"/>
    <d v="2011-03-17T00:00:00"/>
    <n v="175"/>
    <n v="20263.25"/>
    <s v="Regular Air"/>
    <n v="5065.8125"/>
    <n v="115.79"/>
    <s v="Tamara Dahlen"/>
    <x v="1"/>
    <x v="2"/>
    <x v="1"/>
  </r>
  <r>
    <n v="32"/>
    <d v="2008-07-15T00:00:00"/>
    <n v="260"/>
    <n v="27957.8"/>
    <s v="Regular Air"/>
    <n v="6989.45"/>
    <n v="107.53"/>
    <s v="Liz Pelletier"/>
    <x v="1"/>
    <x v="1"/>
    <x v="2"/>
  </r>
  <r>
    <n v="32"/>
    <d v="2008-07-15T00:00:00"/>
    <n v="24"/>
    <n v="1701.3600000000001"/>
    <s v="Delivery Truck"/>
    <n v="425.34000000000003"/>
    <n v="70.89"/>
    <s v="Liz Pelletier"/>
    <x v="1"/>
    <x v="1"/>
    <x v="3"/>
  </r>
  <r>
    <n v="32"/>
    <d v="2008-07-15T00:00:00"/>
    <n v="23"/>
    <n v="183.77"/>
    <s v="Regular Air"/>
    <n v="45.942500000000003"/>
    <n v="7.99"/>
    <s v="Liz Pelletier"/>
    <x v="1"/>
    <x v="2"/>
    <x v="0"/>
  </r>
  <r>
    <n v="32"/>
    <d v="2008-07-15T00:00:00"/>
    <n v="150"/>
    <n v="12068.999999999998"/>
    <s v="Regular Air"/>
    <n v="3017.2499999999995"/>
    <n v="80.459999999999994"/>
    <s v="Liz Pelletier"/>
    <x v="1"/>
    <x v="2"/>
    <x v="1"/>
  </r>
  <r>
    <n v="35"/>
    <d v="2008-10-22T00:00:00"/>
    <n v="30"/>
    <n v="273.29999999999995"/>
    <s v="Regular Air"/>
    <n v="68.324999999999989"/>
    <n v="9.11"/>
    <s v="Julie Creighton"/>
    <x v="1"/>
    <x v="0"/>
    <x v="2"/>
  </r>
  <r>
    <n v="35"/>
    <d v="2008-10-22T00:00:00"/>
    <n v="14"/>
    <n v="2183.86"/>
    <s v="Regular Air"/>
    <n v="545.96500000000003"/>
    <n v="155.99"/>
    <s v="Julie Creighton"/>
    <x v="1"/>
    <x v="2"/>
    <x v="3"/>
  </r>
  <r>
    <n v="36"/>
    <d v="2008-10-22T00:00:00"/>
    <n v="46"/>
    <n v="3035.54"/>
    <s v="Regular Air"/>
    <n v="758.88499999999999"/>
    <n v="65.989999999999995"/>
    <s v="Sample Company A"/>
    <x v="2"/>
    <x v="2"/>
    <x v="0"/>
  </r>
  <r>
    <n v="65"/>
    <d v="2008-10-22T00:00:00"/>
    <n v="32"/>
    <n v="3705.28"/>
    <s v="Regular Air"/>
    <n v="926.32"/>
    <n v="115.79"/>
    <s v="Tamara Dahlen"/>
    <x v="1"/>
    <x v="2"/>
    <x v="1"/>
  </r>
  <r>
    <n v="66"/>
    <d v="2009-01-19T00:00:00"/>
    <n v="41"/>
    <n v="118.08"/>
    <s v="Regular Air"/>
    <n v="29.52"/>
    <n v="2.88"/>
    <s v="Arthur Gainer"/>
    <x v="3"/>
    <x v="0"/>
    <x v="2"/>
  </r>
  <r>
    <n v="69"/>
    <d v="2009-06-03T00:00:00"/>
    <n v="42"/>
    <n v="1299.06"/>
    <s v="Regular Air"/>
    <n v="324.76499999999999"/>
    <n v="30.93"/>
    <s v="Jonathan Doherty"/>
    <x v="1"/>
    <x v="1"/>
    <x v="3"/>
  </r>
  <r>
    <n v="69"/>
    <d v="2009-06-03T00:00:00"/>
    <n v="28"/>
    <n v="4704"/>
    <s v="Express Air"/>
    <n v="1176"/>
    <n v="168"/>
    <s v="Jonathan Doherty"/>
    <x v="1"/>
    <x v="0"/>
    <x v="0"/>
  </r>
  <r>
    <n v="70"/>
    <d v="2010-12-17T00:00:00"/>
    <n v="48"/>
    <n v="8928"/>
    <s v="Regular Air"/>
    <n v="2232"/>
    <n v="186"/>
    <s v="Helen Wasserman"/>
    <x v="2"/>
    <x v="0"/>
    <x v="1"/>
  </r>
  <r>
    <n v="70"/>
    <d v="2010-12-17T00:00:00"/>
    <n v="46"/>
    <n v="9475.5400000000009"/>
    <s v="Regular Air"/>
    <n v="2368.8850000000002"/>
    <n v="205.99"/>
    <s v="Helen Wasserman"/>
    <x v="2"/>
    <x v="2"/>
    <x v="2"/>
  </r>
  <r>
    <n v="3"/>
    <d v="2010-10-13T00:00:00"/>
    <n v="25"/>
    <n v="973.5"/>
    <s v="Regular Air"/>
    <n v="243.375"/>
    <n v="38.94"/>
    <s v="Muhammed MacIntyre"/>
    <x v="0"/>
    <x v="0"/>
    <x v="0"/>
  </r>
  <r>
    <n v="6"/>
    <d v="2012-02-20T00:00:00"/>
    <n v="150"/>
    <n v="3761.9999999999995"/>
    <s v="Regular Air"/>
    <n v="940.49999999999989"/>
    <n v="25.08"/>
    <s v="Ruben Dartt"/>
    <x v="1"/>
    <x v="0"/>
    <x v="1"/>
  </r>
  <r>
    <n v="32"/>
    <d v="2011-07-15T00:00:00"/>
    <n v="200"/>
    <n v="21506"/>
    <s v="Regular Air"/>
    <n v="5376.5"/>
    <n v="107.53"/>
    <s v="Liz Pelletier"/>
    <x v="1"/>
    <x v="1"/>
    <x v="2"/>
  </r>
  <r>
    <n v="32"/>
    <d v="2011-07-15T00:00:00"/>
    <n v="350"/>
    <n v="24811.5"/>
    <s v="Delivery Truck"/>
    <n v="6202.875"/>
    <n v="70.89"/>
    <s v="Liz Pelletier"/>
    <x v="1"/>
    <x v="1"/>
    <x v="3"/>
  </r>
  <r>
    <n v="32"/>
    <d v="2011-07-15T00:00:00"/>
    <n v="500"/>
    <n v="3995"/>
    <s v="Regular Air"/>
    <n v="998.75"/>
    <n v="7.99"/>
    <s v="Liz Pelletier"/>
    <x v="1"/>
    <x v="2"/>
    <x v="0"/>
  </r>
  <r>
    <n v="32"/>
    <d v="2011-07-15T00:00:00"/>
    <n v="650"/>
    <n v="5499.0000000000009"/>
    <s v="Regular Air"/>
    <n v="1374.7500000000002"/>
    <n v="8.4600000000000009"/>
    <s v="Liz Pelletier"/>
    <x v="1"/>
    <x v="2"/>
    <x v="1"/>
  </r>
  <r>
    <n v="35"/>
    <d v="2011-10-22T00:00:00"/>
    <n v="800"/>
    <n v="7288"/>
    <s v="Regular Air"/>
    <n v="1822"/>
    <n v="9.11"/>
    <s v="Julie Creighton"/>
    <x v="1"/>
    <x v="0"/>
    <x v="2"/>
  </r>
  <r>
    <n v="35"/>
    <d v="2011-10-22T00:00:00"/>
    <n v="25"/>
    <n v="3899.75"/>
    <s v="Regular Air"/>
    <n v="974.9375"/>
    <n v="155.99"/>
    <s v="Julie Creighton"/>
    <x v="1"/>
    <x v="2"/>
    <x v="3"/>
  </r>
  <r>
    <n v="36"/>
    <d v="2011-11-02T00:00:00"/>
    <n v="46"/>
    <n v="29945.54"/>
    <s v="Regular Air"/>
    <n v="7486.3850000000002"/>
    <n v="650.99"/>
    <s v="Sample Company A"/>
    <x v="2"/>
    <x v="2"/>
    <x v="0"/>
  </r>
  <r>
    <n v="65"/>
    <d v="2011-03-17T00:00:00"/>
    <n v="175"/>
    <n v="20263.25"/>
    <s v="Regular Air"/>
    <n v="5065.8125"/>
    <n v="115.79"/>
    <s v="Tamara Dahlen"/>
    <x v="1"/>
    <x v="2"/>
    <x v="1"/>
  </r>
  <r>
    <n v="32"/>
    <d v="2008-07-15T00:00:00"/>
    <n v="260"/>
    <n v="27957.8"/>
    <s v="Regular Air"/>
    <n v="6989.45"/>
    <n v="107.53"/>
    <s v="Liz Pelletier"/>
    <x v="1"/>
    <x v="1"/>
    <x v="2"/>
  </r>
  <r>
    <n v="32"/>
    <d v="2008-07-15T00:00:00"/>
    <n v="24"/>
    <n v="1701.3600000000001"/>
    <s v="Delivery Truck"/>
    <n v="425.34000000000003"/>
    <n v="70.89"/>
    <s v="Liz Pelletier"/>
    <x v="1"/>
    <x v="1"/>
    <x v="3"/>
  </r>
  <r>
    <n v="32"/>
    <d v="2008-07-15T00:00:00"/>
    <n v="23"/>
    <n v="183.77"/>
    <s v="Regular Air"/>
    <n v="45.942500000000003"/>
    <n v="7.99"/>
    <s v="Liz Pelletier"/>
    <x v="1"/>
    <x v="2"/>
    <x v="0"/>
  </r>
  <r>
    <n v="32"/>
    <d v="2008-07-15T00:00:00"/>
    <n v="150"/>
    <n v="12068.999999999998"/>
    <s v="Regular Air"/>
    <n v="3017.2499999999995"/>
    <n v="80.459999999999994"/>
    <s v="Liz Pelletier"/>
    <x v="1"/>
    <x v="2"/>
    <x v="1"/>
  </r>
  <r>
    <n v="35"/>
    <d v="2008-10-22T00:00:00"/>
    <n v="30"/>
    <n v="273.29999999999995"/>
    <s v="Regular Air"/>
    <n v="68.324999999999989"/>
    <n v="9.11"/>
    <s v="Julie Creighton"/>
    <x v="1"/>
    <x v="0"/>
    <x v="2"/>
  </r>
  <r>
    <n v="35"/>
    <d v="2008-10-22T00:00:00"/>
    <n v="14"/>
    <n v="2183.86"/>
    <s v="Regular Air"/>
    <n v="545.96500000000003"/>
    <n v="155.99"/>
    <s v="Julie Creighton"/>
    <x v="1"/>
    <x v="2"/>
    <x v="3"/>
  </r>
  <r>
    <n v="36"/>
    <d v="2008-10-22T00:00:00"/>
    <n v="46"/>
    <n v="3035.54"/>
    <s v="Regular Air"/>
    <n v="758.88499999999999"/>
    <n v="65.989999999999995"/>
    <s v="Sample Company A"/>
    <x v="2"/>
    <x v="2"/>
    <x v="0"/>
  </r>
  <r>
    <n v="65"/>
    <d v="2008-10-22T00:00:00"/>
    <n v="32"/>
    <n v="3705.28"/>
    <s v="Regular Air"/>
    <n v="926.32"/>
    <n v="115.79"/>
    <s v="Tamara Dahlen"/>
    <x v="1"/>
    <x v="2"/>
    <x v="1"/>
  </r>
  <r>
    <n v="66"/>
    <d v="2009-01-19T00:00:00"/>
    <n v="41"/>
    <n v="118.08"/>
    <s v="Regular Air"/>
    <n v="29.52"/>
    <n v="2.88"/>
    <s v="Arthur Gainer"/>
    <x v="3"/>
    <x v="0"/>
    <x v="2"/>
  </r>
  <r>
    <n v="69"/>
    <d v="2009-06-03T00:00:00"/>
    <n v="42"/>
    <n v="1299.06"/>
    <s v="Regular Air"/>
    <n v="324.76499999999999"/>
    <n v="30.93"/>
    <s v="Jonathan Doherty"/>
    <x v="1"/>
    <x v="1"/>
    <x v="3"/>
  </r>
  <r>
    <n v="69"/>
    <d v="2009-06-03T00:00:00"/>
    <n v="28"/>
    <n v="4704"/>
    <s v="Express Air"/>
    <n v="1176"/>
    <n v="168"/>
    <s v="Jonathan Doherty"/>
    <x v="1"/>
    <x v="0"/>
    <x v="0"/>
  </r>
  <r>
    <n v="70"/>
    <d v="2010-12-17T00:00:00"/>
    <n v="48"/>
    <n v="8928"/>
    <s v="Regular Air"/>
    <n v="2232"/>
    <n v="186"/>
    <s v="Helen Wasserman"/>
    <x v="2"/>
    <x v="0"/>
    <x v="1"/>
  </r>
  <r>
    <n v="70"/>
    <d v="2010-12-17T00:00:00"/>
    <n v="46"/>
    <n v="9475.5400000000009"/>
    <s v="Regular Air"/>
    <n v="2368.8850000000002"/>
    <n v="205.99"/>
    <s v="Helen Wasserman"/>
    <x v="2"/>
    <x v="2"/>
    <x v="2"/>
  </r>
  <r>
    <n v="3"/>
    <d v="2010-10-13T00:00:00"/>
    <n v="25"/>
    <n v="973.5"/>
    <s v="Regular Air"/>
    <n v="243.375"/>
    <n v="38.94"/>
    <s v="Muhammed MacIntyre"/>
    <x v="0"/>
    <x v="0"/>
    <x v="0"/>
  </r>
  <r>
    <n v="6"/>
    <d v="2012-02-20T00:00:00"/>
    <n v="150"/>
    <n v="3761.9999999999995"/>
    <s v="Regular Air"/>
    <n v="940.49999999999989"/>
    <n v="25.08"/>
    <s v="Ruben Dartt"/>
    <x v="1"/>
    <x v="0"/>
    <x v="1"/>
  </r>
  <r>
    <n v="32"/>
    <d v="2011-07-15T00:00:00"/>
    <n v="200"/>
    <n v="21506"/>
    <s v="Regular Air"/>
    <n v="5376.5"/>
    <n v="107.53"/>
    <s v="Liz Pelletier"/>
    <x v="1"/>
    <x v="1"/>
    <x v="2"/>
  </r>
  <r>
    <n v="32"/>
    <d v="2011-07-15T00:00:00"/>
    <n v="350"/>
    <n v="24811.5"/>
    <s v="Delivery Truck"/>
    <n v="6202.875"/>
    <n v="70.89"/>
    <s v="Liz Pelletier"/>
    <x v="1"/>
    <x v="1"/>
    <x v="3"/>
  </r>
  <r>
    <n v="32"/>
    <d v="2011-07-15T00:00:00"/>
    <n v="500"/>
    <n v="3995"/>
    <s v="Regular Air"/>
    <n v="998.75"/>
    <n v="7.99"/>
    <s v="Liz Pelletier"/>
    <x v="1"/>
    <x v="2"/>
    <x v="0"/>
  </r>
  <r>
    <n v="32"/>
    <d v="2011-07-15T00:00:00"/>
    <n v="650"/>
    <n v="5499.0000000000009"/>
    <s v="Regular Air"/>
    <n v="1374.7500000000002"/>
    <n v="8.4600000000000009"/>
    <s v="Liz Pelletier"/>
    <x v="1"/>
    <x v="2"/>
    <x v="1"/>
  </r>
  <r>
    <n v="35"/>
    <d v="2011-10-22T00:00:00"/>
    <n v="800"/>
    <n v="7288"/>
    <s v="Regular Air"/>
    <n v="1822"/>
    <n v="9.11"/>
    <s v="Julie Creighton"/>
    <x v="1"/>
    <x v="0"/>
    <x v="2"/>
  </r>
  <r>
    <n v="35"/>
    <d v="2011-10-22T00:00:00"/>
    <n v="25"/>
    <n v="3899.75"/>
    <s v="Regular Air"/>
    <n v="974.9375"/>
    <n v="155.99"/>
    <s v="Julie Creighton"/>
    <x v="1"/>
    <x v="2"/>
    <x v="3"/>
  </r>
  <r>
    <n v="36"/>
    <d v="2011-11-02T00:00:00"/>
    <n v="46"/>
    <n v="29945.54"/>
    <s v="Regular Air"/>
    <n v="7486.3850000000002"/>
    <n v="650.99"/>
    <s v="Sample Company A"/>
    <x v="2"/>
    <x v="2"/>
    <x v="0"/>
  </r>
  <r>
    <n v="65"/>
    <d v="2011-03-17T00:00:00"/>
    <n v="175"/>
    <n v="20263.25"/>
    <s v="Regular Air"/>
    <n v="5065.8125"/>
    <n v="115.79"/>
    <s v="Tamara Dahlen"/>
    <x v="1"/>
    <x v="2"/>
    <x v="1"/>
  </r>
  <r>
    <n v="32"/>
    <d v="2008-07-15T00:00:00"/>
    <n v="260"/>
    <n v="27957.8"/>
    <s v="Regular Air"/>
    <n v="6989.45"/>
    <n v="107.53"/>
    <s v="Liz Pelletier"/>
    <x v="1"/>
    <x v="1"/>
    <x v="2"/>
  </r>
  <r>
    <n v="32"/>
    <d v="2008-07-15T00:00:00"/>
    <n v="24"/>
    <n v="1701.3600000000001"/>
    <s v="Delivery Truck"/>
    <n v="425.34000000000003"/>
    <n v="70.89"/>
    <s v="Liz Pelletier"/>
    <x v="1"/>
    <x v="1"/>
    <x v="3"/>
  </r>
  <r>
    <n v="32"/>
    <d v="2008-07-15T00:00:00"/>
    <n v="23"/>
    <n v="183.77"/>
    <s v="Regular Air"/>
    <n v="45.942500000000003"/>
    <n v="7.99"/>
    <s v="Liz Pelletier"/>
    <x v="1"/>
    <x v="2"/>
    <x v="0"/>
  </r>
  <r>
    <n v="32"/>
    <d v="2008-07-15T00:00:00"/>
    <n v="150"/>
    <n v="12068.999999999998"/>
    <s v="Regular Air"/>
    <n v="3017.2499999999995"/>
    <n v="80.459999999999994"/>
    <s v="Liz Pelletier"/>
    <x v="1"/>
    <x v="2"/>
    <x v="1"/>
  </r>
  <r>
    <n v="35"/>
    <d v="2008-10-22T00:00:00"/>
    <n v="30"/>
    <n v="273.29999999999995"/>
    <s v="Regular Air"/>
    <n v="68.324999999999989"/>
    <n v="9.11"/>
    <s v="Julie Creighton"/>
    <x v="1"/>
    <x v="0"/>
    <x v="2"/>
  </r>
  <r>
    <n v="35"/>
    <d v="2008-10-22T00:00:00"/>
    <n v="14"/>
    <n v="2183.86"/>
    <s v="Regular Air"/>
    <n v="545.96500000000003"/>
    <n v="155.99"/>
    <s v="Julie Creighton"/>
    <x v="1"/>
    <x v="2"/>
    <x v="3"/>
  </r>
  <r>
    <n v="36"/>
    <d v="2008-10-22T00:00:00"/>
    <n v="46"/>
    <n v="3035.54"/>
    <s v="Regular Air"/>
    <n v="758.88499999999999"/>
    <n v="65.989999999999995"/>
    <s v="Sample Company A"/>
    <x v="2"/>
    <x v="2"/>
    <x v="0"/>
  </r>
  <r>
    <n v="65"/>
    <d v="2008-10-22T00:00:00"/>
    <n v="32"/>
    <n v="3705.28"/>
    <s v="Regular Air"/>
    <n v="926.32"/>
    <n v="115.79"/>
    <s v="Tamara Dahlen"/>
    <x v="1"/>
    <x v="2"/>
    <x v="1"/>
  </r>
  <r>
    <n v="66"/>
    <d v="2009-01-19T00:00:00"/>
    <n v="41"/>
    <n v="118.08"/>
    <s v="Regular Air"/>
    <n v="29.52"/>
    <n v="2.88"/>
    <s v="Arthur Gainer"/>
    <x v="3"/>
    <x v="0"/>
    <x v="2"/>
  </r>
  <r>
    <n v="69"/>
    <d v="2009-06-03T00:00:00"/>
    <n v="42"/>
    <n v="1299.06"/>
    <s v="Regular Air"/>
    <n v="324.76499999999999"/>
    <n v="30.93"/>
    <s v="Jonathan Doherty"/>
    <x v="1"/>
    <x v="1"/>
    <x v="3"/>
  </r>
  <r>
    <n v="69"/>
    <d v="2009-06-03T00:00:00"/>
    <n v="28"/>
    <n v="4704"/>
    <s v="Express Air"/>
    <n v="1176"/>
    <n v="168"/>
    <s v="Jonathan Doherty"/>
    <x v="1"/>
    <x v="0"/>
    <x v="0"/>
  </r>
  <r>
    <n v="70"/>
    <d v="2010-12-17T00:00:00"/>
    <n v="48"/>
    <n v="8928"/>
    <s v="Regular Air"/>
    <n v="2232"/>
    <n v="186"/>
    <s v="Helen Wasserman"/>
    <x v="2"/>
    <x v="0"/>
    <x v="1"/>
  </r>
  <r>
    <n v="70"/>
    <d v="2010-12-17T00:00:00"/>
    <n v="46"/>
    <n v="9475.5400000000009"/>
    <s v="Regular Air"/>
    <n v="2368.8850000000002"/>
    <n v="205.99"/>
    <s v="Helen Wasserman"/>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60AAD5-5EC8-4A42-94DC-8A489249D0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C11" firstHeaderRow="0" firstDataRow="1" firstDataCol="0"/>
  <pivotFields count="11">
    <pivotField showAll="0"/>
    <pivotField numFmtId="14" showAll="0"/>
    <pivotField dataField="1" showAll="0"/>
    <pivotField dataField="1" showAll="0"/>
    <pivotField showAll="0"/>
    <pivotField dataField="1" numFmtId="2" showAll="0"/>
    <pivotField showAll="0"/>
    <pivotField showAll="0"/>
    <pivotField showAll="0"/>
    <pivotField showAll="0"/>
    <pivotField showAll="0">
      <items count="5">
        <item h="1" x="3"/>
        <item h="1" x="0"/>
        <item h="1" x="2"/>
        <item x="1"/>
        <item t="default"/>
      </items>
    </pivotField>
  </pivotFields>
  <rowItems count="1">
    <i/>
  </rowItems>
  <colFields count="1">
    <field x="-2"/>
  </colFields>
  <colItems count="3">
    <i>
      <x/>
    </i>
    <i i="1">
      <x v="1"/>
    </i>
    <i i="2">
      <x v="2"/>
    </i>
  </colItems>
  <dataFields count="3">
    <dataField name="Sum of Order Quantity" fld="2" baseField="0" baseItem="0"/>
    <dataField name="Sum of Sales Amount" fld="3" baseField="0" baseItem="0"/>
    <dataField name="Sum of Profit" fld="5" baseField="0" baseItem="0" numFmtId="2"/>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367EB5-AD30-404A-AD53-1AA9BF3291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8:L20" firstHeaderRow="0" firstDataRow="1" firstDataCol="1"/>
  <pivotFields count="11">
    <pivotField showAll="0"/>
    <pivotField numFmtId="14" showAll="0"/>
    <pivotField showAll="0"/>
    <pivotField dataField="1" showAll="0"/>
    <pivotField showAll="0"/>
    <pivotField dataField="1" numFmtId="2" showAll="0"/>
    <pivotField showAll="0"/>
    <pivotField showAll="0"/>
    <pivotField showAll="0"/>
    <pivotField showAll="0"/>
    <pivotField axis="axisRow" showAll="0">
      <items count="5">
        <item h="1" x="3"/>
        <item h="1" x="0"/>
        <item h="1" x="2"/>
        <item x="1"/>
        <item t="default"/>
      </items>
    </pivotField>
  </pivotFields>
  <rowFields count="1">
    <field x="10"/>
  </rowFields>
  <rowItems count="2">
    <i>
      <x v="3"/>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F095EA-5A5F-4573-9B0A-2336410DB5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0:L13" firstHeaderRow="0" firstDataRow="1" firstDataCol="1"/>
  <pivotFields count="11">
    <pivotField showAll="0"/>
    <pivotField numFmtId="14" showAll="0"/>
    <pivotField showAll="0"/>
    <pivotField dataField="1" showAll="0"/>
    <pivotField showAll="0"/>
    <pivotField dataField="1" numFmtId="2" showAll="0"/>
    <pivotField showAll="0"/>
    <pivotField showAll="0"/>
    <pivotField showAll="0">
      <items count="5">
        <item x="3"/>
        <item x="1"/>
        <item x="2"/>
        <item x="0"/>
        <item t="default"/>
      </items>
    </pivotField>
    <pivotField axis="axisRow" showAll="0">
      <items count="4">
        <item x="1"/>
        <item x="0"/>
        <item x="2"/>
        <item t="default"/>
      </items>
    </pivotField>
    <pivotField showAll="0">
      <items count="5">
        <item h="1" x="3"/>
        <item h="1" x="0"/>
        <item h="1" x="2"/>
        <item x="1"/>
        <item t="default"/>
      </items>
    </pivotField>
  </pivotFields>
  <rowFields count="1">
    <field x="9"/>
  </rowFields>
  <rowItems count="3">
    <i>
      <x v="1"/>
    </i>
    <i>
      <x v="2"/>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EFE44D-460D-472F-AEBA-D28B5D1CC1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C21" firstHeaderRow="0" firstDataRow="1" firstDataCol="1"/>
  <pivotFields count="11">
    <pivotField showAll="0"/>
    <pivotField numFmtId="14" showAll="0"/>
    <pivotField showAll="0"/>
    <pivotField dataField="1" showAll="0"/>
    <pivotField showAll="0"/>
    <pivotField dataField="1" numFmtId="2" showAll="0"/>
    <pivotField showAll="0"/>
    <pivotField showAll="0"/>
    <pivotField axis="axisRow" showAll="0">
      <items count="5">
        <item x="3"/>
        <item x="1"/>
        <item x="2"/>
        <item x="0"/>
        <item t="default"/>
      </items>
    </pivotField>
    <pivotField showAll="0"/>
    <pivotField showAll="0">
      <items count="5">
        <item h="1" x="3"/>
        <item h="1" x="0"/>
        <item h="1" x="2"/>
        <item x="1"/>
        <item t="default"/>
      </items>
    </pivotField>
  </pivotFields>
  <rowFields count="1">
    <field x="8"/>
  </rowFields>
  <rowItems count="3">
    <i>
      <x v="1"/>
    </i>
    <i>
      <x v="2"/>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924592-E1D0-4630-BBF5-FF66682D7198}"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B10" firstHeaderRow="1" firstDataRow="1" firstDataCol="1"/>
  <pivotFields count="11">
    <pivotField showAll="0"/>
    <pivotField numFmtId="14" showAll="0"/>
    <pivotField dataField="1" showAll="0"/>
    <pivotField dataField="1" showAll="0"/>
    <pivotField showAll="0"/>
    <pivotField dataField="1" numFmtId="2" showAll="0"/>
    <pivotField showAll="0"/>
    <pivotField showAll="0"/>
    <pivotField showAll="0"/>
    <pivotField showAll="0"/>
    <pivotField showAll="0">
      <items count="5">
        <item h="1" x="3"/>
        <item h="1" x="0"/>
        <item h="1" x="2"/>
        <item x="1"/>
        <item t="default"/>
      </items>
    </pivotField>
  </pivotFields>
  <rowFields count="1">
    <field x="-2"/>
  </rowFields>
  <rowItems count="3">
    <i>
      <x/>
    </i>
    <i i="1">
      <x v="1"/>
    </i>
    <i i="2">
      <x v="2"/>
    </i>
  </rowItems>
  <colItems count="1">
    <i/>
  </colItems>
  <dataFields count="3">
    <dataField name="Sum of Order Quantity" fld="2" baseField="0" baseItem="0"/>
    <dataField name="Sum of Sales Amount" fld="3" baseField="0" baseItem="0"/>
    <dataField name="Sum of Profit" fld="5"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1"/>
          </reference>
        </references>
      </pivotArea>
    </chartFormat>
    <chartFormat chart="0" format="5">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FE785C-AEA8-458F-B2AB-1980474B4E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6:K18" firstHeaderRow="0" firstDataRow="1" firstDataCol="1"/>
  <pivotFields count="11">
    <pivotField showAll="0"/>
    <pivotField numFmtId="14" showAll="0"/>
    <pivotField showAll="0"/>
    <pivotField dataField="1" showAll="0"/>
    <pivotField showAll="0"/>
    <pivotField dataField="1" numFmtId="2" showAll="0"/>
    <pivotField showAll="0"/>
    <pivotField showAll="0"/>
    <pivotField showAll="0"/>
    <pivotField showAll="0"/>
    <pivotField axis="axisRow" showAll="0">
      <items count="5">
        <item h="1" x="3"/>
        <item h="1" x="0"/>
        <item h="1" x="2"/>
        <item x="1"/>
        <item t="default"/>
      </items>
    </pivotField>
  </pivotFields>
  <rowFields count="1">
    <field x="10"/>
  </rowFields>
  <rowItems count="2">
    <i>
      <x v="3"/>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0252EB-EF53-48FF-83F5-CCCB54BD97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7:K10" firstHeaderRow="0" firstDataRow="1" firstDataCol="1"/>
  <pivotFields count="11">
    <pivotField showAll="0"/>
    <pivotField numFmtId="14" showAll="0"/>
    <pivotField showAll="0"/>
    <pivotField dataField="1" showAll="0"/>
    <pivotField showAll="0"/>
    <pivotField dataField="1" numFmtId="2" showAll="0"/>
    <pivotField showAll="0"/>
    <pivotField showAll="0"/>
    <pivotField showAll="0"/>
    <pivotField axis="axisRow" showAll="0">
      <items count="4">
        <item x="1"/>
        <item x="0"/>
        <item x="2"/>
        <item t="default"/>
      </items>
    </pivotField>
    <pivotField showAll="0">
      <items count="5">
        <item h="1" x="3"/>
        <item h="1" x="0"/>
        <item h="1" x="2"/>
        <item x="1"/>
        <item t="default"/>
      </items>
    </pivotField>
  </pivotFields>
  <rowFields count="1">
    <field x="9"/>
  </rowFields>
  <rowItems count="3">
    <i>
      <x v="1"/>
    </i>
    <i>
      <x v="2"/>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94FAD9-0997-4BD4-AFBC-FA6AE6FA3F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C19" firstHeaderRow="0" firstDataRow="1" firstDataCol="1"/>
  <pivotFields count="11">
    <pivotField showAll="0"/>
    <pivotField numFmtId="14" showAll="0"/>
    <pivotField showAll="0"/>
    <pivotField dataField="1" showAll="0"/>
    <pivotField showAll="0"/>
    <pivotField dataField="1" numFmtId="2" showAll="0"/>
    <pivotField showAll="0"/>
    <pivotField showAll="0"/>
    <pivotField axis="axisRow" showAll="0">
      <items count="5">
        <item x="3"/>
        <item x="1"/>
        <item x="2"/>
        <item x="0"/>
        <item t="default"/>
      </items>
    </pivotField>
    <pivotField showAll="0"/>
    <pivotField showAll="0">
      <items count="5">
        <item h="1" x="3"/>
        <item h="1" x="0"/>
        <item h="1" x="2"/>
        <item x="1"/>
        <item t="default"/>
      </items>
    </pivotField>
  </pivotFields>
  <rowFields count="1">
    <field x="8"/>
  </rowFields>
  <rowItems count="3">
    <i>
      <x v="1"/>
    </i>
    <i>
      <x v="2"/>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8E02A9-E429-4384-BB69-C3D9AE6AE7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6:I9" firstHeaderRow="0" firstDataRow="1" firstDataCol="1"/>
  <pivotFields count="11">
    <pivotField showAll="0"/>
    <pivotField numFmtId="14" showAll="0"/>
    <pivotField showAll="0"/>
    <pivotField dataField="1" showAll="0"/>
    <pivotField showAll="0"/>
    <pivotField dataField="1" numFmtId="2" showAll="0"/>
    <pivotField showAll="0"/>
    <pivotField showAll="0"/>
    <pivotField showAll="0"/>
    <pivotField axis="axisRow" showAll="0">
      <items count="4">
        <item x="1"/>
        <item x="0"/>
        <item x="2"/>
        <item t="default"/>
      </items>
    </pivotField>
    <pivotField showAll="0">
      <items count="5">
        <item h="1" x="3"/>
        <item h="1" x="0"/>
        <item h="1" x="2"/>
        <item x="1"/>
        <item t="default"/>
      </items>
    </pivotField>
  </pivotFields>
  <rowFields count="1">
    <field x="9"/>
  </rowFields>
  <rowItems count="3">
    <i>
      <x v="1"/>
    </i>
    <i>
      <x v="2"/>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76D7C5-FF49-4B7B-8A1D-9E66E3E3C2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C17" firstHeaderRow="0" firstDataRow="1" firstDataCol="1"/>
  <pivotFields count="11">
    <pivotField showAll="0"/>
    <pivotField numFmtId="14" showAll="0"/>
    <pivotField showAll="0"/>
    <pivotField dataField="1" showAll="0"/>
    <pivotField showAll="0"/>
    <pivotField dataField="1" numFmtId="2" showAll="0"/>
    <pivotField showAll="0"/>
    <pivotField showAll="0"/>
    <pivotField axis="axisRow" showAll="0">
      <items count="5">
        <item x="3"/>
        <item x="1"/>
        <item x="2"/>
        <item x="0"/>
        <item t="default"/>
      </items>
    </pivotField>
    <pivotField showAll="0"/>
    <pivotField showAll="0">
      <items count="5">
        <item h="1" x="3"/>
        <item h="1" x="0"/>
        <item h="1" x="2"/>
        <item x="1"/>
        <item t="default"/>
      </items>
    </pivotField>
  </pivotFields>
  <rowFields count="1">
    <field x="8"/>
  </rowFields>
  <rowItems count="3">
    <i>
      <x v="1"/>
    </i>
    <i>
      <x v="2"/>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CB260F-4906-44F5-A4C1-8B1285514408}"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9" firstHeaderRow="1" firstDataRow="1" firstDataCol="1"/>
  <pivotFields count="11">
    <pivotField showAll="0"/>
    <pivotField numFmtId="14" showAll="0"/>
    <pivotField dataField="1" showAll="0"/>
    <pivotField dataField="1" showAll="0"/>
    <pivotField showAll="0"/>
    <pivotField dataField="1" numFmtId="2" showAll="0"/>
    <pivotField showAll="0"/>
    <pivotField showAll="0"/>
    <pivotField showAll="0"/>
    <pivotField showAll="0"/>
    <pivotField showAll="0">
      <items count="5">
        <item h="1" x="3"/>
        <item h="1" x="0"/>
        <item h="1" x="2"/>
        <item x="1"/>
        <item t="default"/>
      </items>
    </pivotField>
  </pivotFields>
  <rowFields count="1">
    <field x="-2"/>
  </rowFields>
  <rowItems count="3">
    <i>
      <x/>
    </i>
    <i i="1">
      <x v="1"/>
    </i>
    <i i="2">
      <x v="2"/>
    </i>
  </rowItems>
  <colItems count="1">
    <i/>
  </colItems>
  <dataFields count="3">
    <dataField name="Sum of Order Quantity" fld="2" baseField="0" baseItem="0"/>
    <dataField name="Sum of Sales Amount" fld="3" baseField="0" baseItem="0"/>
    <dataField name="Sum of Profit" fld="5"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1"/>
          </reference>
        </references>
      </pivotArea>
    </chartFormat>
    <chartFormat chart="0" format="5">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0BF066-3525-4C42-AD5F-5B31C4B8FC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4:I16" firstHeaderRow="0" firstDataRow="1" firstDataCol="1"/>
  <pivotFields count="11">
    <pivotField showAll="0"/>
    <pivotField numFmtId="14" showAll="0"/>
    <pivotField showAll="0"/>
    <pivotField dataField="1" showAll="0"/>
    <pivotField showAll="0"/>
    <pivotField dataField="1" numFmtId="2" showAll="0"/>
    <pivotField showAll="0"/>
    <pivotField showAll="0"/>
    <pivotField showAll="0"/>
    <pivotField showAll="0"/>
    <pivotField axis="axisRow" showAll="0">
      <items count="5">
        <item h="1" x="3"/>
        <item h="1" x="0"/>
        <item h="1" x="2"/>
        <item x="1"/>
        <item t="default"/>
      </items>
    </pivotField>
  </pivotFields>
  <rowFields count="1">
    <field x="10"/>
  </rowFields>
  <rowItems count="2">
    <i>
      <x v="3"/>
    </i>
    <i t="grand">
      <x/>
    </i>
  </rowItems>
  <colFields count="1">
    <field x="-2"/>
  </colFields>
  <colItems count="2">
    <i>
      <x/>
    </i>
    <i i="1">
      <x v="1"/>
    </i>
  </colItems>
  <dataFields count="2">
    <dataField name="Sum of Sales Amount" fld="3" baseField="0" baseItem="0"/>
    <dataField name="Sum of Profit" fld="5"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745976-6842-4063-9DA1-AA425C7051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0:O22" firstHeaderRow="0" firstDataRow="1" firstDataCol="1"/>
  <pivotFields count="11">
    <pivotField showAll="0"/>
    <pivotField numFmtId="14" showAll="0"/>
    <pivotField dataField="1" showAll="0"/>
    <pivotField dataField="1" showAll="0"/>
    <pivotField showAll="0"/>
    <pivotField dataField="1" numFmtId="2" showAll="0"/>
    <pivotField showAll="0"/>
    <pivotField showAll="0"/>
    <pivotField showAll="0"/>
    <pivotField showAll="0"/>
    <pivotField axis="axisRow" showAll="0">
      <items count="5">
        <item h="1" x="3"/>
        <item h="1" x="0"/>
        <item h="1" x="2"/>
        <item x="1"/>
        <item t="default"/>
      </items>
    </pivotField>
  </pivotFields>
  <rowFields count="1">
    <field x="10"/>
  </rowFields>
  <rowItems count="2">
    <i>
      <x v="3"/>
    </i>
    <i t="grand">
      <x/>
    </i>
  </rowItems>
  <colFields count="1">
    <field x="-2"/>
  </colFields>
  <colItems count="3">
    <i>
      <x/>
    </i>
    <i i="1">
      <x v="1"/>
    </i>
    <i i="2">
      <x v="2"/>
    </i>
  </colItems>
  <dataFields count="3">
    <dataField name="Sum of Order Quantity" fld="2" baseField="0" baseItem="0"/>
    <dataField name="Sum of Sales Amount" fld="3" baseField="0" baseItem="0"/>
    <dataField name="Sum of Profit" fld="5" baseField="0" baseItem="0" numFmtId="2"/>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4421FE-9747-4D47-A3F8-0181424CF6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4:O7" firstHeaderRow="0" firstDataRow="1" firstDataCol="1"/>
  <pivotFields count="11">
    <pivotField showAll="0"/>
    <pivotField numFmtId="14" showAll="0"/>
    <pivotField dataField="1" showAll="0"/>
    <pivotField dataField="1" showAll="0"/>
    <pivotField showAll="0"/>
    <pivotField dataField="1" numFmtId="2" showAll="0"/>
    <pivotField showAll="0"/>
    <pivotField showAll="0"/>
    <pivotField showAll="0"/>
    <pivotField axis="axisRow" showAll="0">
      <items count="4">
        <item x="1"/>
        <item x="0"/>
        <item x="2"/>
        <item t="default"/>
      </items>
    </pivotField>
    <pivotField showAll="0">
      <items count="5">
        <item h="1" x="3"/>
        <item h="1" x="0"/>
        <item h="1" x="2"/>
        <item x="1"/>
        <item t="default"/>
      </items>
    </pivotField>
  </pivotFields>
  <rowFields count="1">
    <field x="9"/>
  </rowFields>
  <rowItems count="3">
    <i>
      <x v="1"/>
    </i>
    <i>
      <x v="2"/>
    </i>
    <i t="grand">
      <x/>
    </i>
  </rowItems>
  <colFields count="1">
    <field x="-2"/>
  </colFields>
  <colItems count="3">
    <i>
      <x/>
    </i>
    <i i="1">
      <x v="1"/>
    </i>
    <i i="2">
      <x v="2"/>
    </i>
  </colItems>
  <dataFields count="3">
    <dataField name="Sum of Order Quantity" fld="2" baseField="0" baseItem="0"/>
    <dataField name="Sum of Sales Amount" fld="3" baseField="0" baseItem="0"/>
    <dataField name="Sum of Profit" fld="5" baseField="0" baseItem="0" numFmtId="2"/>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192B03-FC33-4417-9808-FA90EC497D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D19" firstHeaderRow="0" firstDataRow="1" firstDataCol="1"/>
  <pivotFields count="11">
    <pivotField showAll="0"/>
    <pivotField numFmtId="14" showAll="0"/>
    <pivotField dataField="1" showAll="0"/>
    <pivotField dataField="1" showAll="0"/>
    <pivotField showAll="0"/>
    <pivotField dataField="1" numFmtId="2" showAll="0"/>
    <pivotField showAll="0"/>
    <pivotField showAll="0"/>
    <pivotField axis="axisRow" showAll="0">
      <items count="5">
        <item x="3"/>
        <item x="1"/>
        <item x="2"/>
        <item x="0"/>
        <item t="default"/>
      </items>
    </pivotField>
    <pivotField showAll="0"/>
    <pivotField showAll="0">
      <items count="5">
        <item h="1" x="3"/>
        <item h="1" x="0"/>
        <item h="1" x="2"/>
        <item x="1"/>
        <item t="default"/>
      </items>
    </pivotField>
  </pivotFields>
  <rowFields count="1">
    <field x="8"/>
  </rowFields>
  <rowItems count="3">
    <i>
      <x v="1"/>
    </i>
    <i>
      <x v="2"/>
    </i>
    <i t="grand">
      <x/>
    </i>
  </rowItems>
  <colFields count="1">
    <field x="-2"/>
  </colFields>
  <colItems count="3">
    <i>
      <x/>
    </i>
    <i i="1">
      <x v="1"/>
    </i>
    <i i="2">
      <x v="2"/>
    </i>
  </colItems>
  <dataFields count="3">
    <dataField name="Sum of Order Quantity" fld="2" baseField="0" baseItem="0"/>
    <dataField name="Sum of Sales Amount" fld="3" baseField="0" baseItem="0"/>
    <dataField name="Sum of Profit" fld="5" baseField="0" baseItem="0" numFmtId="2"/>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B435F0-65A1-4C7B-96A8-54B8BEF3A3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C9" firstHeaderRow="0" firstDataRow="1" firstDataCol="0"/>
  <pivotFields count="11">
    <pivotField showAll="0"/>
    <pivotField numFmtId="14" showAll="0"/>
    <pivotField dataField="1" showAll="0"/>
    <pivotField dataField="1" showAll="0"/>
    <pivotField showAll="0"/>
    <pivotField dataField="1" numFmtId="2" showAll="0"/>
    <pivotField showAll="0"/>
    <pivotField showAll="0"/>
    <pivotField showAll="0"/>
    <pivotField showAll="0"/>
    <pivotField showAll="0">
      <items count="5">
        <item h="1" x="3"/>
        <item h="1" x="0"/>
        <item h="1" x="2"/>
        <item x="1"/>
        <item t="default"/>
      </items>
    </pivotField>
  </pivotFields>
  <rowItems count="1">
    <i/>
  </rowItems>
  <colFields count="1">
    <field x="-2"/>
  </colFields>
  <colItems count="3">
    <i>
      <x/>
    </i>
    <i i="1">
      <x v="1"/>
    </i>
    <i i="2">
      <x v="2"/>
    </i>
  </colItems>
  <dataFields count="3">
    <dataField name="Sum of Order Quantity" fld="2" baseField="0" baseItem="0"/>
    <dataField name="Sum of Sales Amount" fld="3" baseField="0" baseItem="0"/>
    <dataField name="Sum of Profit" fld="5" baseField="0" baseItem="0" numFmtId="2"/>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890903A6-B99A-44BA-BB0E-48E1FB8A9C35}" sourceName="Zone">
  <pivotTables>
    <pivotTable tabId="19" name="PivotTable5"/>
    <pivotTable tabId="16" name="PivotTable4"/>
    <pivotTable tabId="16" name="PivotTable3"/>
    <pivotTable tabId="16" name="PivotTable2"/>
    <pivotTable tabId="13" name="PivotTable3"/>
    <pivotTable tabId="13" name="PivotTable1"/>
    <pivotTable tabId="13" name="PivotTable2"/>
    <pivotTable tabId="13" name="PivotTable4"/>
    <pivotTable tabId="16" name="PivotTable1"/>
    <pivotTable tabId="19" name="PivotTable1"/>
    <pivotTable tabId="19" name="PivotTable3"/>
    <pivotTable tabId="19" name="PivotTable4"/>
    <pivotTable tabId="18" name="PivotTable1"/>
    <pivotTable tabId="18" name="PivotTable2"/>
    <pivotTable tabId="18" name="PivotTable3"/>
    <pivotTable tabId="18" name="PivotTable4"/>
  </pivotTables>
  <data>
    <tabular pivotCacheId="1751191830">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507A3278-816D-49F4-AADC-E765627D9147}" cache="Slicer_Zone" caption="Zone" columnCount="4"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1" xr10:uid="{A93D25A8-87B1-4620-9671-98D079A74572}" cache="Slicer_Zone" caption="Zone" columnCount="4"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2" xr10:uid="{692F902D-B598-4F14-9039-6CA4E2AFD148}" cache="Slicer_Zone" caption="Zone"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3.xml"/><Relationship Id="rId5" Type="http://schemas.openxmlformats.org/officeDocument/2006/relationships/drawing" Target="../drawings/drawing4.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0569-393E-4838-982D-8216BAE58CCE}">
  <dimension ref="A1:L21"/>
  <sheetViews>
    <sheetView showGridLines="0" workbookViewId="0">
      <selection activeCell="B4" sqref="B4"/>
    </sheetView>
  </sheetViews>
  <sheetFormatPr defaultRowHeight="14.4" x14ac:dyDescent="0.3"/>
  <cols>
    <col min="1" max="1" width="12.5546875" bestFit="1" customWidth="1"/>
    <col min="2" max="2" width="19.21875" bestFit="1" customWidth="1"/>
    <col min="3" max="3" width="12.109375" bestFit="1" customWidth="1"/>
    <col min="10" max="10" width="12.5546875" bestFit="1" customWidth="1"/>
    <col min="11" max="11" width="19.21875" bestFit="1" customWidth="1"/>
    <col min="12" max="12" width="12.109375" bestFit="1" customWidth="1"/>
  </cols>
  <sheetData>
    <row r="1" spans="1:12" ht="25.8" x14ac:dyDescent="0.5">
      <c r="A1" s="17" t="s">
        <v>41</v>
      </c>
    </row>
    <row r="2" spans="1:12" x14ac:dyDescent="0.3">
      <c r="A2" t="s">
        <v>42</v>
      </c>
    </row>
    <row r="9" spans="1:12" ht="15.6" x14ac:dyDescent="0.3">
      <c r="A9" s="30" t="s">
        <v>43</v>
      </c>
      <c r="B9" s="30"/>
      <c r="C9" s="30"/>
      <c r="J9" s="30" t="s">
        <v>45</v>
      </c>
      <c r="K9" s="30"/>
      <c r="L9" s="30"/>
    </row>
    <row r="10" spans="1:12" x14ac:dyDescent="0.3">
      <c r="A10" t="s">
        <v>36</v>
      </c>
      <c r="B10" t="s">
        <v>37</v>
      </c>
      <c r="C10" t="s">
        <v>38</v>
      </c>
      <c r="J10" s="14" t="s">
        <v>39</v>
      </c>
      <c r="K10" t="s">
        <v>37</v>
      </c>
      <c r="L10" t="s">
        <v>38</v>
      </c>
    </row>
    <row r="11" spans="1:12" x14ac:dyDescent="0.3">
      <c r="A11" s="32">
        <v>9640</v>
      </c>
      <c r="B11" s="32">
        <v>433812.24000000011</v>
      </c>
      <c r="C11" s="16">
        <v>108453.06000000003</v>
      </c>
      <c r="J11" s="15" t="s">
        <v>12</v>
      </c>
      <c r="K11" s="32">
        <v>101520</v>
      </c>
      <c r="L11" s="16">
        <v>25380</v>
      </c>
    </row>
    <row r="12" spans="1:12" x14ac:dyDescent="0.3">
      <c r="J12" s="15" t="s">
        <v>18</v>
      </c>
      <c r="K12" s="32">
        <v>332292.24000000005</v>
      </c>
      <c r="L12" s="16">
        <v>83073.060000000012</v>
      </c>
    </row>
    <row r="13" spans="1:12" x14ac:dyDescent="0.3">
      <c r="J13" s="15" t="s">
        <v>40</v>
      </c>
      <c r="K13" s="32">
        <v>433812.24000000005</v>
      </c>
      <c r="L13" s="16">
        <v>108453.06000000001</v>
      </c>
    </row>
    <row r="17" spans="1:12" ht="15.6" x14ac:dyDescent="0.3">
      <c r="A17" s="30" t="s">
        <v>44</v>
      </c>
      <c r="B17" s="30"/>
      <c r="C17" s="30"/>
      <c r="J17" s="30" t="s">
        <v>46</v>
      </c>
      <c r="K17" s="30"/>
      <c r="L17" s="30"/>
    </row>
    <row r="18" spans="1:12" x14ac:dyDescent="0.3">
      <c r="A18" s="14" t="s">
        <v>39</v>
      </c>
      <c r="B18" t="s">
        <v>37</v>
      </c>
      <c r="C18" t="s">
        <v>38</v>
      </c>
      <c r="J18" s="14" t="s">
        <v>39</v>
      </c>
      <c r="K18" t="s">
        <v>37</v>
      </c>
      <c r="L18" t="s">
        <v>38</v>
      </c>
    </row>
    <row r="19" spans="1:12" x14ac:dyDescent="0.3">
      <c r="A19" s="15" t="s">
        <v>14</v>
      </c>
      <c r="B19" s="32">
        <v>362388.24000000005</v>
      </c>
      <c r="C19" s="16">
        <v>90597.060000000012</v>
      </c>
      <c r="J19" s="15" t="s">
        <v>30</v>
      </c>
      <c r="K19" s="32">
        <v>433812.24000000011</v>
      </c>
      <c r="L19" s="16">
        <v>108453.06000000003</v>
      </c>
    </row>
    <row r="20" spans="1:12" x14ac:dyDescent="0.3">
      <c r="A20" s="15" t="s">
        <v>21</v>
      </c>
      <c r="B20" s="32">
        <v>71424</v>
      </c>
      <c r="C20" s="16">
        <v>17856</v>
      </c>
      <c r="J20" s="15" t="s">
        <v>40</v>
      </c>
      <c r="K20" s="32">
        <v>433812.24000000011</v>
      </c>
      <c r="L20" s="16">
        <v>108453.06000000003</v>
      </c>
    </row>
    <row r="21" spans="1:12" x14ac:dyDescent="0.3">
      <c r="A21" s="15" t="s">
        <v>40</v>
      </c>
      <c r="B21" s="32">
        <v>433812.24000000005</v>
      </c>
      <c r="C21" s="16">
        <v>108453.06000000001</v>
      </c>
    </row>
  </sheetData>
  <mergeCells count="4">
    <mergeCell ref="A9:C9"/>
    <mergeCell ref="A17:C17"/>
    <mergeCell ref="J9:L9"/>
    <mergeCell ref="J17:L17"/>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9CE-2723-460B-BC00-1F4993EF469C}">
  <dimension ref="A2:K19"/>
  <sheetViews>
    <sheetView showGridLines="0" zoomScaleNormal="100" workbookViewId="0">
      <selection activeCell="K2" sqref="K2"/>
    </sheetView>
  </sheetViews>
  <sheetFormatPr defaultRowHeight="14.4" x14ac:dyDescent="0.3"/>
  <cols>
    <col min="1" max="1" width="19.44140625" bestFit="1" customWidth="1"/>
    <col min="2" max="2" width="10" bestFit="1" customWidth="1"/>
    <col min="3" max="3" width="12.109375" bestFit="1" customWidth="1"/>
    <col min="9" max="9" width="13.109375" bestFit="1" customWidth="1"/>
    <col min="10" max="10" width="19.21875" bestFit="1" customWidth="1"/>
    <col min="11" max="11" width="12.109375" bestFit="1" customWidth="1"/>
  </cols>
  <sheetData>
    <row r="2" spans="1:11" ht="28.8" x14ac:dyDescent="0.55000000000000004">
      <c r="A2" s="19" t="s">
        <v>47</v>
      </c>
    </row>
    <row r="3" spans="1:11" ht="28.8" x14ac:dyDescent="0.55000000000000004">
      <c r="A3" s="19"/>
    </row>
    <row r="4" spans="1:11" ht="18" x14ac:dyDescent="0.35">
      <c r="A4" s="18" t="s">
        <v>48</v>
      </c>
    </row>
    <row r="5" spans="1:11" ht="18" x14ac:dyDescent="0.35">
      <c r="A5" s="18"/>
    </row>
    <row r="6" spans="1:11" ht="15.6" x14ac:dyDescent="0.3">
      <c r="A6" s="31" t="s">
        <v>49</v>
      </c>
      <c r="B6" s="31"/>
      <c r="C6" s="31"/>
      <c r="I6" s="31" t="s">
        <v>45</v>
      </c>
      <c r="J6" s="31"/>
      <c r="K6" s="31"/>
    </row>
    <row r="7" spans="1:11" x14ac:dyDescent="0.3">
      <c r="A7" s="14" t="s">
        <v>50</v>
      </c>
      <c r="I7" s="14" t="s">
        <v>39</v>
      </c>
      <c r="J7" t="s">
        <v>37</v>
      </c>
      <c r="K7" t="s">
        <v>38</v>
      </c>
    </row>
    <row r="8" spans="1:11" x14ac:dyDescent="0.3">
      <c r="A8" s="15" t="s">
        <v>36</v>
      </c>
      <c r="B8" s="32">
        <v>9640</v>
      </c>
      <c r="I8" s="15" t="s">
        <v>12</v>
      </c>
      <c r="J8" s="32">
        <v>101520</v>
      </c>
      <c r="K8" s="16">
        <v>25380</v>
      </c>
    </row>
    <row r="9" spans="1:11" x14ac:dyDescent="0.3">
      <c r="A9" s="15" t="s">
        <v>37</v>
      </c>
      <c r="B9" s="32">
        <v>433812.24000000011</v>
      </c>
      <c r="I9" s="15" t="s">
        <v>18</v>
      </c>
      <c r="J9" s="32">
        <v>332292.24000000005</v>
      </c>
      <c r="K9" s="16">
        <v>83073.060000000012</v>
      </c>
    </row>
    <row r="10" spans="1:11" x14ac:dyDescent="0.3">
      <c r="A10" s="15" t="s">
        <v>38</v>
      </c>
      <c r="B10" s="16">
        <v>108453.06000000003</v>
      </c>
      <c r="I10" s="15" t="s">
        <v>40</v>
      </c>
      <c r="J10" s="32">
        <v>433812.24000000005</v>
      </c>
      <c r="K10" s="16">
        <v>108453.06000000001</v>
      </c>
    </row>
    <row r="15" spans="1:11" ht="15.6" x14ac:dyDescent="0.3">
      <c r="A15" s="31" t="s">
        <v>51</v>
      </c>
      <c r="B15" s="31"/>
      <c r="C15" s="31"/>
      <c r="I15" s="31" t="s">
        <v>46</v>
      </c>
      <c r="J15" s="31"/>
      <c r="K15" s="31"/>
    </row>
    <row r="16" spans="1:11" x14ac:dyDescent="0.3">
      <c r="A16" s="14" t="s">
        <v>39</v>
      </c>
      <c r="B16" t="s">
        <v>37</v>
      </c>
      <c r="C16" t="s">
        <v>38</v>
      </c>
      <c r="I16" s="14" t="s">
        <v>39</v>
      </c>
      <c r="J16" t="s">
        <v>37</v>
      </c>
      <c r="K16" t="s">
        <v>38</v>
      </c>
    </row>
    <row r="17" spans="1:11" x14ac:dyDescent="0.3">
      <c r="A17" s="15" t="s">
        <v>14</v>
      </c>
      <c r="B17" s="32">
        <v>362388.24000000005</v>
      </c>
      <c r="C17" s="16">
        <v>90597.060000000012</v>
      </c>
      <c r="I17" s="15" t="s">
        <v>30</v>
      </c>
      <c r="J17" s="32">
        <v>433812.24000000011</v>
      </c>
      <c r="K17" s="16">
        <v>108453.06000000003</v>
      </c>
    </row>
    <row r="18" spans="1:11" x14ac:dyDescent="0.3">
      <c r="A18" s="15" t="s">
        <v>21</v>
      </c>
      <c r="B18" s="32">
        <v>71424</v>
      </c>
      <c r="C18" s="16">
        <v>17856</v>
      </c>
      <c r="I18" s="15" t="s">
        <v>40</v>
      </c>
      <c r="J18" s="32">
        <v>433812.24000000011</v>
      </c>
      <c r="K18" s="16">
        <v>108453.06000000003</v>
      </c>
    </row>
    <row r="19" spans="1:11" x14ac:dyDescent="0.3">
      <c r="A19" s="15" t="s">
        <v>40</v>
      </c>
      <c r="B19" s="32">
        <v>433812.24000000005</v>
      </c>
      <c r="C19" s="16">
        <v>108453.06000000001</v>
      </c>
    </row>
  </sheetData>
  <mergeCells count="4">
    <mergeCell ref="A6:C6"/>
    <mergeCell ref="A15:C15"/>
    <mergeCell ref="I6:K6"/>
    <mergeCell ref="I15:K15"/>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99C5-09D8-4F94-9CD0-B40AB504A093}">
  <dimension ref="A2:I17"/>
  <sheetViews>
    <sheetView showGridLines="0" workbookViewId="0">
      <selection activeCell="G14" sqref="G14"/>
    </sheetView>
  </sheetViews>
  <sheetFormatPr defaultRowHeight="14.4" x14ac:dyDescent="0.3"/>
  <cols>
    <col min="1" max="1" width="12.5546875" bestFit="1" customWidth="1"/>
    <col min="2" max="2" width="19.21875" bestFit="1" customWidth="1"/>
    <col min="3" max="3" width="12.109375" bestFit="1" customWidth="1"/>
    <col min="4" max="4" width="20.21875" bestFit="1" customWidth="1"/>
    <col min="7" max="7" width="12.5546875" bestFit="1" customWidth="1"/>
    <col min="8" max="8" width="19.21875" bestFit="1" customWidth="1"/>
    <col min="9" max="9" width="12.109375" bestFit="1" customWidth="1"/>
  </cols>
  <sheetData>
    <row r="2" spans="1:9" ht="25.8" x14ac:dyDescent="0.5">
      <c r="A2" s="21" t="s">
        <v>47</v>
      </c>
    </row>
    <row r="3" spans="1:9" ht="18" x14ac:dyDescent="0.35">
      <c r="A3" s="20" t="s">
        <v>52</v>
      </c>
    </row>
    <row r="5" spans="1:9" ht="15.6" x14ac:dyDescent="0.3">
      <c r="A5" s="31" t="s">
        <v>53</v>
      </c>
      <c r="B5" s="31"/>
      <c r="G5" s="31" t="s">
        <v>45</v>
      </c>
      <c r="H5" s="31"/>
      <c r="I5" s="31"/>
    </row>
    <row r="6" spans="1:9" x14ac:dyDescent="0.3">
      <c r="A6" s="14" t="s">
        <v>50</v>
      </c>
      <c r="G6" s="14" t="s">
        <v>39</v>
      </c>
      <c r="H6" t="s">
        <v>37</v>
      </c>
      <c r="I6" t="s">
        <v>38</v>
      </c>
    </row>
    <row r="7" spans="1:9" x14ac:dyDescent="0.3">
      <c r="A7" s="15" t="s">
        <v>36</v>
      </c>
      <c r="B7" s="32">
        <v>9640</v>
      </c>
      <c r="G7" s="15" t="s">
        <v>12</v>
      </c>
      <c r="H7" s="32">
        <v>101520</v>
      </c>
      <c r="I7" s="16">
        <v>25380</v>
      </c>
    </row>
    <row r="8" spans="1:9" x14ac:dyDescent="0.3">
      <c r="A8" s="15" t="s">
        <v>37</v>
      </c>
      <c r="B8" s="32">
        <v>433812.24000000011</v>
      </c>
      <c r="G8" s="15" t="s">
        <v>18</v>
      </c>
      <c r="H8" s="32">
        <v>332292.24000000005</v>
      </c>
      <c r="I8" s="16">
        <v>83073.060000000012</v>
      </c>
    </row>
    <row r="9" spans="1:9" x14ac:dyDescent="0.3">
      <c r="A9" s="15" t="s">
        <v>38</v>
      </c>
      <c r="B9" s="16">
        <v>108453.06000000003</v>
      </c>
      <c r="G9" s="15" t="s">
        <v>40</v>
      </c>
      <c r="H9" s="32">
        <v>433812.24000000005</v>
      </c>
      <c r="I9" s="16">
        <v>108453.06000000001</v>
      </c>
    </row>
    <row r="11" spans="1:9" x14ac:dyDescent="0.3">
      <c r="G11" s="15"/>
      <c r="I11" s="16"/>
    </row>
    <row r="13" spans="1:9" ht="15.6" x14ac:dyDescent="0.3">
      <c r="A13" s="31" t="s">
        <v>54</v>
      </c>
      <c r="B13" s="31"/>
      <c r="C13" s="31"/>
      <c r="G13" s="31" t="s">
        <v>46</v>
      </c>
      <c r="H13" s="31"/>
      <c r="I13" s="31"/>
    </row>
    <row r="14" spans="1:9" x14ac:dyDescent="0.3">
      <c r="A14" s="14" t="s">
        <v>39</v>
      </c>
      <c r="B14" t="s">
        <v>37</v>
      </c>
      <c r="C14" t="s">
        <v>38</v>
      </c>
      <c r="G14" s="14" t="s">
        <v>39</v>
      </c>
      <c r="H14" t="s">
        <v>37</v>
      </c>
      <c r="I14" t="s">
        <v>38</v>
      </c>
    </row>
    <row r="15" spans="1:9" x14ac:dyDescent="0.3">
      <c r="A15" s="15" t="s">
        <v>14</v>
      </c>
      <c r="B15" s="32">
        <v>362388.24000000005</v>
      </c>
      <c r="C15" s="16">
        <v>90597.060000000012</v>
      </c>
      <c r="G15" s="15" t="s">
        <v>30</v>
      </c>
      <c r="H15" s="32">
        <v>433812.24000000011</v>
      </c>
      <c r="I15" s="16">
        <v>108453.06000000003</v>
      </c>
    </row>
    <row r="16" spans="1:9" x14ac:dyDescent="0.3">
      <c r="A16" s="15" t="s">
        <v>21</v>
      </c>
      <c r="B16" s="32">
        <v>71424</v>
      </c>
      <c r="C16" s="16">
        <v>17856</v>
      </c>
      <c r="G16" s="15" t="s">
        <v>40</v>
      </c>
      <c r="H16" s="32">
        <v>433812.24000000011</v>
      </c>
      <c r="I16" s="16">
        <v>108453.06000000003</v>
      </c>
    </row>
    <row r="17" spans="1:3" x14ac:dyDescent="0.3">
      <c r="A17" s="15" t="s">
        <v>40</v>
      </c>
      <c r="B17" s="32">
        <v>433812.24000000005</v>
      </c>
      <c r="C17" s="16">
        <v>108453.06000000001</v>
      </c>
    </row>
  </sheetData>
  <mergeCells count="4">
    <mergeCell ref="A5:B5"/>
    <mergeCell ref="A13:C13"/>
    <mergeCell ref="G5:I5"/>
    <mergeCell ref="G13:I13"/>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7795A-BF22-402F-8A9E-5B6EF374BD80}">
  <dimension ref="A2:O22"/>
  <sheetViews>
    <sheetView showGridLines="0" tabSelected="1" zoomScale="75" zoomScaleNormal="75" workbookViewId="0">
      <selection activeCell="B36" sqref="B36"/>
    </sheetView>
  </sheetViews>
  <sheetFormatPr defaultRowHeight="14.4" x14ac:dyDescent="0.3"/>
  <cols>
    <col min="1" max="1" width="13.77734375" bestFit="1" customWidth="1"/>
    <col min="2" max="2" width="21.109375" bestFit="1" customWidth="1"/>
    <col min="3" max="3" width="19.77734375" bestFit="1" customWidth="1"/>
    <col min="4" max="4" width="12.21875" bestFit="1" customWidth="1"/>
    <col min="12" max="12" width="13.77734375" bestFit="1" customWidth="1"/>
    <col min="13" max="13" width="21.109375" bestFit="1" customWidth="1"/>
    <col min="14" max="14" width="19.77734375" bestFit="1" customWidth="1"/>
    <col min="15" max="15" width="12.21875" bestFit="1" customWidth="1"/>
  </cols>
  <sheetData>
    <row r="2" spans="1:15" ht="25.8" x14ac:dyDescent="0.5">
      <c r="A2" s="24" t="s">
        <v>47</v>
      </c>
      <c r="B2" s="25"/>
    </row>
    <row r="3" spans="1:15" ht="21" x14ac:dyDescent="0.4">
      <c r="A3" s="22" t="s">
        <v>55</v>
      </c>
      <c r="B3" s="23"/>
      <c r="L3" s="29" t="s">
        <v>57</v>
      </c>
      <c r="M3" s="29"/>
      <c r="N3" s="29"/>
      <c r="O3" s="29"/>
    </row>
    <row r="4" spans="1:15" x14ac:dyDescent="0.3">
      <c r="L4" s="14" t="s">
        <v>39</v>
      </c>
      <c r="M4" t="s">
        <v>36</v>
      </c>
      <c r="N4" t="s">
        <v>37</v>
      </c>
      <c r="O4" t="s">
        <v>38</v>
      </c>
    </row>
    <row r="5" spans="1:15" x14ac:dyDescent="0.3">
      <c r="L5" s="15" t="s">
        <v>12</v>
      </c>
      <c r="M5" s="32">
        <v>1584</v>
      </c>
      <c r="N5" s="32">
        <v>101520</v>
      </c>
      <c r="O5" s="16">
        <v>25380</v>
      </c>
    </row>
    <row r="6" spans="1:15" x14ac:dyDescent="0.3">
      <c r="L6" s="15" t="s">
        <v>18</v>
      </c>
      <c r="M6" s="32">
        <v>8056</v>
      </c>
      <c r="N6" s="32">
        <v>332292.24000000005</v>
      </c>
      <c r="O6" s="16">
        <v>83073.060000000012</v>
      </c>
    </row>
    <row r="7" spans="1:15" ht="21" x14ac:dyDescent="0.4">
      <c r="A7" s="26" t="s">
        <v>56</v>
      </c>
      <c r="B7" s="27"/>
      <c r="C7" s="27"/>
      <c r="L7" s="15" t="s">
        <v>40</v>
      </c>
      <c r="M7" s="32">
        <v>9640</v>
      </c>
      <c r="N7" s="32">
        <v>433812.24000000005</v>
      </c>
      <c r="O7" s="16">
        <v>108453.06000000001</v>
      </c>
    </row>
    <row r="8" spans="1:15" x14ac:dyDescent="0.3">
      <c r="A8" t="s">
        <v>36</v>
      </c>
      <c r="B8" t="s">
        <v>37</v>
      </c>
      <c r="C8" t="s">
        <v>38</v>
      </c>
    </row>
    <row r="9" spans="1:15" x14ac:dyDescent="0.3">
      <c r="A9" s="32">
        <v>9640</v>
      </c>
      <c r="B9" s="32">
        <v>433812.24000000011</v>
      </c>
      <c r="C9" s="16">
        <v>108453.06000000003</v>
      </c>
    </row>
    <row r="15" spans="1:15" ht="18" x14ac:dyDescent="0.35">
      <c r="A15" s="28" t="s">
        <v>44</v>
      </c>
      <c r="B15" s="28"/>
      <c r="C15" s="28"/>
      <c r="D15" s="28"/>
    </row>
    <row r="16" spans="1:15" x14ac:dyDescent="0.3">
      <c r="A16" s="14" t="s">
        <v>39</v>
      </c>
      <c r="B16" t="s">
        <v>36</v>
      </c>
      <c r="C16" t="s">
        <v>37</v>
      </c>
      <c r="D16" t="s">
        <v>38</v>
      </c>
    </row>
    <row r="17" spans="1:15" x14ac:dyDescent="0.3">
      <c r="A17" s="15" t="s">
        <v>14</v>
      </c>
      <c r="B17" s="32">
        <v>9256</v>
      </c>
      <c r="C17" s="32">
        <v>362388.24000000005</v>
      </c>
      <c r="D17" s="16">
        <v>90597.060000000012</v>
      </c>
    </row>
    <row r="18" spans="1:15" x14ac:dyDescent="0.3">
      <c r="A18" s="15" t="s">
        <v>21</v>
      </c>
      <c r="B18" s="32">
        <v>384</v>
      </c>
      <c r="C18" s="32">
        <v>71424</v>
      </c>
      <c r="D18" s="16">
        <v>17856</v>
      </c>
    </row>
    <row r="19" spans="1:15" ht="18" x14ac:dyDescent="0.35">
      <c r="A19" s="15" t="s">
        <v>40</v>
      </c>
      <c r="B19" s="32">
        <v>9640</v>
      </c>
      <c r="C19" s="32">
        <v>433812.24000000005</v>
      </c>
      <c r="D19" s="16">
        <v>108453.06000000001</v>
      </c>
      <c r="L19" s="28" t="s">
        <v>58</v>
      </c>
      <c r="M19" s="28"/>
      <c r="N19" s="28"/>
      <c r="O19" s="28"/>
    </row>
    <row r="20" spans="1:15" x14ac:dyDescent="0.3">
      <c r="L20" s="14" t="s">
        <v>39</v>
      </c>
      <c r="M20" t="s">
        <v>36</v>
      </c>
      <c r="N20" t="s">
        <v>37</v>
      </c>
      <c r="O20" t="s">
        <v>38</v>
      </c>
    </row>
    <row r="21" spans="1:15" x14ac:dyDescent="0.3">
      <c r="L21" s="15" t="s">
        <v>30</v>
      </c>
      <c r="M21" s="32">
        <v>9640</v>
      </c>
      <c r="N21" s="32">
        <v>433812.24000000011</v>
      </c>
      <c r="O21" s="16">
        <v>108453.06000000003</v>
      </c>
    </row>
    <row r="22" spans="1:15" x14ac:dyDescent="0.3">
      <c r="L22" s="15" t="s">
        <v>40</v>
      </c>
      <c r="M22" s="32">
        <v>9640</v>
      </c>
      <c r="N22" s="32">
        <v>433812.24000000011</v>
      </c>
      <c r="O22" s="16">
        <v>108453.06000000003</v>
      </c>
    </row>
  </sheetData>
  <mergeCells count="4">
    <mergeCell ref="A7:C7"/>
    <mergeCell ref="A15:D15"/>
    <mergeCell ref="L3:O3"/>
    <mergeCell ref="L19:O19"/>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9"/>
  <sheetViews>
    <sheetView showGridLines="0" topLeftCell="A5" workbookViewId="0">
      <selection activeCell="A5" sqref="A5"/>
    </sheetView>
  </sheetViews>
  <sheetFormatPr defaultRowHeight="14.4" x14ac:dyDescent="0.3"/>
  <cols>
    <col min="2" max="2" width="17" customWidth="1"/>
    <col min="3" max="3" width="15.5546875" bestFit="1" customWidth="1"/>
    <col min="4" max="4" width="20.44140625" customWidth="1"/>
    <col min="5" max="5" width="16.88671875" customWidth="1"/>
    <col min="6" max="6" width="11.5546875" customWidth="1"/>
    <col min="7" max="7" width="18.5546875" customWidth="1"/>
    <col min="8" max="8" width="25.33203125" customWidth="1"/>
    <col min="9" max="9" width="27" customWidth="1"/>
    <col min="10" max="10" width="27.5546875" customWidth="1"/>
  </cols>
  <sheetData>
    <row r="1" spans="1:11" ht="25.8" x14ac:dyDescent="0.5">
      <c r="A1" s="17" t="s">
        <v>41</v>
      </c>
    </row>
    <row r="2" spans="1:11" ht="21" x14ac:dyDescent="0.4">
      <c r="A2" s="12" t="s">
        <v>34</v>
      </c>
    </row>
    <row r="3" spans="1:11" ht="21" x14ac:dyDescent="0.4">
      <c r="A3" s="12" t="s">
        <v>33</v>
      </c>
    </row>
    <row r="5" spans="1:11" ht="21" customHeight="1" x14ac:dyDescent="0.3">
      <c r="A5" s="1" t="s">
        <v>0</v>
      </c>
      <c r="B5" s="2" t="s">
        <v>1</v>
      </c>
      <c r="C5" s="3" t="s">
        <v>2</v>
      </c>
      <c r="D5" s="2" t="s">
        <v>35</v>
      </c>
      <c r="E5" s="4" t="s">
        <v>3</v>
      </c>
      <c r="F5" s="5" t="s">
        <v>4</v>
      </c>
      <c r="G5" s="6" t="s">
        <v>5</v>
      </c>
      <c r="H5" s="4" t="s">
        <v>6</v>
      </c>
      <c r="I5" s="4" t="s">
        <v>7</v>
      </c>
      <c r="J5" s="4" t="s">
        <v>8</v>
      </c>
      <c r="K5" s="5" t="s">
        <v>28</v>
      </c>
    </row>
    <row r="6" spans="1:11" x14ac:dyDescent="0.3">
      <c r="A6" s="7">
        <v>3</v>
      </c>
      <c r="B6" s="8">
        <v>40464</v>
      </c>
      <c r="C6" s="7">
        <v>25</v>
      </c>
      <c r="D6" s="7">
        <f>C6*G6</f>
        <v>973.5</v>
      </c>
      <c r="E6" s="9" t="s">
        <v>9</v>
      </c>
      <c r="F6" s="10">
        <f>D6*25%</f>
        <v>243.375</v>
      </c>
      <c r="G6" s="11">
        <v>38.94</v>
      </c>
      <c r="H6" s="9" t="s">
        <v>10</v>
      </c>
      <c r="I6" s="9" t="s">
        <v>11</v>
      </c>
      <c r="J6" s="9" t="s">
        <v>12</v>
      </c>
      <c r="K6" s="13" t="s">
        <v>29</v>
      </c>
    </row>
    <row r="7" spans="1:11" x14ac:dyDescent="0.3">
      <c r="A7" s="7">
        <v>6</v>
      </c>
      <c r="B7" s="8">
        <v>40959</v>
      </c>
      <c r="C7" s="7">
        <v>150</v>
      </c>
      <c r="D7" s="7">
        <f t="shared" ref="D7:D28" si="0">C7*G7</f>
        <v>3761.9999999999995</v>
      </c>
      <c r="E7" s="9" t="s">
        <v>9</v>
      </c>
      <c r="F7" s="10">
        <f t="shared" ref="F7:F28" si="1">D7*25%</f>
        <v>940.49999999999989</v>
      </c>
      <c r="G7" s="11">
        <v>25.08</v>
      </c>
      <c r="H7" s="9" t="s">
        <v>13</v>
      </c>
      <c r="I7" s="9" t="s">
        <v>14</v>
      </c>
      <c r="J7" s="9" t="s">
        <v>12</v>
      </c>
      <c r="K7" s="13" t="s">
        <v>30</v>
      </c>
    </row>
    <row r="8" spans="1:11" x14ac:dyDescent="0.3">
      <c r="A8" s="7">
        <v>32</v>
      </c>
      <c r="B8" s="8">
        <v>40739</v>
      </c>
      <c r="C8" s="7">
        <v>200</v>
      </c>
      <c r="D8" s="7">
        <f t="shared" si="0"/>
        <v>21506</v>
      </c>
      <c r="E8" s="9" t="s">
        <v>9</v>
      </c>
      <c r="F8" s="10">
        <f t="shared" si="1"/>
        <v>5376.5</v>
      </c>
      <c r="G8" s="11">
        <v>107.53</v>
      </c>
      <c r="H8" s="9" t="s">
        <v>15</v>
      </c>
      <c r="I8" s="9" t="s">
        <v>14</v>
      </c>
      <c r="J8" s="9" t="s">
        <v>16</v>
      </c>
      <c r="K8" s="13" t="s">
        <v>31</v>
      </c>
    </row>
    <row r="9" spans="1:11" x14ac:dyDescent="0.3">
      <c r="A9" s="7">
        <v>32</v>
      </c>
      <c r="B9" s="8">
        <v>40739</v>
      </c>
      <c r="C9" s="7">
        <v>350</v>
      </c>
      <c r="D9" s="7">
        <f t="shared" si="0"/>
        <v>24811.5</v>
      </c>
      <c r="E9" s="9" t="s">
        <v>17</v>
      </c>
      <c r="F9" s="10">
        <f t="shared" si="1"/>
        <v>6202.875</v>
      </c>
      <c r="G9" s="11">
        <v>70.89</v>
      </c>
      <c r="H9" s="9" t="s">
        <v>15</v>
      </c>
      <c r="I9" s="9" t="s">
        <v>14</v>
      </c>
      <c r="J9" s="9" t="s">
        <v>16</v>
      </c>
      <c r="K9" s="13" t="s">
        <v>32</v>
      </c>
    </row>
    <row r="10" spans="1:11" x14ac:dyDescent="0.3">
      <c r="A10" s="7">
        <v>32</v>
      </c>
      <c r="B10" s="8">
        <v>40739</v>
      </c>
      <c r="C10" s="7">
        <v>500</v>
      </c>
      <c r="D10" s="7">
        <f t="shared" si="0"/>
        <v>3995</v>
      </c>
      <c r="E10" s="9" t="s">
        <v>9</v>
      </c>
      <c r="F10" s="10">
        <f t="shared" si="1"/>
        <v>998.75</v>
      </c>
      <c r="G10" s="11">
        <v>7.99</v>
      </c>
      <c r="H10" s="9" t="s">
        <v>15</v>
      </c>
      <c r="I10" s="9" t="s">
        <v>14</v>
      </c>
      <c r="J10" s="9" t="s">
        <v>18</v>
      </c>
      <c r="K10" s="13" t="s">
        <v>29</v>
      </c>
    </row>
    <row r="11" spans="1:11" x14ac:dyDescent="0.3">
      <c r="A11" s="7">
        <v>32</v>
      </c>
      <c r="B11" s="8">
        <v>40739</v>
      </c>
      <c r="C11" s="7">
        <v>650</v>
      </c>
      <c r="D11" s="7">
        <f t="shared" si="0"/>
        <v>5499.0000000000009</v>
      </c>
      <c r="E11" s="9" t="s">
        <v>9</v>
      </c>
      <c r="F11" s="10">
        <f t="shared" si="1"/>
        <v>1374.7500000000002</v>
      </c>
      <c r="G11" s="11">
        <v>8.4600000000000009</v>
      </c>
      <c r="H11" s="9" t="s">
        <v>15</v>
      </c>
      <c r="I11" s="9" t="s">
        <v>14</v>
      </c>
      <c r="J11" s="9" t="s">
        <v>18</v>
      </c>
      <c r="K11" s="13" t="s">
        <v>30</v>
      </c>
    </row>
    <row r="12" spans="1:11" x14ac:dyDescent="0.3">
      <c r="A12" s="7">
        <v>35</v>
      </c>
      <c r="B12" s="8">
        <v>40838</v>
      </c>
      <c r="C12" s="7">
        <v>800</v>
      </c>
      <c r="D12" s="7">
        <f t="shared" si="0"/>
        <v>7288</v>
      </c>
      <c r="E12" s="9" t="s">
        <v>9</v>
      </c>
      <c r="F12" s="10">
        <f t="shared" si="1"/>
        <v>1822</v>
      </c>
      <c r="G12" s="11">
        <v>9.11</v>
      </c>
      <c r="H12" s="9" t="s">
        <v>19</v>
      </c>
      <c r="I12" s="9" t="s">
        <v>14</v>
      </c>
      <c r="J12" s="9" t="s">
        <v>12</v>
      </c>
      <c r="K12" s="13" t="s">
        <v>31</v>
      </c>
    </row>
    <row r="13" spans="1:11" x14ac:dyDescent="0.3">
      <c r="A13" s="7">
        <v>35</v>
      </c>
      <c r="B13" s="8">
        <v>40838</v>
      </c>
      <c r="C13" s="7">
        <v>25</v>
      </c>
      <c r="D13" s="7">
        <f t="shared" si="0"/>
        <v>3899.75</v>
      </c>
      <c r="E13" s="9" t="s">
        <v>9</v>
      </c>
      <c r="F13" s="10">
        <f t="shared" si="1"/>
        <v>974.9375</v>
      </c>
      <c r="G13" s="11">
        <v>155.99</v>
      </c>
      <c r="H13" s="9" t="s">
        <v>19</v>
      </c>
      <c r="I13" s="9" t="s">
        <v>14</v>
      </c>
      <c r="J13" s="9" t="s">
        <v>18</v>
      </c>
      <c r="K13" s="13" t="s">
        <v>32</v>
      </c>
    </row>
    <row r="14" spans="1:11" x14ac:dyDescent="0.3">
      <c r="A14" s="7">
        <v>36</v>
      </c>
      <c r="B14" s="8">
        <v>40849</v>
      </c>
      <c r="C14" s="7">
        <v>46</v>
      </c>
      <c r="D14" s="7">
        <f t="shared" si="0"/>
        <v>29945.54</v>
      </c>
      <c r="E14" s="9" t="s">
        <v>9</v>
      </c>
      <c r="F14" s="10">
        <f t="shared" si="1"/>
        <v>7486.3850000000002</v>
      </c>
      <c r="G14" s="11">
        <v>650.99</v>
      </c>
      <c r="H14" s="9" t="s">
        <v>20</v>
      </c>
      <c r="I14" s="9" t="s">
        <v>21</v>
      </c>
      <c r="J14" s="9" t="s">
        <v>18</v>
      </c>
      <c r="K14" s="13" t="s">
        <v>29</v>
      </c>
    </row>
    <row r="15" spans="1:11" x14ac:dyDescent="0.3">
      <c r="A15" s="7">
        <v>65</v>
      </c>
      <c r="B15" s="8">
        <v>40619</v>
      </c>
      <c r="C15" s="7">
        <v>175</v>
      </c>
      <c r="D15" s="7">
        <f t="shared" si="0"/>
        <v>20263.25</v>
      </c>
      <c r="E15" s="9" t="s">
        <v>9</v>
      </c>
      <c r="F15" s="10">
        <f t="shared" si="1"/>
        <v>5065.8125</v>
      </c>
      <c r="G15" s="11">
        <v>115.79</v>
      </c>
      <c r="H15" s="9" t="s">
        <v>22</v>
      </c>
      <c r="I15" s="9" t="s">
        <v>14</v>
      </c>
      <c r="J15" s="9" t="s">
        <v>18</v>
      </c>
      <c r="K15" s="13" t="s">
        <v>30</v>
      </c>
    </row>
    <row r="16" spans="1:11" x14ac:dyDescent="0.3">
      <c r="A16" s="7">
        <v>32</v>
      </c>
      <c r="B16" s="8">
        <v>39644</v>
      </c>
      <c r="C16" s="7">
        <v>260</v>
      </c>
      <c r="D16" s="7">
        <f t="shared" si="0"/>
        <v>27957.8</v>
      </c>
      <c r="E16" s="9" t="s">
        <v>9</v>
      </c>
      <c r="F16" s="10">
        <f t="shared" si="1"/>
        <v>6989.45</v>
      </c>
      <c r="G16" s="11">
        <v>107.53</v>
      </c>
      <c r="H16" s="9" t="s">
        <v>15</v>
      </c>
      <c r="I16" s="9" t="s">
        <v>14</v>
      </c>
      <c r="J16" s="9" t="s">
        <v>16</v>
      </c>
      <c r="K16" s="13" t="s">
        <v>31</v>
      </c>
    </row>
    <row r="17" spans="1:11" x14ac:dyDescent="0.3">
      <c r="A17" s="7">
        <v>32</v>
      </c>
      <c r="B17" s="8">
        <v>39644</v>
      </c>
      <c r="C17" s="7">
        <v>24</v>
      </c>
      <c r="D17" s="7">
        <f t="shared" si="0"/>
        <v>1701.3600000000001</v>
      </c>
      <c r="E17" s="9" t="s">
        <v>17</v>
      </c>
      <c r="F17" s="10">
        <f t="shared" si="1"/>
        <v>425.34000000000003</v>
      </c>
      <c r="G17" s="11">
        <v>70.89</v>
      </c>
      <c r="H17" s="9" t="s">
        <v>15</v>
      </c>
      <c r="I17" s="9" t="s">
        <v>14</v>
      </c>
      <c r="J17" s="9" t="s">
        <v>16</v>
      </c>
      <c r="K17" s="13" t="s">
        <v>32</v>
      </c>
    </row>
    <row r="18" spans="1:11" x14ac:dyDescent="0.3">
      <c r="A18" s="7">
        <v>32</v>
      </c>
      <c r="B18" s="8">
        <v>39644</v>
      </c>
      <c r="C18" s="7">
        <v>23</v>
      </c>
      <c r="D18" s="7">
        <f t="shared" si="0"/>
        <v>183.77</v>
      </c>
      <c r="E18" s="9" t="s">
        <v>9</v>
      </c>
      <c r="F18" s="10">
        <f t="shared" si="1"/>
        <v>45.942500000000003</v>
      </c>
      <c r="G18" s="11">
        <v>7.99</v>
      </c>
      <c r="H18" s="9" t="s">
        <v>15</v>
      </c>
      <c r="I18" s="9" t="s">
        <v>14</v>
      </c>
      <c r="J18" s="9" t="s">
        <v>18</v>
      </c>
      <c r="K18" s="13" t="s">
        <v>29</v>
      </c>
    </row>
    <row r="19" spans="1:11" x14ac:dyDescent="0.3">
      <c r="A19" s="7">
        <v>32</v>
      </c>
      <c r="B19" s="8">
        <v>39644</v>
      </c>
      <c r="C19" s="7">
        <v>150</v>
      </c>
      <c r="D19" s="7">
        <f t="shared" si="0"/>
        <v>12068.999999999998</v>
      </c>
      <c r="E19" s="9" t="s">
        <v>9</v>
      </c>
      <c r="F19" s="10">
        <f t="shared" si="1"/>
        <v>3017.2499999999995</v>
      </c>
      <c r="G19" s="11">
        <v>80.459999999999994</v>
      </c>
      <c r="H19" s="9" t="s">
        <v>15</v>
      </c>
      <c r="I19" s="9" t="s">
        <v>14</v>
      </c>
      <c r="J19" s="9" t="s">
        <v>18</v>
      </c>
      <c r="K19" s="13" t="s">
        <v>30</v>
      </c>
    </row>
    <row r="20" spans="1:11" x14ac:dyDescent="0.3">
      <c r="A20" s="7">
        <v>35</v>
      </c>
      <c r="B20" s="8">
        <v>39743</v>
      </c>
      <c r="C20" s="7">
        <v>30</v>
      </c>
      <c r="D20" s="7">
        <f t="shared" si="0"/>
        <v>273.29999999999995</v>
      </c>
      <c r="E20" s="9" t="s">
        <v>9</v>
      </c>
      <c r="F20" s="10">
        <f t="shared" si="1"/>
        <v>68.324999999999989</v>
      </c>
      <c r="G20" s="11">
        <v>9.11</v>
      </c>
      <c r="H20" s="9" t="s">
        <v>19</v>
      </c>
      <c r="I20" s="9" t="s">
        <v>14</v>
      </c>
      <c r="J20" s="9" t="s">
        <v>12</v>
      </c>
      <c r="K20" s="13" t="s">
        <v>31</v>
      </c>
    </row>
    <row r="21" spans="1:11" x14ac:dyDescent="0.3">
      <c r="A21" s="7">
        <v>35</v>
      </c>
      <c r="B21" s="8">
        <v>39743</v>
      </c>
      <c r="C21" s="7">
        <v>14</v>
      </c>
      <c r="D21" s="7">
        <f t="shared" si="0"/>
        <v>2183.86</v>
      </c>
      <c r="E21" s="9" t="s">
        <v>9</v>
      </c>
      <c r="F21" s="10">
        <f t="shared" si="1"/>
        <v>545.96500000000003</v>
      </c>
      <c r="G21" s="11">
        <v>155.99</v>
      </c>
      <c r="H21" s="9" t="s">
        <v>19</v>
      </c>
      <c r="I21" s="9" t="s">
        <v>14</v>
      </c>
      <c r="J21" s="9" t="s">
        <v>18</v>
      </c>
      <c r="K21" s="13" t="s">
        <v>32</v>
      </c>
    </row>
    <row r="22" spans="1:11" x14ac:dyDescent="0.3">
      <c r="A22" s="7">
        <v>36</v>
      </c>
      <c r="B22" s="8">
        <v>39743</v>
      </c>
      <c r="C22" s="7">
        <v>46</v>
      </c>
      <c r="D22" s="7">
        <f t="shared" si="0"/>
        <v>3035.54</v>
      </c>
      <c r="E22" s="9" t="s">
        <v>9</v>
      </c>
      <c r="F22" s="10">
        <f t="shared" si="1"/>
        <v>758.88499999999999</v>
      </c>
      <c r="G22" s="11">
        <v>65.989999999999995</v>
      </c>
      <c r="H22" s="9" t="s">
        <v>20</v>
      </c>
      <c r="I22" s="9" t="s">
        <v>21</v>
      </c>
      <c r="J22" s="9" t="s">
        <v>18</v>
      </c>
      <c r="K22" s="13" t="s">
        <v>29</v>
      </c>
    </row>
    <row r="23" spans="1:11" x14ac:dyDescent="0.3">
      <c r="A23" s="7">
        <v>65</v>
      </c>
      <c r="B23" s="8">
        <v>39743</v>
      </c>
      <c r="C23" s="7">
        <v>32</v>
      </c>
      <c r="D23" s="7">
        <f t="shared" si="0"/>
        <v>3705.28</v>
      </c>
      <c r="E23" s="9" t="s">
        <v>9</v>
      </c>
      <c r="F23" s="10">
        <f t="shared" si="1"/>
        <v>926.32</v>
      </c>
      <c r="G23" s="11">
        <v>115.79</v>
      </c>
      <c r="H23" s="9" t="s">
        <v>22</v>
      </c>
      <c r="I23" s="9" t="s">
        <v>14</v>
      </c>
      <c r="J23" s="9" t="s">
        <v>18</v>
      </c>
      <c r="K23" s="13" t="s">
        <v>30</v>
      </c>
    </row>
    <row r="24" spans="1:11" x14ac:dyDescent="0.3">
      <c r="A24" s="7">
        <v>66</v>
      </c>
      <c r="B24" s="8">
        <v>39832</v>
      </c>
      <c r="C24" s="7">
        <v>41</v>
      </c>
      <c r="D24" s="7">
        <f t="shared" si="0"/>
        <v>118.08</v>
      </c>
      <c r="E24" s="9" t="s">
        <v>9</v>
      </c>
      <c r="F24" s="10">
        <f t="shared" si="1"/>
        <v>29.52</v>
      </c>
      <c r="G24" s="11">
        <v>2.88</v>
      </c>
      <c r="H24" s="9" t="s">
        <v>23</v>
      </c>
      <c r="I24" s="9" t="s">
        <v>24</v>
      </c>
      <c r="J24" s="9" t="s">
        <v>12</v>
      </c>
      <c r="K24" s="13" t="s">
        <v>31</v>
      </c>
    </row>
    <row r="25" spans="1:11" x14ac:dyDescent="0.3">
      <c r="A25" s="7">
        <v>69</v>
      </c>
      <c r="B25" s="8">
        <v>39967</v>
      </c>
      <c r="C25" s="7">
        <v>42</v>
      </c>
      <c r="D25" s="7">
        <f t="shared" si="0"/>
        <v>1299.06</v>
      </c>
      <c r="E25" s="9" t="s">
        <v>9</v>
      </c>
      <c r="F25" s="10">
        <f t="shared" si="1"/>
        <v>324.76499999999999</v>
      </c>
      <c r="G25" s="11">
        <v>30.93</v>
      </c>
      <c r="H25" s="9" t="s">
        <v>25</v>
      </c>
      <c r="I25" s="9" t="s">
        <v>14</v>
      </c>
      <c r="J25" s="9" t="s">
        <v>16</v>
      </c>
      <c r="K25" s="13" t="s">
        <v>32</v>
      </c>
    </row>
    <row r="26" spans="1:11" x14ac:dyDescent="0.3">
      <c r="A26" s="7">
        <v>69</v>
      </c>
      <c r="B26" s="8">
        <v>39967</v>
      </c>
      <c r="C26" s="7">
        <v>28</v>
      </c>
      <c r="D26" s="7">
        <f t="shared" si="0"/>
        <v>4704</v>
      </c>
      <c r="E26" s="9" t="s">
        <v>26</v>
      </c>
      <c r="F26" s="10">
        <f t="shared" si="1"/>
        <v>1176</v>
      </c>
      <c r="G26" s="11">
        <v>168</v>
      </c>
      <c r="H26" s="9" t="s">
        <v>25</v>
      </c>
      <c r="I26" s="9" t="s">
        <v>14</v>
      </c>
      <c r="J26" s="9" t="s">
        <v>12</v>
      </c>
      <c r="K26" s="13" t="s">
        <v>29</v>
      </c>
    </row>
    <row r="27" spans="1:11" x14ac:dyDescent="0.3">
      <c r="A27" s="7">
        <v>70</v>
      </c>
      <c r="B27" s="8">
        <v>40529</v>
      </c>
      <c r="C27" s="7">
        <v>48</v>
      </c>
      <c r="D27" s="7">
        <f t="shared" si="0"/>
        <v>8928</v>
      </c>
      <c r="E27" s="9" t="s">
        <v>9</v>
      </c>
      <c r="F27" s="10">
        <f t="shared" si="1"/>
        <v>2232</v>
      </c>
      <c r="G27" s="11">
        <v>186</v>
      </c>
      <c r="H27" s="9" t="s">
        <v>27</v>
      </c>
      <c r="I27" s="9" t="s">
        <v>21</v>
      </c>
      <c r="J27" s="9" t="s">
        <v>12</v>
      </c>
      <c r="K27" s="13" t="s">
        <v>30</v>
      </c>
    </row>
    <row r="28" spans="1:11" x14ac:dyDescent="0.3">
      <c r="A28" s="7">
        <v>70</v>
      </c>
      <c r="B28" s="8">
        <v>40529</v>
      </c>
      <c r="C28" s="7">
        <v>46</v>
      </c>
      <c r="D28" s="7">
        <f t="shared" si="0"/>
        <v>9475.5400000000009</v>
      </c>
      <c r="E28" s="9" t="s">
        <v>9</v>
      </c>
      <c r="F28" s="10">
        <f t="shared" si="1"/>
        <v>2368.8850000000002</v>
      </c>
      <c r="G28" s="11">
        <v>205.99</v>
      </c>
      <c r="H28" s="9" t="s">
        <v>27</v>
      </c>
      <c r="I28" s="9" t="s">
        <v>21</v>
      </c>
      <c r="J28" s="9" t="s">
        <v>18</v>
      </c>
      <c r="K28" s="13" t="s">
        <v>31</v>
      </c>
    </row>
    <row r="29" spans="1:11" x14ac:dyDescent="0.3">
      <c r="A29" s="7">
        <v>3</v>
      </c>
      <c r="B29" s="8">
        <v>40464</v>
      </c>
      <c r="C29" s="7">
        <v>25</v>
      </c>
      <c r="D29" s="7">
        <f>C29*G29</f>
        <v>973.5</v>
      </c>
      <c r="E29" s="9" t="s">
        <v>9</v>
      </c>
      <c r="F29" s="10">
        <f>D29*25%</f>
        <v>243.375</v>
      </c>
      <c r="G29" s="11">
        <v>38.94</v>
      </c>
      <c r="H29" s="9" t="s">
        <v>10</v>
      </c>
      <c r="I29" s="9" t="s">
        <v>11</v>
      </c>
      <c r="J29" s="9" t="s">
        <v>12</v>
      </c>
      <c r="K29" s="13" t="s">
        <v>29</v>
      </c>
    </row>
    <row r="30" spans="1:11" x14ac:dyDescent="0.3">
      <c r="A30" s="7">
        <v>6</v>
      </c>
      <c r="B30" s="8">
        <v>40959</v>
      </c>
      <c r="C30" s="7">
        <v>150</v>
      </c>
      <c r="D30" s="7">
        <f t="shared" ref="D30:D51" si="2">C30*G30</f>
        <v>3761.9999999999995</v>
      </c>
      <c r="E30" s="9" t="s">
        <v>9</v>
      </c>
      <c r="F30" s="10">
        <f t="shared" ref="F30:F51" si="3">D30*25%</f>
        <v>940.49999999999989</v>
      </c>
      <c r="G30" s="11">
        <v>25.08</v>
      </c>
      <c r="H30" s="9" t="s">
        <v>13</v>
      </c>
      <c r="I30" s="9" t="s">
        <v>14</v>
      </c>
      <c r="J30" s="9" t="s">
        <v>12</v>
      </c>
      <c r="K30" s="13" t="s">
        <v>30</v>
      </c>
    </row>
    <row r="31" spans="1:11" x14ac:dyDescent="0.3">
      <c r="A31" s="7">
        <v>32</v>
      </c>
      <c r="B31" s="8">
        <v>40739</v>
      </c>
      <c r="C31" s="7">
        <v>200</v>
      </c>
      <c r="D31" s="7">
        <f t="shared" si="2"/>
        <v>21506</v>
      </c>
      <c r="E31" s="9" t="s">
        <v>9</v>
      </c>
      <c r="F31" s="10">
        <f t="shared" si="3"/>
        <v>5376.5</v>
      </c>
      <c r="G31" s="11">
        <v>107.53</v>
      </c>
      <c r="H31" s="9" t="s">
        <v>15</v>
      </c>
      <c r="I31" s="9" t="s">
        <v>14</v>
      </c>
      <c r="J31" s="9" t="s">
        <v>16</v>
      </c>
      <c r="K31" s="13" t="s">
        <v>31</v>
      </c>
    </row>
    <row r="32" spans="1:11" x14ac:dyDescent="0.3">
      <c r="A32" s="7">
        <v>32</v>
      </c>
      <c r="B32" s="8">
        <v>40739</v>
      </c>
      <c r="C32" s="7">
        <v>350</v>
      </c>
      <c r="D32" s="7">
        <f t="shared" si="2"/>
        <v>24811.5</v>
      </c>
      <c r="E32" s="9" t="s">
        <v>17</v>
      </c>
      <c r="F32" s="10">
        <f t="shared" si="3"/>
        <v>6202.875</v>
      </c>
      <c r="G32" s="11">
        <v>70.89</v>
      </c>
      <c r="H32" s="9" t="s">
        <v>15</v>
      </c>
      <c r="I32" s="9" t="s">
        <v>14</v>
      </c>
      <c r="J32" s="9" t="s">
        <v>16</v>
      </c>
      <c r="K32" s="13" t="s">
        <v>32</v>
      </c>
    </row>
    <row r="33" spans="1:11" x14ac:dyDescent="0.3">
      <c r="A33" s="7">
        <v>32</v>
      </c>
      <c r="B33" s="8">
        <v>40739</v>
      </c>
      <c r="C33" s="7">
        <v>500</v>
      </c>
      <c r="D33" s="7">
        <f t="shared" si="2"/>
        <v>3995</v>
      </c>
      <c r="E33" s="9" t="s">
        <v>9</v>
      </c>
      <c r="F33" s="10">
        <f t="shared" si="3"/>
        <v>998.75</v>
      </c>
      <c r="G33" s="11">
        <v>7.99</v>
      </c>
      <c r="H33" s="9" t="s">
        <v>15</v>
      </c>
      <c r="I33" s="9" t="s">
        <v>14</v>
      </c>
      <c r="J33" s="9" t="s">
        <v>18</v>
      </c>
      <c r="K33" s="13" t="s">
        <v>29</v>
      </c>
    </row>
    <row r="34" spans="1:11" x14ac:dyDescent="0.3">
      <c r="A34" s="7">
        <v>32</v>
      </c>
      <c r="B34" s="8">
        <v>40739</v>
      </c>
      <c r="C34" s="7">
        <v>650</v>
      </c>
      <c r="D34" s="7">
        <f t="shared" si="2"/>
        <v>5499.0000000000009</v>
      </c>
      <c r="E34" s="9" t="s">
        <v>9</v>
      </c>
      <c r="F34" s="10">
        <f t="shared" si="3"/>
        <v>1374.7500000000002</v>
      </c>
      <c r="G34" s="11">
        <v>8.4600000000000009</v>
      </c>
      <c r="H34" s="9" t="s">
        <v>15</v>
      </c>
      <c r="I34" s="9" t="s">
        <v>14</v>
      </c>
      <c r="J34" s="9" t="s">
        <v>18</v>
      </c>
      <c r="K34" s="13" t="s">
        <v>30</v>
      </c>
    </row>
    <row r="35" spans="1:11" x14ac:dyDescent="0.3">
      <c r="A35" s="7">
        <v>35</v>
      </c>
      <c r="B35" s="8">
        <v>40838</v>
      </c>
      <c r="C35" s="7">
        <v>800</v>
      </c>
      <c r="D35" s="7">
        <f t="shared" si="2"/>
        <v>7288</v>
      </c>
      <c r="E35" s="9" t="s">
        <v>9</v>
      </c>
      <c r="F35" s="10">
        <f t="shared" si="3"/>
        <v>1822</v>
      </c>
      <c r="G35" s="11">
        <v>9.11</v>
      </c>
      <c r="H35" s="9" t="s">
        <v>19</v>
      </c>
      <c r="I35" s="9" t="s">
        <v>14</v>
      </c>
      <c r="J35" s="9" t="s">
        <v>12</v>
      </c>
      <c r="K35" s="13" t="s">
        <v>31</v>
      </c>
    </row>
    <row r="36" spans="1:11" x14ac:dyDescent="0.3">
      <c r="A36" s="7">
        <v>35</v>
      </c>
      <c r="B36" s="8">
        <v>40838</v>
      </c>
      <c r="C36" s="7">
        <v>25</v>
      </c>
      <c r="D36" s="7">
        <f t="shared" si="2"/>
        <v>3899.75</v>
      </c>
      <c r="E36" s="9" t="s">
        <v>9</v>
      </c>
      <c r="F36" s="10">
        <f t="shared" si="3"/>
        <v>974.9375</v>
      </c>
      <c r="G36" s="11">
        <v>155.99</v>
      </c>
      <c r="H36" s="9" t="s">
        <v>19</v>
      </c>
      <c r="I36" s="9" t="s">
        <v>14</v>
      </c>
      <c r="J36" s="9" t="s">
        <v>18</v>
      </c>
      <c r="K36" s="13" t="s">
        <v>32</v>
      </c>
    </row>
    <row r="37" spans="1:11" x14ac:dyDescent="0.3">
      <c r="A37" s="7">
        <v>36</v>
      </c>
      <c r="B37" s="8">
        <v>40849</v>
      </c>
      <c r="C37" s="7">
        <v>46</v>
      </c>
      <c r="D37" s="7">
        <f t="shared" si="2"/>
        <v>29945.54</v>
      </c>
      <c r="E37" s="9" t="s">
        <v>9</v>
      </c>
      <c r="F37" s="10">
        <f t="shared" si="3"/>
        <v>7486.3850000000002</v>
      </c>
      <c r="G37" s="11">
        <v>650.99</v>
      </c>
      <c r="H37" s="9" t="s">
        <v>20</v>
      </c>
      <c r="I37" s="9" t="s">
        <v>21</v>
      </c>
      <c r="J37" s="9" t="s">
        <v>18</v>
      </c>
      <c r="K37" s="13" t="s">
        <v>29</v>
      </c>
    </row>
    <row r="38" spans="1:11" x14ac:dyDescent="0.3">
      <c r="A38" s="7">
        <v>65</v>
      </c>
      <c r="B38" s="8">
        <v>40619</v>
      </c>
      <c r="C38" s="7">
        <v>175</v>
      </c>
      <c r="D38" s="7">
        <f t="shared" si="2"/>
        <v>20263.25</v>
      </c>
      <c r="E38" s="9" t="s">
        <v>9</v>
      </c>
      <c r="F38" s="10">
        <f t="shared" si="3"/>
        <v>5065.8125</v>
      </c>
      <c r="G38" s="11">
        <v>115.79</v>
      </c>
      <c r="H38" s="9" t="s">
        <v>22</v>
      </c>
      <c r="I38" s="9" t="s">
        <v>14</v>
      </c>
      <c r="J38" s="9" t="s">
        <v>18</v>
      </c>
      <c r="K38" s="13" t="s">
        <v>30</v>
      </c>
    </row>
    <row r="39" spans="1:11" x14ac:dyDescent="0.3">
      <c r="A39" s="7">
        <v>32</v>
      </c>
      <c r="B39" s="8">
        <v>39644</v>
      </c>
      <c r="C39" s="7">
        <v>260</v>
      </c>
      <c r="D39" s="7">
        <f t="shared" si="2"/>
        <v>27957.8</v>
      </c>
      <c r="E39" s="9" t="s">
        <v>9</v>
      </c>
      <c r="F39" s="10">
        <f t="shared" si="3"/>
        <v>6989.45</v>
      </c>
      <c r="G39" s="11">
        <v>107.53</v>
      </c>
      <c r="H39" s="9" t="s">
        <v>15</v>
      </c>
      <c r="I39" s="9" t="s">
        <v>14</v>
      </c>
      <c r="J39" s="9" t="s">
        <v>16</v>
      </c>
      <c r="K39" s="13" t="s">
        <v>31</v>
      </c>
    </row>
    <row r="40" spans="1:11" x14ac:dyDescent="0.3">
      <c r="A40" s="7">
        <v>32</v>
      </c>
      <c r="B40" s="8">
        <v>39644</v>
      </c>
      <c r="C40" s="7">
        <v>24</v>
      </c>
      <c r="D40" s="7">
        <f t="shared" si="2"/>
        <v>1701.3600000000001</v>
      </c>
      <c r="E40" s="9" t="s">
        <v>17</v>
      </c>
      <c r="F40" s="10">
        <f t="shared" si="3"/>
        <v>425.34000000000003</v>
      </c>
      <c r="G40" s="11">
        <v>70.89</v>
      </c>
      <c r="H40" s="9" t="s">
        <v>15</v>
      </c>
      <c r="I40" s="9" t="s">
        <v>14</v>
      </c>
      <c r="J40" s="9" t="s">
        <v>16</v>
      </c>
      <c r="K40" s="13" t="s">
        <v>32</v>
      </c>
    </row>
    <row r="41" spans="1:11" x14ac:dyDescent="0.3">
      <c r="A41" s="7">
        <v>32</v>
      </c>
      <c r="B41" s="8">
        <v>39644</v>
      </c>
      <c r="C41" s="7">
        <v>23</v>
      </c>
      <c r="D41" s="7">
        <f t="shared" si="2"/>
        <v>183.77</v>
      </c>
      <c r="E41" s="9" t="s">
        <v>9</v>
      </c>
      <c r="F41" s="10">
        <f t="shared" si="3"/>
        <v>45.942500000000003</v>
      </c>
      <c r="G41" s="11">
        <v>7.99</v>
      </c>
      <c r="H41" s="9" t="s">
        <v>15</v>
      </c>
      <c r="I41" s="9" t="s">
        <v>14</v>
      </c>
      <c r="J41" s="9" t="s">
        <v>18</v>
      </c>
      <c r="K41" s="13" t="s">
        <v>29</v>
      </c>
    </row>
    <row r="42" spans="1:11" x14ac:dyDescent="0.3">
      <c r="A42" s="7">
        <v>32</v>
      </c>
      <c r="B42" s="8">
        <v>39644</v>
      </c>
      <c r="C42" s="7">
        <v>150</v>
      </c>
      <c r="D42" s="7">
        <f t="shared" si="2"/>
        <v>12068.999999999998</v>
      </c>
      <c r="E42" s="9" t="s">
        <v>9</v>
      </c>
      <c r="F42" s="10">
        <f t="shared" si="3"/>
        <v>3017.2499999999995</v>
      </c>
      <c r="G42" s="11">
        <v>80.459999999999994</v>
      </c>
      <c r="H42" s="9" t="s">
        <v>15</v>
      </c>
      <c r="I42" s="9" t="s">
        <v>14</v>
      </c>
      <c r="J42" s="9" t="s">
        <v>18</v>
      </c>
      <c r="K42" s="13" t="s">
        <v>30</v>
      </c>
    </row>
    <row r="43" spans="1:11" x14ac:dyDescent="0.3">
      <c r="A43" s="7">
        <v>35</v>
      </c>
      <c r="B43" s="8">
        <v>39743</v>
      </c>
      <c r="C43" s="7">
        <v>30</v>
      </c>
      <c r="D43" s="7">
        <f t="shared" si="2"/>
        <v>273.29999999999995</v>
      </c>
      <c r="E43" s="9" t="s">
        <v>9</v>
      </c>
      <c r="F43" s="10">
        <f t="shared" si="3"/>
        <v>68.324999999999989</v>
      </c>
      <c r="G43" s="11">
        <v>9.11</v>
      </c>
      <c r="H43" s="9" t="s">
        <v>19</v>
      </c>
      <c r="I43" s="9" t="s">
        <v>14</v>
      </c>
      <c r="J43" s="9" t="s">
        <v>12</v>
      </c>
      <c r="K43" s="13" t="s">
        <v>31</v>
      </c>
    </row>
    <row r="44" spans="1:11" x14ac:dyDescent="0.3">
      <c r="A44" s="7">
        <v>35</v>
      </c>
      <c r="B44" s="8">
        <v>39743</v>
      </c>
      <c r="C44" s="7">
        <v>14</v>
      </c>
      <c r="D44" s="7">
        <f t="shared" si="2"/>
        <v>2183.86</v>
      </c>
      <c r="E44" s="9" t="s">
        <v>9</v>
      </c>
      <c r="F44" s="10">
        <f t="shared" si="3"/>
        <v>545.96500000000003</v>
      </c>
      <c r="G44" s="11">
        <v>155.99</v>
      </c>
      <c r="H44" s="9" t="s">
        <v>19</v>
      </c>
      <c r="I44" s="9" t="s">
        <v>14</v>
      </c>
      <c r="J44" s="9" t="s">
        <v>18</v>
      </c>
      <c r="K44" s="13" t="s">
        <v>32</v>
      </c>
    </row>
    <row r="45" spans="1:11" x14ac:dyDescent="0.3">
      <c r="A45" s="7">
        <v>36</v>
      </c>
      <c r="B45" s="8">
        <v>39743</v>
      </c>
      <c r="C45" s="7">
        <v>46</v>
      </c>
      <c r="D45" s="7">
        <f t="shared" si="2"/>
        <v>3035.54</v>
      </c>
      <c r="E45" s="9" t="s">
        <v>9</v>
      </c>
      <c r="F45" s="10">
        <f t="shared" si="3"/>
        <v>758.88499999999999</v>
      </c>
      <c r="G45" s="11">
        <v>65.989999999999995</v>
      </c>
      <c r="H45" s="9" t="s">
        <v>20</v>
      </c>
      <c r="I45" s="9" t="s">
        <v>21</v>
      </c>
      <c r="J45" s="9" t="s">
        <v>18</v>
      </c>
      <c r="K45" s="13" t="s">
        <v>29</v>
      </c>
    </row>
    <row r="46" spans="1:11" x14ac:dyDescent="0.3">
      <c r="A46" s="7">
        <v>65</v>
      </c>
      <c r="B46" s="8">
        <v>39743</v>
      </c>
      <c r="C46" s="7">
        <v>32</v>
      </c>
      <c r="D46" s="7">
        <f t="shared" si="2"/>
        <v>3705.28</v>
      </c>
      <c r="E46" s="9" t="s">
        <v>9</v>
      </c>
      <c r="F46" s="10">
        <f t="shared" si="3"/>
        <v>926.32</v>
      </c>
      <c r="G46" s="11">
        <v>115.79</v>
      </c>
      <c r="H46" s="9" t="s">
        <v>22</v>
      </c>
      <c r="I46" s="9" t="s">
        <v>14</v>
      </c>
      <c r="J46" s="9" t="s">
        <v>18</v>
      </c>
      <c r="K46" s="13" t="s">
        <v>30</v>
      </c>
    </row>
    <row r="47" spans="1:11" x14ac:dyDescent="0.3">
      <c r="A47" s="7">
        <v>66</v>
      </c>
      <c r="B47" s="8">
        <v>39832</v>
      </c>
      <c r="C47" s="7">
        <v>41</v>
      </c>
      <c r="D47" s="7">
        <f t="shared" si="2"/>
        <v>118.08</v>
      </c>
      <c r="E47" s="9" t="s">
        <v>9</v>
      </c>
      <c r="F47" s="10">
        <f t="shared" si="3"/>
        <v>29.52</v>
      </c>
      <c r="G47" s="11">
        <v>2.88</v>
      </c>
      <c r="H47" s="9" t="s">
        <v>23</v>
      </c>
      <c r="I47" s="9" t="s">
        <v>24</v>
      </c>
      <c r="J47" s="9" t="s">
        <v>12</v>
      </c>
      <c r="K47" s="13" t="s">
        <v>31</v>
      </c>
    </row>
    <row r="48" spans="1:11" x14ac:dyDescent="0.3">
      <c r="A48" s="7">
        <v>69</v>
      </c>
      <c r="B48" s="8">
        <v>39967</v>
      </c>
      <c r="C48" s="7">
        <v>42</v>
      </c>
      <c r="D48" s="7">
        <f t="shared" si="2"/>
        <v>1299.06</v>
      </c>
      <c r="E48" s="9" t="s">
        <v>9</v>
      </c>
      <c r="F48" s="10">
        <f t="shared" si="3"/>
        <v>324.76499999999999</v>
      </c>
      <c r="G48" s="11">
        <v>30.93</v>
      </c>
      <c r="H48" s="9" t="s">
        <v>25</v>
      </c>
      <c r="I48" s="9" t="s">
        <v>14</v>
      </c>
      <c r="J48" s="9" t="s">
        <v>16</v>
      </c>
      <c r="K48" s="13" t="s">
        <v>32</v>
      </c>
    </row>
    <row r="49" spans="1:11" x14ac:dyDescent="0.3">
      <c r="A49" s="7">
        <v>69</v>
      </c>
      <c r="B49" s="8">
        <v>39967</v>
      </c>
      <c r="C49" s="7">
        <v>28</v>
      </c>
      <c r="D49" s="7">
        <f t="shared" si="2"/>
        <v>4704</v>
      </c>
      <c r="E49" s="9" t="s">
        <v>26</v>
      </c>
      <c r="F49" s="10">
        <f t="shared" si="3"/>
        <v>1176</v>
      </c>
      <c r="G49" s="11">
        <v>168</v>
      </c>
      <c r="H49" s="9" t="s">
        <v>25</v>
      </c>
      <c r="I49" s="9" t="s">
        <v>14</v>
      </c>
      <c r="J49" s="9" t="s">
        <v>12</v>
      </c>
      <c r="K49" s="13" t="s">
        <v>29</v>
      </c>
    </row>
    <row r="50" spans="1:11" x14ac:dyDescent="0.3">
      <c r="A50" s="7">
        <v>70</v>
      </c>
      <c r="B50" s="8">
        <v>40529</v>
      </c>
      <c r="C50" s="7">
        <v>48</v>
      </c>
      <c r="D50" s="7">
        <f t="shared" si="2"/>
        <v>8928</v>
      </c>
      <c r="E50" s="9" t="s">
        <v>9</v>
      </c>
      <c r="F50" s="10">
        <f t="shared" si="3"/>
        <v>2232</v>
      </c>
      <c r="G50" s="11">
        <v>186</v>
      </c>
      <c r="H50" s="9" t="s">
        <v>27</v>
      </c>
      <c r="I50" s="9" t="s">
        <v>21</v>
      </c>
      <c r="J50" s="9" t="s">
        <v>12</v>
      </c>
      <c r="K50" s="13" t="s">
        <v>30</v>
      </c>
    </row>
    <row r="51" spans="1:11" x14ac:dyDescent="0.3">
      <c r="A51" s="7">
        <v>70</v>
      </c>
      <c r="B51" s="8">
        <v>40529</v>
      </c>
      <c r="C51" s="7">
        <v>46</v>
      </c>
      <c r="D51" s="7">
        <f t="shared" si="2"/>
        <v>9475.5400000000009</v>
      </c>
      <c r="E51" s="9" t="s">
        <v>9</v>
      </c>
      <c r="F51" s="10">
        <f t="shared" si="3"/>
        <v>2368.8850000000002</v>
      </c>
      <c r="G51" s="11">
        <v>205.99</v>
      </c>
      <c r="H51" s="9" t="s">
        <v>27</v>
      </c>
      <c r="I51" s="9" t="s">
        <v>21</v>
      </c>
      <c r="J51" s="9" t="s">
        <v>18</v>
      </c>
      <c r="K51" s="13" t="s">
        <v>31</v>
      </c>
    </row>
    <row r="52" spans="1:11" x14ac:dyDescent="0.3">
      <c r="A52" s="7">
        <v>3</v>
      </c>
      <c r="B52" s="8">
        <v>40464</v>
      </c>
      <c r="C52" s="7">
        <v>25</v>
      </c>
      <c r="D52" s="7">
        <f>C52*G52</f>
        <v>973.5</v>
      </c>
      <c r="E52" s="9" t="s">
        <v>9</v>
      </c>
      <c r="F52" s="10">
        <f>D52*25%</f>
        <v>243.375</v>
      </c>
      <c r="G52" s="11">
        <v>38.94</v>
      </c>
      <c r="H52" s="9" t="s">
        <v>10</v>
      </c>
      <c r="I52" s="9" t="s">
        <v>11</v>
      </c>
      <c r="J52" s="9" t="s">
        <v>12</v>
      </c>
      <c r="K52" s="13" t="s">
        <v>29</v>
      </c>
    </row>
    <row r="53" spans="1:11" x14ac:dyDescent="0.3">
      <c r="A53" s="7">
        <v>6</v>
      </c>
      <c r="B53" s="8">
        <v>40959</v>
      </c>
      <c r="C53" s="7">
        <v>150</v>
      </c>
      <c r="D53" s="7">
        <f t="shared" ref="D53:D74" si="4">C53*G53</f>
        <v>3761.9999999999995</v>
      </c>
      <c r="E53" s="9" t="s">
        <v>9</v>
      </c>
      <c r="F53" s="10">
        <f t="shared" ref="F53:F74" si="5">D53*25%</f>
        <v>940.49999999999989</v>
      </c>
      <c r="G53" s="11">
        <v>25.08</v>
      </c>
      <c r="H53" s="9" t="s">
        <v>13</v>
      </c>
      <c r="I53" s="9" t="s">
        <v>14</v>
      </c>
      <c r="J53" s="9" t="s">
        <v>12</v>
      </c>
      <c r="K53" s="13" t="s">
        <v>30</v>
      </c>
    </row>
    <row r="54" spans="1:11" x14ac:dyDescent="0.3">
      <c r="A54" s="7">
        <v>32</v>
      </c>
      <c r="B54" s="8">
        <v>40739</v>
      </c>
      <c r="C54" s="7">
        <v>200</v>
      </c>
      <c r="D54" s="7">
        <f t="shared" si="4"/>
        <v>21506</v>
      </c>
      <c r="E54" s="9" t="s">
        <v>9</v>
      </c>
      <c r="F54" s="10">
        <f t="shared" si="5"/>
        <v>5376.5</v>
      </c>
      <c r="G54" s="11">
        <v>107.53</v>
      </c>
      <c r="H54" s="9" t="s">
        <v>15</v>
      </c>
      <c r="I54" s="9" t="s">
        <v>14</v>
      </c>
      <c r="J54" s="9" t="s">
        <v>16</v>
      </c>
      <c r="K54" s="13" t="s">
        <v>31</v>
      </c>
    </row>
    <row r="55" spans="1:11" x14ac:dyDescent="0.3">
      <c r="A55" s="7">
        <v>32</v>
      </c>
      <c r="B55" s="8">
        <v>40739</v>
      </c>
      <c r="C55" s="7">
        <v>350</v>
      </c>
      <c r="D55" s="7">
        <f t="shared" si="4"/>
        <v>24811.5</v>
      </c>
      <c r="E55" s="9" t="s">
        <v>17</v>
      </c>
      <c r="F55" s="10">
        <f t="shared" si="5"/>
        <v>6202.875</v>
      </c>
      <c r="G55" s="11">
        <v>70.89</v>
      </c>
      <c r="H55" s="9" t="s">
        <v>15</v>
      </c>
      <c r="I55" s="9" t="s">
        <v>14</v>
      </c>
      <c r="J55" s="9" t="s">
        <v>16</v>
      </c>
      <c r="K55" s="13" t="s">
        <v>32</v>
      </c>
    </row>
    <row r="56" spans="1:11" x14ac:dyDescent="0.3">
      <c r="A56" s="7">
        <v>32</v>
      </c>
      <c r="B56" s="8">
        <v>40739</v>
      </c>
      <c r="C56" s="7">
        <v>500</v>
      </c>
      <c r="D56" s="7">
        <f t="shared" si="4"/>
        <v>3995</v>
      </c>
      <c r="E56" s="9" t="s">
        <v>9</v>
      </c>
      <c r="F56" s="10">
        <f t="shared" si="5"/>
        <v>998.75</v>
      </c>
      <c r="G56" s="11">
        <v>7.99</v>
      </c>
      <c r="H56" s="9" t="s">
        <v>15</v>
      </c>
      <c r="I56" s="9" t="s">
        <v>14</v>
      </c>
      <c r="J56" s="9" t="s">
        <v>18</v>
      </c>
      <c r="K56" s="13" t="s">
        <v>29</v>
      </c>
    </row>
    <row r="57" spans="1:11" x14ac:dyDescent="0.3">
      <c r="A57" s="7">
        <v>32</v>
      </c>
      <c r="B57" s="8">
        <v>40739</v>
      </c>
      <c r="C57" s="7">
        <v>650</v>
      </c>
      <c r="D57" s="7">
        <f t="shared" si="4"/>
        <v>5499.0000000000009</v>
      </c>
      <c r="E57" s="9" t="s">
        <v>9</v>
      </c>
      <c r="F57" s="10">
        <f t="shared" si="5"/>
        <v>1374.7500000000002</v>
      </c>
      <c r="G57" s="11">
        <v>8.4600000000000009</v>
      </c>
      <c r="H57" s="9" t="s">
        <v>15</v>
      </c>
      <c r="I57" s="9" t="s">
        <v>14</v>
      </c>
      <c r="J57" s="9" t="s">
        <v>18</v>
      </c>
      <c r="K57" s="13" t="s">
        <v>30</v>
      </c>
    </row>
    <row r="58" spans="1:11" x14ac:dyDescent="0.3">
      <c r="A58" s="7">
        <v>35</v>
      </c>
      <c r="B58" s="8">
        <v>40838</v>
      </c>
      <c r="C58" s="7">
        <v>800</v>
      </c>
      <c r="D58" s="7">
        <f t="shared" si="4"/>
        <v>7288</v>
      </c>
      <c r="E58" s="9" t="s">
        <v>9</v>
      </c>
      <c r="F58" s="10">
        <f t="shared" si="5"/>
        <v>1822</v>
      </c>
      <c r="G58" s="11">
        <v>9.11</v>
      </c>
      <c r="H58" s="9" t="s">
        <v>19</v>
      </c>
      <c r="I58" s="9" t="s">
        <v>14</v>
      </c>
      <c r="J58" s="9" t="s">
        <v>12</v>
      </c>
      <c r="K58" s="13" t="s">
        <v>31</v>
      </c>
    </row>
    <row r="59" spans="1:11" x14ac:dyDescent="0.3">
      <c r="A59" s="7">
        <v>35</v>
      </c>
      <c r="B59" s="8">
        <v>40838</v>
      </c>
      <c r="C59" s="7">
        <v>25</v>
      </c>
      <c r="D59" s="7">
        <f t="shared" si="4"/>
        <v>3899.75</v>
      </c>
      <c r="E59" s="9" t="s">
        <v>9</v>
      </c>
      <c r="F59" s="10">
        <f t="shared" si="5"/>
        <v>974.9375</v>
      </c>
      <c r="G59" s="11">
        <v>155.99</v>
      </c>
      <c r="H59" s="9" t="s">
        <v>19</v>
      </c>
      <c r="I59" s="9" t="s">
        <v>14</v>
      </c>
      <c r="J59" s="9" t="s">
        <v>18</v>
      </c>
      <c r="K59" s="13" t="s">
        <v>32</v>
      </c>
    </row>
    <row r="60" spans="1:11" x14ac:dyDescent="0.3">
      <c r="A60" s="7">
        <v>36</v>
      </c>
      <c r="B60" s="8">
        <v>40849</v>
      </c>
      <c r="C60" s="7">
        <v>46</v>
      </c>
      <c r="D60" s="7">
        <f t="shared" si="4"/>
        <v>29945.54</v>
      </c>
      <c r="E60" s="9" t="s">
        <v>9</v>
      </c>
      <c r="F60" s="10">
        <f t="shared" si="5"/>
        <v>7486.3850000000002</v>
      </c>
      <c r="G60" s="11">
        <v>650.99</v>
      </c>
      <c r="H60" s="9" t="s">
        <v>20</v>
      </c>
      <c r="I60" s="9" t="s">
        <v>21</v>
      </c>
      <c r="J60" s="9" t="s">
        <v>18</v>
      </c>
      <c r="K60" s="13" t="s">
        <v>29</v>
      </c>
    </row>
    <row r="61" spans="1:11" x14ac:dyDescent="0.3">
      <c r="A61" s="7">
        <v>65</v>
      </c>
      <c r="B61" s="8">
        <v>40619</v>
      </c>
      <c r="C61" s="7">
        <v>175</v>
      </c>
      <c r="D61" s="7">
        <f t="shared" si="4"/>
        <v>20263.25</v>
      </c>
      <c r="E61" s="9" t="s">
        <v>9</v>
      </c>
      <c r="F61" s="10">
        <f t="shared" si="5"/>
        <v>5065.8125</v>
      </c>
      <c r="G61" s="11">
        <v>115.79</v>
      </c>
      <c r="H61" s="9" t="s">
        <v>22</v>
      </c>
      <c r="I61" s="9" t="s">
        <v>14</v>
      </c>
      <c r="J61" s="9" t="s">
        <v>18</v>
      </c>
      <c r="K61" s="13" t="s">
        <v>30</v>
      </c>
    </row>
    <row r="62" spans="1:11" x14ac:dyDescent="0.3">
      <c r="A62" s="7">
        <v>32</v>
      </c>
      <c r="B62" s="8">
        <v>39644</v>
      </c>
      <c r="C62" s="7">
        <v>260</v>
      </c>
      <c r="D62" s="7">
        <f t="shared" si="4"/>
        <v>27957.8</v>
      </c>
      <c r="E62" s="9" t="s">
        <v>9</v>
      </c>
      <c r="F62" s="10">
        <f t="shared" si="5"/>
        <v>6989.45</v>
      </c>
      <c r="G62" s="11">
        <v>107.53</v>
      </c>
      <c r="H62" s="9" t="s">
        <v>15</v>
      </c>
      <c r="I62" s="9" t="s">
        <v>14</v>
      </c>
      <c r="J62" s="9" t="s">
        <v>16</v>
      </c>
      <c r="K62" s="13" t="s">
        <v>31</v>
      </c>
    </row>
    <row r="63" spans="1:11" x14ac:dyDescent="0.3">
      <c r="A63" s="7">
        <v>32</v>
      </c>
      <c r="B63" s="8">
        <v>39644</v>
      </c>
      <c r="C63" s="7">
        <v>24</v>
      </c>
      <c r="D63" s="7">
        <f t="shared" si="4"/>
        <v>1701.3600000000001</v>
      </c>
      <c r="E63" s="9" t="s">
        <v>17</v>
      </c>
      <c r="F63" s="10">
        <f t="shared" si="5"/>
        <v>425.34000000000003</v>
      </c>
      <c r="G63" s="11">
        <v>70.89</v>
      </c>
      <c r="H63" s="9" t="s">
        <v>15</v>
      </c>
      <c r="I63" s="9" t="s">
        <v>14</v>
      </c>
      <c r="J63" s="9" t="s">
        <v>16</v>
      </c>
      <c r="K63" s="13" t="s">
        <v>32</v>
      </c>
    </row>
    <row r="64" spans="1:11" x14ac:dyDescent="0.3">
      <c r="A64" s="7">
        <v>32</v>
      </c>
      <c r="B64" s="8">
        <v>39644</v>
      </c>
      <c r="C64" s="7">
        <v>23</v>
      </c>
      <c r="D64" s="7">
        <f t="shared" si="4"/>
        <v>183.77</v>
      </c>
      <c r="E64" s="9" t="s">
        <v>9</v>
      </c>
      <c r="F64" s="10">
        <f t="shared" si="5"/>
        <v>45.942500000000003</v>
      </c>
      <c r="G64" s="11">
        <v>7.99</v>
      </c>
      <c r="H64" s="9" t="s">
        <v>15</v>
      </c>
      <c r="I64" s="9" t="s">
        <v>14</v>
      </c>
      <c r="J64" s="9" t="s">
        <v>18</v>
      </c>
      <c r="K64" s="13" t="s">
        <v>29</v>
      </c>
    </row>
    <row r="65" spans="1:11" x14ac:dyDescent="0.3">
      <c r="A65" s="7">
        <v>32</v>
      </c>
      <c r="B65" s="8">
        <v>39644</v>
      </c>
      <c r="C65" s="7">
        <v>150</v>
      </c>
      <c r="D65" s="7">
        <f t="shared" si="4"/>
        <v>12068.999999999998</v>
      </c>
      <c r="E65" s="9" t="s">
        <v>9</v>
      </c>
      <c r="F65" s="10">
        <f t="shared" si="5"/>
        <v>3017.2499999999995</v>
      </c>
      <c r="G65" s="11">
        <v>80.459999999999994</v>
      </c>
      <c r="H65" s="9" t="s">
        <v>15</v>
      </c>
      <c r="I65" s="9" t="s">
        <v>14</v>
      </c>
      <c r="J65" s="9" t="s">
        <v>18</v>
      </c>
      <c r="K65" s="13" t="s">
        <v>30</v>
      </c>
    </row>
    <row r="66" spans="1:11" x14ac:dyDescent="0.3">
      <c r="A66" s="7">
        <v>35</v>
      </c>
      <c r="B66" s="8">
        <v>39743</v>
      </c>
      <c r="C66" s="7">
        <v>30</v>
      </c>
      <c r="D66" s="7">
        <f t="shared" si="4"/>
        <v>273.29999999999995</v>
      </c>
      <c r="E66" s="9" t="s">
        <v>9</v>
      </c>
      <c r="F66" s="10">
        <f t="shared" si="5"/>
        <v>68.324999999999989</v>
      </c>
      <c r="G66" s="11">
        <v>9.11</v>
      </c>
      <c r="H66" s="9" t="s">
        <v>19</v>
      </c>
      <c r="I66" s="9" t="s">
        <v>14</v>
      </c>
      <c r="J66" s="9" t="s">
        <v>12</v>
      </c>
      <c r="K66" s="13" t="s">
        <v>31</v>
      </c>
    </row>
    <row r="67" spans="1:11" x14ac:dyDescent="0.3">
      <c r="A67" s="7">
        <v>35</v>
      </c>
      <c r="B67" s="8">
        <v>39743</v>
      </c>
      <c r="C67" s="7">
        <v>14</v>
      </c>
      <c r="D67" s="7">
        <f t="shared" si="4"/>
        <v>2183.86</v>
      </c>
      <c r="E67" s="9" t="s">
        <v>9</v>
      </c>
      <c r="F67" s="10">
        <f t="shared" si="5"/>
        <v>545.96500000000003</v>
      </c>
      <c r="G67" s="11">
        <v>155.99</v>
      </c>
      <c r="H67" s="9" t="s">
        <v>19</v>
      </c>
      <c r="I67" s="9" t="s">
        <v>14</v>
      </c>
      <c r="J67" s="9" t="s">
        <v>18</v>
      </c>
      <c r="K67" s="13" t="s">
        <v>32</v>
      </c>
    </row>
    <row r="68" spans="1:11" x14ac:dyDescent="0.3">
      <c r="A68" s="7">
        <v>36</v>
      </c>
      <c r="B68" s="8">
        <v>39743</v>
      </c>
      <c r="C68" s="7">
        <v>46</v>
      </c>
      <c r="D68" s="7">
        <f t="shared" si="4"/>
        <v>3035.54</v>
      </c>
      <c r="E68" s="9" t="s">
        <v>9</v>
      </c>
      <c r="F68" s="10">
        <f t="shared" si="5"/>
        <v>758.88499999999999</v>
      </c>
      <c r="G68" s="11">
        <v>65.989999999999995</v>
      </c>
      <c r="H68" s="9" t="s">
        <v>20</v>
      </c>
      <c r="I68" s="9" t="s">
        <v>21</v>
      </c>
      <c r="J68" s="9" t="s">
        <v>18</v>
      </c>
      <c r="K68" s="13" t="s">
        <v>29</v>
      </c>
    </row>
    <row r="69" spans="1:11" x14ac:dyDescent="0.3">
      <c r="A69" s="7">
        <v>65</v>
      </c>
      <c r="B69" s="8">
        <v>39743</v>
      </c>
      <c r="C69" s="7">
        <v>32</v>
      </c>
      <c r="D69" s="7">
        <f t="shared" si="4"/>
        <v>3705.28</v>
      </c>
      <c r="E69" s="9" t="s">
        <v>9</v>
      </c>
      <c r="F69" s="10">
        <f t="shared" si="5"/>
        <v>926.32</v>
      </c>
      <c r="G69" s="11">
        <v>115.79</v>
      </c>
      <c r="H69" s="9" t="s">
        <v>22</v>
      </c>
      <c r="I69" s="9" t="s">
        <v>14</v>
      </c>
      <c r="J69" s="9" t="s">
        <v>18</v>
      </c>
      <c r="K69" s="13" t="s">
        <v>30</v>
      </c>
    </row>
    <row r="70" spans="1:11" x14ac:dyDescent="0.3">
      <c r="A70" s="7">
        <v>66</v>
      </c>
      <c r="B70" s="8">
        <v>39832</v>
      </c>
      <c r="C70" s="7">
        <v>41</v>
      </c>
      <c r="D70" s="7">
        <f t="shared" si="4"/>
        <v>118.08</v>
      </c>
      <c r="E70" s="9" t="s">
        <v>9</v>
      </c>
      <c r="F70" s="10">
        <f t="shared" si="5"/>
        <v>29.52</v>
      </c>
      <c r="G70" s="11">
        <v>2.88</v>
      </c>
      <c r="H70" s="9" t="s">
        <v>23</v>
      </c>
      <c r="I70" s="9" t="s">
        <v>24</v>
      </c>
      <c r="J70" s="9" t="s">
        <v>12</v>
      </c>
      <c r="K70" s="13" t="s">
        <v>31</v>
      </c>
    </row>
    <row r="71" spans="1:11" x14ac:dyDescent="0.3">
      <c r="A71" s="7">
        <v>69</v>
      </c>
      <c r="B71" s="8">
        <v>39967</v>
      </c>
      <c r="C71" s="7">
        <v>42</v>
      </c>
      <c r="D71" s="7">
        <f t="shared" si="4"/>
        <v>1299.06</v>
      </c>
      <c r="E71" s="9" t="s">
        <v>9</v>
      </c>
      <c r="F71" s="10">
        <f t="shared" si="5"/>
        <v>324.76499999999999</v>
      </c>
      <c r="G71" s="11">
        <v>30.93</v>
      </c>
      <c r="H71" s="9" t="s">
        <v>25</v>
      </c>
      <c r="I71" s="9" t="s">
        <v>14</v>
      </c>
      <c r="J71" s="9" t="s">
        <v>16</v>
      </c>
      <c r="K71" s="13" t="s">
        <v>32</v>
      </c>
    </row>
    <row r="72" spans="1:11" x14ac:dyDescent="0.3">
      <c r="A72" s="7">
        <v>69</v>
      </c>
      <c r="B72" s="8">
        <v>39967</v>
      </c>
      <c r="C72" s="7">
        <v>28</v>
      </c>
      <c r="D72" s="7">
        <f t="shared" si="4"/>
        <v>4704</v>
      </c>
      <c r="E72" s="9" t="s">
        <v>26</v>
      </c>
      <c r="F72" s="10">
        <f t="shared" si="5"/>
        <v>1176</v>
      </c>
      <c r="G72" s="11">
        <v>168</v>
      </c>
      <c r="H72" s="9" t="s">
        <v>25</v>
      </c>
      <c r="I72" s="9" t="s">
        <v>14</v>
      </c>
      <c r="J72" s="9" t="s">
        <v>12</v>
      </c>
      <c r="K72" s="13" t="s">
        <v>29</v>
      </c>
    </row>
    <row r="73" spans="1:11" x14ac:dyDescent="0.3">
      <c r="A73" s="7">
        <v>70</v>
      </c>
      <c r="B73" s="8">
        <v>40529</v>
      </c>
      <c r="C73" s="7">
        <v>48</v>
      </c>
      <c r="D73" s="7">
        <f t="shared" si="4"/>
        <v>8928</v>
      </c>
      <c r="E73" s="9" t="s">
        <v>9</v>
      </c>
      <c r="F73" s="10">
        <f t="shared" si="5"/>
        <v>2232</v>
      </c>
      <c r="G73" s="11">
        <v>186</v>
      </c>
      <c r="H73" s="9" t="s">
        <v>27</v>
      </c>
      <c r="I73" s="9" t="s">
        <v>21</v>
      </c>
      <c r="J73" s="9" t="s">
        <v>12</v>
      </c>
      <c r="K73" s="13" t="s">
        <v>30</v>
      </c>
    </row>
    <row r="74" spans="1:11" x14ac:dyDescent="0.3">
      <c r="A74" s="7">
        <v>70</v>
      </c>
      <c r="B74" s="8">
        <v>40529</v>
      </c>
      <c r="C74" s="7">
        <v>46</v>
      </c>
      <c r="D74" s="7">
        <f t="shared" si="4"/>
        <v>9475.5400000000009</v>
      </c>
      <c r="E74" s="9" t="s">
        <v>9</v>
      </c>
      <c r="F74" s="10">
        <f t="shared" si="5"/>
        <v>2368.8850000000002</v>
      </c>
      <c r="G74" s="11">
        <v>205.99</v>
      </c>
      <c r="H74" s="9" t="s">
        <v>27</v>
      </c>
      <c r="I74" s="9" t="s">
        <v>21</v>
      </c>
      <c r="J74" s="9" t="s">
        <v>18</v>
      </c>
      <c r="K74" s="13" t="s">
        <v>31</v>
      </c>
    </row>
    <row r="75" spans="1:11" x14ac:dyDescent="0.3">
      <c r="A75" s="7">
        <v>3</v>
      </c>
      <c r="B75" s="8">
        <v>40464</v>
      </c>
      <c r="C75" s="7">
        <v>25</v>
      </c>
      <c r="D75" s="7">
        <f>C75*G75</f>
        <v>973.5</v>
      </c>
      <c r="E75" s="9" t="s">
        <v>9</v>
      </c>
      <c r="F75" s="10">
        <f>D75*25%</f>
        <v>243.375</v>
      </c>
      <c r="G75" s="11">
        <v>38.94</v>
      </c>
      <c r="H75" s="9" t="s">
        <v>10</v>
      </c>
      <c r="I75" s="9" t="s">
        <v>11</v>
      </c>
      <c r="J75" s="9" t="s">
        <v>12</v>
      </c>
      <c r="K75" s="13" t="s">
        <v>29</v>
      </c>
    </row>
    <row r="76" spans="1:11" x14ac:dyDescent="0.3">
      <c r="A76" s="7">
        <v>6</v>
      </c>
      <c r="B76" s="8">
        <v>40959</v>
      </c>
      <c r="C76" s="7">
        <v>150</v>
      </c>
      <c r="D76" s="7">
        <f t="shared" ref="D76:D97" si="6">C76*G76</f>
        <v>3761.9999999999995</v>
      </c>
      <c r="E76" s="9" t="s">
        <v>9</v>
      </c>
      <c r="F76" s="10">
        <f t="shared" ref="F76:F97" si="7">D76*25%</f>
        <v>940.49999999999989</v>
      </c>
      <c r="G76" s="11">
        <v>25.08</v>
      </c>
      <c r="H76" s="9" t="s">
        <v>13</v>
      </c>
      <c r="I76" s="9" t="s">
        <v>14</v>
      </c>
      <c r="J76" s="9" t="s">
        <v>12</v>
      </c>
      <c r="K76" s="13" t="s">
        <v>30</v>
      </c>
    </row>
    <row r="77" spans="1:11" x14ac:dyDescent="0.3">
      <c r="A77" s="7">
        <v>32</v>
      </c>
      <c r="B77" s="8">
        <v>40739</v>
      </c>
      <c r="C77" s="7">
        <v>200</v>
      </c>
      <c r="D77" s="7">
        <f t="shared" si="6"/>
        <v>21506</v>
      </c>
      <c r="E77" s="9" t="s">
        <v>9</v>
      </c>
      <c r="F77" s="10">
        <f t="shared" si="7"/>
        <v>5376.5</v>
      </c>
      <c r="G77" s="11">
        <v>107.53</v>
      </c>
      <c r="H77" s="9" t="s">
        <v>15</v>
      </c>
      <c r="I77" s="9" t="s">
        <v>14</v>
      </c>
      <c r="J77" s="9" t="s">
        <v>16</v>
      </c>
      <c r="K77" s="13" t="s">
        <v>31</v>
      </c>
    </row>
    <row r="78" spans="1:11" x14ac:dyDescent="0.3">
      <c r="A78" s="7">
        <v>32</v>
      </c>
      <c r="B78" s="8">
        <v>40739</v>
      </c>
      <c r="C78" s="7">
        <v>350</v>
      </c>
      <c r="D78" s="7">
        <f t="shared" si="6"/>
        <v>24811.5</v>
      </c>
      <c r="E78" s="9" t="s">
        <v>17</v>
      </c>
      <c r="F78" s="10">
        <f t="shared" si="7"/>
        <v>6202.875</v>
      </c>
      <c r="G78" s="11">
        <v>70.89</v>
      </c>
      <c r="H78" s="9" t="s">
        <v>15</v>
      </c>
      <c r="I78" s="9" t="s">
        <v>14</v>
      </c>
      <c r="J78" s="9" t="s">
        <v>16</v>
      </c>
      <c r="K78" s="13" t="s">
        <v>32</v>
      </c>
    </row>
    <row r="79" spans="1:11" x14ac:dyDescent="0.3">
      <c r="A79" s="7">
        <v>32</v>
      </c>
      <c r="B79" s="8">
        <v>40739</v>
      </c>
      <c r="C79" s="7">
        <v>500</v>
      </c>
      <c r="D79" s="7">
        <f t="shared" si="6"/>
        <v>3995</v>
      </c>
      <c r="E79" s="9" t="s">
        <v>9</v>
      </c>
      <c r="F79" s="10">
        <f t="shared" si="7"/>
        <v>998.75</v>
      </c>
      <c r="G79" s="11">
        <v>7.99</v>
      </c>
      <c r="H79" s="9" t="s">
        <v>15</v>
      </c>
      <c r="I79" s="9" t="s">
        <v>14</v>
      </c>
      <c r="J79" s="9" t="s">
        <v>18</v>
      </c>
      <c r="K79" s="13" t="s">
        <v>29</v>
      </c>
    </row>
    <row r="80" spans="1:11" x14ac:dyDescent="0.3">
      <c r="A80" s="7">
        <v>32</v>
      </c>
      <c r="B80" s="8">
        <v>40739</v>
      </c>
      <c r="C80" s="7">
        <v>650</v>
      </c>
      <c r="D80" s="7">
        <f t="shared" si="6"/>
        <v>5499.0000000000009</v>
      </c>
      <c r="E80" s="9" t="s">
        <v>9</v>
      </c>
      <c r="F80" s="10">
        <f t="shared" si="7"/>
        <v>1374.7500000000002</v>
      </c>
      <c r="G80" s="11">
        <v>8.4600000000000009</v>
      </c>
      <c r="H80" s="9" t="s">
        <v>15</v>
      </c>
      <c r="I80" s="9" t="s">
        <v>14</v>
      </c>
      <c r="J80" s="9" t="s">
        <v>18</v>
      </c>
      <c r="K80" s="13" t="s">
        <v>30</v>
      </c>
    </row>
    <row r="81" spans="1:11" x14ac:dyDescent="0.3">
      <c r="A81" s="7">
        <v>35</v>
      </c>
      <c r="B81" s="8">
        <v>40838</v>
      </c>
      <c r="C81" s="7">
        <v>800</v>
      </c>
      <c r="D81" s="7">
        <f t="shared" si="6"/>
        <v>7288</v>
      </c>
      <c r="E81" s="9" t="s">
        <v>9</v>
      </c>
      <c r="F81" s="10">
        <f t="shared" si="7"/>
        <v>1822</v>
      </c>
      <c r="G81" s="11">
        <v>9.11</v>
      </c>
      <c r="H81" s="9" t="s">
        <v>19</v>
      </c>
      <c r="I81" s="9" t="s">
        <v>14</v>
      </c>
      <c r="J81" s="9" t="s">
        <v>12</v>
      </c>
      <c r="K81" s="13" t="s">
        <v>31</v>
      </c>
    </row>
    <row r="82" spans="1:11" x14ac:dyDescent="0.3">
      <c r="A82" s="7">
        <v>35</v>
      </c>
      <c r="B82" s="8">
        <v>40838</v>
      </c>
      <c r="C82" s="7">
        <v>25</v>
      </c>
      <c r="D82" s="7">
        <f t="shared" si="6"/>
        <v>3899.75</v>
      </c>
      <c r="E82" s="9" t="s">
        <v>9</v>
      </c>
      <c r="F82" s="10">
        <f t="shared" si="7"/>
        <v>974.9375</v>
      </c>
      <c r="G82" s="11">
        <v>155.99</v>
      </c>
      <c r="H82" s="9" t="s">
        <v>19</v>
      </c>
      <c r="I82" s="9" t="s">
        <v>14</v>
      </c>
      <c r="J82" s="9" t="s">
        <v>18</v>
      </c>
      <c r="K82" s="13" t="s">
        <v>32</v>
      </c>
    </row>
    <row r="83" spans="1:11" x14ac:dyDescent="0.3">
      <c r="A83" s="7">
        <v>36</v>
      </c>
      <c r="B83" s="8">
        <v>40849</v>
      </c>
      <c r="C83" s="7">
        <v>46</v>
      </c>
      <c r="D83" s="7">
        <f t="shared" si="6"/>
        <v>29945.54</v>
      </c>
      <c r="E83" s="9" t="s">
        <v>9</v>
      </c>
      <c r="F83" s="10">
        <f t="shared" si="7"/>
        <v>7486.3850000000002</v>
      </c>
      <c r="G83" s="11">
        <v>650.99</v>
      </c>
      <c r="H83" s="9" t="s">
        <v>20</v>
      </c>
      <c r="I83" s="9" t="s">
        <v>21</v>
      </c>
      <c r="J83" s="9" t="s">
        <v>18</v>
      </c>
      <c r="K83" s="13" t="s">
        <v>29</v>
      </c>
    </row>
    <row r="84" spans="1:11" x14ac:dyDescent="0.3">
      <c r="A84" s="7">
        <v>65</v>
      </c>
      <c r="B84" s="8">
        <v>40619</v>
      </c>
      <c r="C84" s="7">
        <v>175</v>
      </c>
      <c r="D84" s="7">
        <f t="shared" si="6"/>
        <v>20263.25</v>
      </c>
      <c r="E84" s="9" t="s">
        <v>9</v>
      </c>
      <c r="F84" s="10">
        <f t="shared" si="7"/>
        <v>5065.8125</v>
      </c>
      <c r="G84" s="11">
        <v>115.79</v>
      </c>
      <c r="H84" s="9" t="s">
        <v>22</v>
      </c>
      <c r="I84" s="9" t="s">
        <v>14</v>
      </c>
      <c r="J84" s="9" t="s">
        <v>18</v>
      </c>
      <c r="K84" s="13" t="s">
        <v>30</v>
      </c>
    </row>
    <row r="85" spans="1:11" x14ac:dyDescent="0.3">
      <c r="A85" s="7">
        <v>32</v>
      </c>
      <c r="B85" s="8">
        <v>39644</v>
      </c>
      <c r="C85" s="7">
        <v>260</v>
      </c>
      <c r="D85" s="7">
        <f t="shared" si="6"/>
        <v>27957.8</v>
      </c>
      <c r="E85" s="9" t="s">
        <v>9</v>
      </c>
      <c r="F85" s="10">
        <f t="shared" si="7"/>
        <v>6989.45</v>
      </c>
      <c r="G85" s="11">
        <v>107.53</v>
      </c>
      <c r="H85" s="9" t="s">
        <v>15</v>
      </c>
      <c r="I85" s="9" t="s">
        <v>14</v>
      </c>
      <c r="J85" s="9" t="s">
        <v>16</v>
      </c>
      <c r="K85" s="13" t="s">
        <v>31</v>
      </c>
    </row>
    <row r="86" spans="1:11" x14ac:dyDescent="0.3">
      <c r="A86" s="7">
        <v>32</v>
      </c>
      <c r="B86" s="8">
        <v>39644</v>
      </c>
      <c r="C86" s="7">
        <v>24</v>
      </c>
      <c r="D86" s="7">
        <f t="shared" si="6"/>
        <v>1701.3600000000001</v>
      </c>
      <c r="E86" s="9" t="s">
        <v>17</v>
      </c>
      <c r="F86" s="10">
        <f t="shared" si="7"/>
        <v>425.34000000000003</v>
      </c>
      <c r="G86" s="11">
        <v>70.89</v>
      </c>
      <c r="H86" s="9" t="s">
        <v>15</v>
      </c>
      <c r="I86" s="9" t="s">
        <v>14</v>
      </c>
      <c r="J86" s="9" t="s">
        <v>16</v>
      </c>
      <c r="K86" s="13" t="s">
        <v>32</v>
      </c>
    </row>
    <row r="87" spans="1:11" x14ac:dyDescent="0.3">
      <c r="A87" s="7">
        <v>32</v>
      </c>
      <c r="B87" s="8">
        <v>39644</v>
      </c>
      <c r="C87" s="7">
        <v>23</v>
      </c>
      <c r="D87" s="7">
        <f t="shared" si="6"/>
        <v>183.77</v>
      </c>
      <c r="E87" s="9" t="s">
        <v>9</v>
      </c>
      <c r="F87" s="10">
        <f t="shared" si="7"/>
        <v>45.942500000000003</v>
      </c>
      <c r="G87" s="11">
        <v>7.99</v>
      </c>
      <c r="H87" s="9" t="s">
        <v>15</v>
      </c>
      <c r="I87" s="9" t="s">
        <v>14</v>
      </c>
      <c r="J87" s="9" t="s">
        <v>18</v>
      </c>
      <c r="K87" s="13" t="s">
        <v>29</v>
      </c>
    </row>
    <row r="88" spans="1:11" x14ac:dyDescent="0.3">
      <c r="A88" s="7">
        <v>32</v>
      </c>
      <c r="B88" s="8">
        <v>39644</v>
      </c>
      <c r="C88" s="7">
        <v>150</v>
      </c>
      <c r="D88" s="7">
        <f t="shared" si="6"/>
        <v>12068.999999999998</v>
      </c>
      <c r="E88" s="9" t="s">
        <v>9</v>
      </c>
      <c r="F88" s="10">
        <f t="shared" si="7"/>
        <v>3017.2499999999995</v>
      </c>
      <c r="G88" s="11">
        <v>80.459999999999994</v>
      </c>
      <c r="H88" s="9" t="s">
        <v>15</v>
      </c>
      <c r="I88" s="9" t="s">
        <v>14</v>
      </c>
      <c r="J88" s="9" t="s">
        <v>18</v>
      </c>
      <c r="K88" s="13" t="s">
        <v>30</v>
      </c>
    </row>
    <row r="89" spans="1:11" x14ac:dyDescent="0.3">
      <c r="A89" s="7">
        <v>35</v>
      </c>
      <c r="B89" s="8">
        <v>39743</v>
      </c>
      <c r="C89" s="7">
        <v>30</v>
      </c>
      <c r="D89" s="7">
        <f t="shared" si="6"/>
        <v>273.29999999999995</v>
      </c>
      <c r="E89" s="9" t="s">
        <v>9</v>
      </c>
      <c r="F89" s="10">
        <f t="shared" si="7"/>
        <v>68.324999999999989</v>
      </c>
      <c r="G89" s="11">
        <v>9.11</v>
      </c>
      <c r="H89" s="9" t="s">
        <v>19</v>
      </c>
      <c r="I89" s="9" t="s">
        <v>14</v>
      </c>
      <c r="J89" s="9" t="s">
        <v>12</v>
      </c>
      <c r="K89" s="13" t="s">
        <v>31</v>
      </c>
    </row>
    <row r="90" spans="1:11" x14ac:dyDescent="0.3">
      <c r="A90" s="7">
        <v>35</v>
      </c>
      <c r="B90" s="8">
        <v>39743</v>
      </c>
      <c r="C90" s="7">
        <v>14</v>
      </c>
      <c r="D90" s="7">
        <f t="shared" si="6"/>
        <v>2183.86</v>
      </c>
      <c r="E90" s="9" t="s">
        <v>9</v>
      </c>
      <c r="F90" s="10">
        <f t="shared" si="7"/>
        <v>545.96500000000003</v>
      </c>
      <c r="G90" s="11">
        <v>155.99</v>
      </c>
      <c r="H90" s="9" t="s">
        <v>19</v>
      </c>
      <c r="I90" s="9" t="s">
        <v>14</v>
      </c>
      <c r="J90" s="9" t="s">
        <v>18</v>
      </c>
      <c r="K90" s="13" t="s">
        <v>32</v>
      </c>
    </row>
    <row r="91" spans="1:11" x14ac:dyDescent="0.3">
      <c r="A91" s="7">
        <v>36</v>
      </c>
      <c r="B91" s="8">
        <v>39743</v>
      </c>
      <c r="C91" s="7">
        <v>46</v>
      </c>
      <c r="D91" s="7">
        <f t="shared" si="6"/>
        <v>3035.54</v>
      </c>
      <c r="E91" s="9" t="s">
        <v>9</v>
      </c>
      <c r="F91" s="10">
        <f t="shared" si="7"/>
        <v>758.88499999999999</v>
      </c>
      <c r="G91" s="11">
        <v>65.989999999999995</v>
      </c>
      <c r="H91" s="9" t="s">
        <v>20</v>
      </c>
      <c r="I91" s="9" t="s">
        <v>21</v>
      </c>
      <c r="J91" s="9" t="s">
        <v>18</v>
      </c>
      <c r="K91" s="13" t="s">
        <v>29</v>
      </c>
    </row>
    <row r="92" spans="1:11" x14ac:dyDescent="0.3">
      <c r="A92" s="7">
        <v>65</v>
      </c>
      <c r="B92" s="8">
        <v>39743</v>
      </c>
      <c r="C92" s="7">
        <v>32</v>
      </c>
      <c r="D92" s="7">
        <f t="shared" si="6"/>
        <v>3705.28</v>
      </c>
      <c r="E92" s="9" t="s">
        <v>9</v>
      </c>
      <c r="F92" s="10">
        <f t="shared" si="7"/>
        <v>926.32</v>
      </c>
      <c r="G92" s="11">
        <v>115.79</v>
      </c>
      <c r="H92" s="9" t="s">
        <v>22</v>
      </c>
      <c r="I92" s="9" t="s">
        <v>14</v>
      </c>
      <c r="J92" s="9" t="s">
        <v>18</v>
      </c>
      <c r="K92" s="13" t="s">
        <v>30</v>
      </c>
    </row>
    <row r="93" spans="1:11" x14ac:dyDescent="0.3">
      <c r="A93" s="7">
        <v>66</v>
      </c>
      <c r="B93" s="8">
        <v>39832</v>
      </c>
      <c r="C93" s="7">
        <v>41</v>
      </c>
      <c r="D93" s="7">
        <f t="shared" si="6"/>
        <v>118.08</v>
      </c>
      <c r="E93" s="9" t="s">
        <v>9</v>
      </c>
      <c r="F93" s="10">
        <f t="shared" si="7"/>
        <v>29.52</v>
      </c>
      <c r="G93" s="11">
        <v>2.88</v>
      </c>
      <c r="H93" s="9" t="s">
        <v>23</v>
      </c>
      <c r="I93" s="9" t="s">
        <v>24</v>
      </c>
      <c r="J93" s="9" t="s">
        <v>12</v>
      </c>
      <c r="K93" s="13" t="s">
        <v>31</v>
      </c>
    </row>
    <row r="94" spans="1:11" x14ac:dyDescent="0.3">
      <c r="A94" s="7">
        <v>69</v>
      </c>
      <c r="B94" s="8">
        <v>39967</v>
      </c>
      <c r="C94" s="7">
        <v>42</v>
      </c>
      <c r="D94" s="7">
        <f t="shared" si="6"/>
        <v>1299.06</v>
      </c>
      <c r="E94" s="9" t="s">
        <v>9</v>
      </c>
      <c r="F94" s="10">
        <f t="shared" si="7"/>
        <v>324.76499999999999</v>
      </c>
      <c r="G94" s="11">
        <v>30.93</v>
      </c>
      <c r="H94" s="9" t="s">
        <v>25</v>
      </c>
      <c r="I94" s="9" t="s">
        <v>14</v>
      </c>
      <c r="J94" s="9" t="s">
        <v>16</v>
      </c>
      <c r="K94" s="13" t="s">
        <v>32</v>
      </c>
    </row>
    <row r="95" spans="1:11" x14ac:dyDescent="0.3">
      <c r="A95" s="7">
        <v>69</v>
      </c>
      <c r="B95" s="8">
        <v>39967</v>
      </c>
      <c r="C95" s="7">
        <v>28</v>
      </c>
      <c r="D95" s="7">
        <f t="shared" si="6"/>
        <v>4704</v>
      </c>
      <c r="E95" s="9" t="s">
        <v>26</v>
      </c>
      <c r="F95" s="10">
        <f t="shared" si="7"/>
        <v>1176</v>
      </c>
      <c r="G95" s="11">
        <v>168</v>
      </c>
      <c r="H95" s="9" t="s">
        <v>25</v>
      </c>
      <c r="I95" s="9" t="s">
        <v>14</v>
      </c>
      <c r="J95" s="9" t="s">
        <v>12</v>
      </c>
      <c r="K95" s="13" t="s">
        <v>29</v>
      </c>
    </row>
    <row r="96" spans="1:11" x14ac:dyDescent="0.3">
      <c r="A96" s="7">
        <v>70</v>
      </c>
      <c r="B96" s="8">
        <v>40529</v>
      </c>
      <c r="C96" s="7">
        <v>48</v>
      </c>
      <c r="D96" s="7">
        <f t="shared" si="6"/>
        <v>8928</v>
      </c>
      <c r="E96" s="9" t="s">
        <v>9</v>
      </c>
      <c r="F96" s="10">
        <f t="shared" si="7"/>
        <v>2232</v>
      </c>
      <c r="G96" s="11">
        <v>186</v>
      </c>
      <c r="H96" s="9" t="s">
        <v>27</v>
      </c>
      <c r="I96" s="9" t="s">
        <v>21</v>
      </c>
      <c r="J96" s="9" t="s">
        <v>12</v>
      </c>
      <c r="K96" s="13" t="s">
        <v>30</v>
      </c>
    </row>
    <row r="97" spans="1:11" x14ac:dyDescent="0.3">
      <c r="A97" s="7">
        <v>70</v>
      </c>
      <c r="B97" s="8">
        <v>40529</v>
      </c>
      <c r="C97" s="7">
        <v>46</v>
      </c>
      <c r="D97" s="7">
        <f t="shared" si="6"/>
        <v>9475.5400000000009</v>
      </c>
      <c r="E97" s="9" t="s">
        <v>9</v>
      </c>
      <c r="F97" s="10">
        <f t="shared" si="7"/>
        <v>2368.8850000000002</v>
      </c>
      <c r="G97" s="11">
        <v>205.99</v>
      </c>
      <c r="H97" s="9" t="s">
        <v>27</v>
      </c>
      <c r="I97" s="9" t="s">
        <v>21</v>
      </c>
      <c r="J97" s="9" t="s">
        <v>18</v>
      </c>
      <c r="K97" s="13" t="s">
        <v>31</v>
      </c>
    </row>
    <row r="98" spans="1:11" x14ac:dyDescent="0.3">
      <c r="A98" s="7">
        <v>3</v>
      </c>
      <c r="B98" s="8">
        <v>40464</v>
      </c>
      <c r="C98" s="7">
        <v>25</v>
      </c>
      <c r="D98" s="7">
        <f>C98*G98</f>
        <v>973.5</v>
      </c>
      <c r="E98" s="9" t="s">
        <v>9</v>
      </c>
      <c r="F98" s="10">
        <f>D98*25%</f>
        <v>243.375</v>
      </c>
      <c r="G98" s="11">
        <v>38.94</v>
      </c>
      <c r="H98" s="9" t="s">
        <v>10</v>
      </c>
      <c r="I98" s="9" t="s">
        <v>11</v>
      </c>
      <c r="J98" s="9" t="s">
        <v>12</v>
      </c>
      <c r="K98" s="13" t="s">
        <v>29</v>
      </c>
    </row>
    <row r="99" spans="1:11" x14ac:dyDescent="0.3">
      <c r="A99" s="7">
        <v>6</v>
      </c>
      <c r="B99" s="8">
        <v>40959</v>
      </c>
      <c r="C99" s="7">
        <v>150</v>
      </c>
      <c r="D99" s="7">
        <f t="shared" ref="D99:D120" si="8">C99*G99</f>
        <v>3761.9999999999995</v>
      </c>
      <c r="E99" s="9" t="s">
        <v>9</v>
      </c>
      <c r="F99" s="10">
        <f t="shared" ref="F99:F120" si="9">D99*25%</f>
        <v>940.49999999999989</v>
      </c>
      <c r="G99" s="11">
        <v>25.08</v>
      </c>
      <c r="H99" s="9" t="s">
        <v>13</v>
      </c>
      <c r="I99" s="9" t="s">
        <v>14</v>
      </c>
      <c r="J99" s="9" t="s">
        <v>12</v>
      </c>
      <c r="K99" s="13" t="s">
        <v>30</v>
      </c>
    </row>
    <row r="100" spans="1:11" x14ac:dyDescent="0.3">
      <c r="A100" s="7">
        <v>32</v>
      </c>
      <c r="B100" s="8">
        <v>40739</v>
      </c>
      <c r="C100" s="7">
        <v>200</v>
      </c>
      <c r="D100" s="7">
        <f t="shared" si="8"/>
        <v>21506</v>
      </c>
      <c r="E100" s="9" t="s">
        <v>9</v>
      </c>
      <c r="F100" s="10">
        <f t="shared" si="9"/>
        <v>5376.5</v>
      </c>
      <c r="G100" s="11">
        <v>107.53</v>
      </c>
      <c r="H100" s="9" t="s">
        <v>15</v>
      </c>
      <c r="I100" s="9" t="s">
        <v>14</v>
      </c>
      <c r="J100" s="9" t="s">
        <v>16</v>
      </c>
      <c r="K100" s="13" t="s">
        <v>31</v>
      </c>
    </row>
    <row r="101" spans="1:11" x14ac:dyDescent="0.3">
      <c r="A101" s="7">
        <v>32</v>
      </c>
      <c r="B101" s="8">
        <v>40739</v>
      </c>
      <c r="C101" s="7">
        <v>350</v>
      </c>
      <c r="D101" s="7">
        <f t="shared" si="8"/>
        <v>24811.5</v>
      </c>
      <c r="E101" s="9" t="s">
        <v>17</v>
      </c>
      <c r="F101" s="10">
        <f t="shared" si="9"/>
        <v>6202.875</v>
      </c>
      <c r="G101" s="11">
        <v>70.89</v>
      </c>
      <c r="H101" s="9" t="s">
        <v>15</v>
      </c>
      <c r="I101" s="9" t="s">
        <v>14</v>
      </c>
      <c r="J101" s="9" t="s">
        <v>16</v>
      </c>
      <c r="K101" s="13" t="s">
        <v>32</v>
      </c>
    </row>
    <row r="102" spans="1:11" x14ac:dyDescent="0.3">
      <c r="A102" s="7">
        <v>32</v>
      </c>
      <c r="B102" s="8">
        <v>40739</v>
      </c>
      <c r="C102" s="7">
        <v>500</v>
      </c>
      <c r="D102" s="7">
        <f t="shared" si="8"/>
        <v>3995</v>
      </c>
      <c r="E102" s="9" t="s">
        <v>9</v>
      </c>
      <c r="F102" s="10">
        <f t="shared" si="9"/>
        <v>998.75</v>
      </c>
      <c r="G102" s="11">
        <v>7.99</v>
      </c>
      <c r="H102" s="9" t="s">
        <v>15</v>
      </c>
      <c r="I102" s="9" t="s">
        <v>14</v>
      </c>
      <c r="J102" s="9" t="s">
        <v>18</v>
      </c>
      <c r="K102" s="13" t="s">
        <v>29</v>
      </c>
    </row>
    <row r="103" spans="1:11" x14ac:dyDescent="0.3">
      <c r="A103" s="7">
        <v>32</v>
      </c>
      <c r="B103" s="8">
        <v>40739</v>
      </c>
      <c r="C103" s="7">
        <v>650</v>
      </c>
      <c r="D103" s="7">
        <f t="shared" si="8"/>
        <v>5499.0000000000009</v>
      </c>
      <c r="E103" s="9" t="s">
        <v>9</v>
      </c>
      <c r="F103" s="10">
        <f t="shared" si="9"/>
        <v>1374.7500000000002</v>
      </c>
      <c r="G103" s="11">
        <v>8.4600000000000009</v>
      </c>
      <c r="H103" s="9" t="s">
        <v>15</v>
      </c>
      <c r="I103" s="9" t="s">
        <v>14</v>
      </c>
      <c r="J103" s="9" t="s">
        <v>18</v>
      </c>
      <c r="K103" s="13" t="s">
        <v>30</v>
      </c>
    </row>
    <row r="104" spans="1:11" x14ac:dyDescent="0.3">
      <c r="A104" s="7">
        <v>35</v>
      </c>
      <c r="B104" s="8">
        <v>40838</v>
      </c>
      <c r="C104" s="7">
        <v>800</v>
      </c>
      <c r="D104" s="7">
        <f t="shared" si="8"/>
        <v>7288</v>
      </c>
      <c r="E104" s="9" t="s">
        <v>9</v>
      </c>
      <c r="F104" s="10">
        <f t="shared" si="9"/>
        <v>1822</v>
      </c>
      <c r="G104" s="11">
        <v>9.11</v>
      </c>
      <c r="H104" s="9" t="s">
        <v>19</v>
      </c>
      <c r="I104" s="9" t="s">
        <v>14</v>
      </c>
      <c r="J104" s="9" t="s">
        <v>12</v>
      </c>
      <c r="K104" s="13" t="s">
        <v>31</v>
      </c>
    </row>
    <row r="105" spans="1:11" x14ac:dyDescent="0.3">
      <c r="A105" s="7">
        <v>35</v>
      </c>
      <c r="B105" s="8">
        <v>40838</v>
      </c>
      <c r="C105" s="7">
        <v>25</v>
      </c>
      <c r="D105" s="7">
        <f t="shared" si="8"/>
        <v>3899.75</v>
      </c>
      <c r="E105" s="9" t="s">
        <v>9</v>
      </c>
      <c r="F105" s="10">
        <f t="shared" si="9"/>
        <v>974.9375</v>
      </c>
      <c r="G105" s="11">
        <v>155.99</v>
      </c>
      <c r="H105" s="9" t="s">
        <v>19</v>
      </c>
      <c r="I105" s="9" t="s">
        <v>14</v>
      </c>
      <c r="J105" s="9" t="s">
        <v>18</v>
      </c>
      <c r="K105" s="13" t="s">
        <v>32</v>
      </c>
    </row>
    <row r="106" spans="1:11" x14ac:dyDescent="0.3">
      <c r="A106" s="7">
        <v>36</v>
      </c>
      <c r="B106" s="8">
        <v>40849</v>
      </c>
      <c r="C106" s="7">
        <v>46</v>
      </c>
      <c r="D106" s="7">
        <f t="shared" si="8"/>
        <v>29945.54</v>
      </c>
      <c r="E106" s="9" t="s">
        <v>9</v>
      </c>
      <c r="F106" s="10">
        <f t="shared" si="9"/>
        <v>7486.3850000000002</v>
      </c>
      <c r="G106" s="11">
        <v>650.99</v>
      </c>
      <c r="H106" s="9" t="s">
        <v>20</v>
      </c>
      <c r="I106" s="9" t="s">
        <v>21</v>
      </c>
      <c r="J106" s="9" t="s">
        <v>18</v>
      </c>
      <c r="K106" s="13" t="s">
        <v>29</v>
      </c>
    </row>
    <row r="107" spans="1:11" x14ac:dyDescent="0.3">
      <c r="A107" s="7">
        <v>65</v>
      </c>
      <c r="B107" s="8">
        <v>40619</v>
      </c>
      <c r="C107" s="7">
        <v>175</v>
      </c>
      <c r="D107" s="7">
        <f t="shared" si="8"/>
        <v>20263.25</v>
      </c>
      <c r="E107" s="9" t="s">
        <v>9</v>
      </c>
      <c r="F107" s="10">
        <f t="shared" si="9"/>
        <v>5065.8125</v>
      </c>
      <c r="G107" s="11">
        <v>115.79</v>
      </c>
      <c r="H107" s="9" t="s">
        <v>22</v>
      </c>
      <c r="I107" s="9" t="s">
        <v>14</v>
      </c>
      <c r="J107" s="9" t="s">
        <v>18</v>
      </c>
      <c r="K107" s="13" t="s">
        <v>30</v>
      </c>
    </row>
    <row r="108" spans="1:11" x14ac:dyDescent="0.3">
      <c r="A108" s="7">
        <v>32</v>
      </c>
      <c r="B108" s="8">
        <v>39644</v>
      </c>
      <c r="C108" s="7">
        <v>260</v>
      </c>
      <c r="D108" s="7">
        <f t="shared" si="8"/>
        <v>27957.8</v>
      </c>
      <c r="E108" s="9" t="s">
        <v>9</v>
      </c>
      <c r="F108" s="10">
        <f t="shared" si="9"/>
        <v>6989.45</v>
      </c>
      <c r="G108" s="11">
        <v>107.53</v>
      </c>
      <c r="H108" s="9" t="s">
        <v>15</v>
      </c>
      <c r="I108" s="9" t="s">
        <v>14</v>
      </c>
      <c r="J108" s="9" t="s">
        <v>16</v>
      </c>
      <c r="K108" s="13" t="s">
        <v>31</v>
      </c>
    </row>
    <row r="109" spans="1:11" x14ac:dyDescent="0.3">
      <c r="A109" s="7">
        <v>32</v>
      </c>
      <c r="B109" s="8">
        <v>39644</v>
      </c>
      <c r="C109" s="7">
        <v>24</v>
      </c>
      <c r="D109" s="7">
        <f t="shared" si="8"/>
        <v>1701.3600000000001</v>
      </c>
      <c r="E109" s="9" t="s">
        <v>17</v>
      </c>
      <c r="F109" s="10">
        <f t="shared" si="9"/>
        <v>425.34000000000003</v>
      </c>
      <c r="G109" s="11">
        <v>70.89</v>
      </c>
      <c r="H109" s="9" t="s">
        <v>15</v>
      </c>
      <c r="I109" s="9" t="s">
        <v>14</v>
      </c>
      <c r="J109" s="9" t="s">
        <v>16</v>
      </c>
      <c r="K109" s="13" t="s">
        <v>32</v>
      </c>
    </row>
    <row r="110" spans="1:11" x14ac:dyDescent="0.3">
      <c r="A110" s="7">
        <v>32</v>
      </c>
      <c r="B110" s="8">
        <v>39644</v>
      </c>
      <c r="C110" s="7">
        <v>23</v>
      </c>
      <c r="D110" s="7">
        <f t="shared" si="8"/>
        <v>183.77</v>
      </c>
      <c r="E110" s="9" t="s">
        <v>9</v>
      </c>
      <c r="F110" s="10">
        <f t="shared" si="9"/>
        <v>45.942500000000003</v>
      </c>
      <c r="G110" s="11">
        <v>7.99</v>
      </c>
      <c r="H110" s="9" t="s">
        <v>15</v>
      </c>
      <c r="I110" s="9" t="s">
        <v>14</v>
      </c>
      <c r="J110" s="9" t="s">
        <v>18</v>
      </c>
      <c r="K110" s="13" t="s">
        <v>29</v>
      </c>
    </row>
    <row r="111" spans="1:11" x14ac:dyDescent="0.3">
      <c r="A111" s="7">
        <v>32</v>
      </c>
      <c r="B111" s="8">
        <v>39644</v>
      </c>
      <c r="C111" s="7">
        <v>150</v>
      </c>
      <c r="D111" s="7">
        <f t="shared" si="8"/>
        <v>12068.999999999998</v>
      </c>
      <c r="E111" s="9" t="s">
        <v>9</v>
      </c>
      <c r="F111" s="10">
        <f t="shared" si="9"/>
        <v>3017.2499999999995</v>
      </c>
      <c r="G111" s="11">
        <v>80.459999999999994</v>
      </c>
      <c r="H111" s="9" t="s">
        <v>15</v>
      </c>
      <c r="I111" s="9" t="s">
        <v>14</v>
      </c>
      <c r="J111" s="9" t="s">
        <v>18</v>
      </c>
      <c r="K111" s="13" t="s">
        <v>30</v>
      </c>
    </row>
    <row r="112" spans="1:11" x14ac:dyDescent="0.3">
      <c r="A112" s="7">
        <v>35</v>
      </c>
      <c r="B112" s="8">
        <v>39743</v>
      </c>
      <c r="C112" s="7">
        <v>30</v>
      </c>
      <c r="D112" s="7">
        <f t="shared" si="8"/>
        <v>273.29999999999995</v>
      </c>
      <c r="E112" s="9" t="s">
        <v>9</v>
      </c>
      <c r="F112" s="10">
        <f t="shared" si="9"/>
        <v>68.324999999999989</v>
      </c>
      <c r="G112" s="11">
        <v>9.11</v>
      </c>
      <c r="H112" s="9" t="s">
        <v>19</v>
      </c>
      <c r="I112" s="9" t="s">
        <v>14</v>
      </c>
      <c r="J112" s="9" t="s">
        <v>12</v>
      </c>
      <c r="K112" s="13" t="s">
        <v>31</v>
      </c>
    </row>
    <row r="113" spans="1:11" x14ac:dyDescent="0.3">
      <c r="A113" s="7">
        <v>35</v>
      </c>
      <c r="B113" s="8">
        <v>39743</v>
      </c>
      <c r="C113" s="7">
        <v>14</v>
      </c>
      <c r="D113" s="7">
        <f t="shared" si="8"/>
        <v>2183.86</v>
      </c>
      <c r="E113" s="9" t="s">
        <v>9</v>
      </c>
      <c r="F113" s="10">
        <f t="shared" si="9"/>
        <v>545.96500000000003</v>
      </c>
      <c r="G113" s="11">
        <v>155.99</v>
      </c>
      <c r="H113" s="9" t="s">
        <v>19</v>
      </c>
      <c r="I113" s="9" t="s">
        <v>14</v>
      </c>
      <c r="J113" s="9" t="s">
        <v>18</v>
      </c>
      <c r="K113" s="13" t="s">
        <v>32</v>
      </c>
    </row>
    <row r="114" spans="1:11" x14ac:dyDescent="0.3">
      <c r="A114" s="7">
        <v>36</v>
      </c>
      <c r="B114" s="8">
        <v>39743</v>
      </c>
      <c r="C114" s="7">
        <v>46</v>
      </c>
      <c r="D114" s="7">
        <f t="shared" si="8"/>
        <v>3035.54</v>
      </c>
      <c r="E114" s="9" t="s">
        <v>9</v>
      </c>
      <c r="F114" s="10">
        <f t="shared" si="9"/>
        <v>758.88499999999999</v>
      </c>
      <c r="G114" s="11">
        <v>65.989999999999995</v>
      </c>
      <c r="H114" s="9" t="s">
        <v>20</v>
      </c>
      <c r="I114" s="9" t="s">
        <v>21</v>
      </c>
      <c r="J114" s="9" t="s">
        <v>18</v>
      </c>
      <c r="K114" s="13" t="s">
        <v>29</v>
      </c>
    </row>
    <row r="115" spans="1:11" x14ac:dyDescent="0.3">
      <c r="A115" s="7">
        <v>65</v>
      </c>
      <c r="B115" s="8">
        <v>39743</v>
      </c>
      <c r="C115" s="7">
        <v>32</v>
      </c>
      <c r="D115" s="7">
        <f t="shared" si="8"/>
        <v>3705.28</v>
      </c>
      <c r="E115" s="9" t="s">
        <v>9</v>
      </c>
      <c r="F115" s="10">
        <f t="shared" si="9"/>
        <v>926.32</v>
      </c>
      <c r="G115" s="11">
        <v>115.79</v>
      </c>
      <c r="H115" s="9" t="s">
        <v>22</v>
      </c>
      <c r="I115" s="9" t="s">
        <v>14</v>
      </c>
      <c r="J115" s="9" t="s">
        <v>18</v>
      </c>
      <c r="K115" s="13" t="s">
        <v>30</v>
      </c>
    </row>
    <row r="116" spans="1:11" x14ac:dyDescent="0.3">
      <c r="A116" s="7">
        <v>66</v>
      </c>
      <c r="B116" s="8">
        <v>39832</v>
      </c>
      <c r="C116" s="7">
        <v>41</v>
      </c>
      <c r="D116" s="7">
        <f t="shared" si="8"/>
        <v>118.08</v>
      </c>
      <c r="E116" s="9" t="s">
        <v>9</v>
      </c>
      <c r="F116" s="10">
        <f t="shared" si="9"/>
        <v>29.52</v>
      </c>
      <c r="G116" s="11">
        <v>2.88</v>
      </c>
      <c r="H116" s="9" t="s">
        <v>23</v>
      </c>
      <c r="I116" s="9" t="s">
        <v>24</v>
      </c>
      <c r="J116" s="9" t="s">
        <v>12</v>
      </c>
      <c r="K116" s="13" t="s">
        <v>31</v>
      </c>
    </row>
    <row r="117" spans="1:11" x14ac:dyDescent="0.3">
      <c r="A117" s="7">
        <v>69</v>
      </c>
      <c r="B117" s="8">
        <v>39967</v>
      </c>
      <c r="C117" s="7">
        <v>42</v>
      </c>
      <c r="D117" s="7">
        <f t="shared" si="8"/>
        <v>1299.06</v>
      </c>
      <c r="E117" s="9" t="s">
        <v>9</v>
      </c>
      <c r="F117" s="10">
        <f t="shared" si="9"/>
        <v>324.76499999999999</v>
      </c>
      <c r="G117" s="11">
        <v>30.93</v>
      </c>
      <c r="H117" s="9" t="s">
        <v>25</v>
      </c>
      <c r="I117" s="9" t="s">
        <v>14</v>
      </c>
      <c r="J117" s="9" t="s">
        <v>16</v>
      </c>
      <c r="K117" s="13" t="s">
        <v>32</v>
      </c>
    </row>
    <row r="118" spans="1:11" x14ac:dyDescent="0.3">
      <c r="A118" s="7">
        <v>69</v>
      </c>
      <c r="B118" s="8">
        <v>39967</v>
      </c>
      <c r="C118" s="7">
        <v>28</v>
      </c>
      <c r="D118" s="7">
        <f t="shared" si="8"/>
        <v>4704</v>
      </c>
      <c r="E118" s="9" t="s">
        <v>26</v>
      </c>
      <c r="F118" s="10">
        <f t="shared" si="9"/>
        <v>1176</v>
      </c>
      <c r="G118" s="11">
        <v>168</v>
      </c>
      <c r="H118" s="9" t="s">
        <v>25</v>
      </c>
      <c r="I118" s="9" t="s">
        <v>14</v>
      </c>
      <c r="J118" s="9" t="s">
        <v>12</v>
      </c>
      <c r="K118" s="13" t="s">
        <v>29</v>
      </c>
    </row>
    <row r="119" spans="1:11" x14ac:dyDescent="0.3">
      <c r="A119" s="7">
        <v>70</v>
      </c>
      <c r="B119" s="8">
        <v>40529</v>
      </c>
      <c r="C119" s="7">
        <v>48</v>
      </c>
      <c r="D119" s="7">
        <f t="shared" si="8"/>
        <v>8928</v>
      </c>
      <c r="E119" s="9" t="s">
        <v>9</v>
      </c>
      <c r="F119" s="10">
        <f t="shared" si="9"/>
        <v>2232</v>
      </c>
      <c r="G119" s="11">
        <v>186</v>
      </c>
      <c r="H119" s="9" t="s">
        <v>27</v>
      </c>
      <c r="I119" s="9" t="s">
        <v>21</v>
      </c>
      <c r="J119" s="9" t="s">
        <v>12</v>
      </c>
      <c r="K119" s="13" t="s">
        <v>30</v>
      </c>
    </row>
    <row r="120" spans="1:11" x14ac:dyDescent="0.3">
      <c r="A120" s="7">
        <v>70</v>
      </c>
      <c r="B120" s="8">
        <v>40529</v>
      </c>
      <c r="C120" s="7">
        <v>46</v>
      </c>
      <c r="D120" s="7">
        <f t="shared" si="8"/>
        <v>9475.5400000000009</v>
      </c>
      <c r="E120" s="9" t="s">
        <v>9</v>
      </c>
      <c r="F120" s="10">
        <f t="shared" si="9"/>
        <v>2368.8850000000002</v>
      </c>
      <c r="G120" s="11">
        <v>205.99</v>
      </c>
      <c r="H120" s="9" t="s">
        <v>27</v>
      </c>
      <c r="I120" s="9" t="s">
        <v>21</v>
      </c>
      <c r="J120" s="9" t="s">
        <v>18</v>
      </c>
      <c r="K120" s="13" t="s">
        <v>31</v>
      </c>
    </row>
    <row r="121" spans="1:11" x14ac:dyDescent="0.3">
      <c r="A121" s="7">
        <v>3</v>
      </c>
      <c r="B121" s="8">
        <v>40464</v>
      </c>
      <c r="C121" s="7">
        <v>25</v>
      </c>
      <c r="D121" s="7">
        <f>C121*G121</f>
        <v>973.5</v>
      </c>
      <c r="E121" s="9" t="s">
        <v>9</v>
      </c>
      <c r="F121" s="10">
        <f>D121*25%</f>
        <v>243.375</v>
      </c>
      <c r="G121" s="11">
        <v>38.94</v>
      </c>
      <c r="H121" s="9" t="s">
        <v>10</v>
      </c>
      <c r="I121" s="9" t="s">
        <v>11</v>
      </c>
      <c r="J121" s="9" t="s">
        <v>12</v>
      </c>
      <c r="K121" s="13" t="s">
        <v>29</v>
      </c>
    </row>
    <row r="122" spans="1:11" x14ac:dyDescent="0.3">
      <c r="A122" s="7">
        <v>6</v>
      </c>
      <c r="B122" s="8">
        <v>40959</v>
      </c>
      <c r="C122" s="7">
        <v>150</v>
      </c>
      <c r="D122" s="7">
        <f t="shared" ref="D122:D143" si="10">C122*G122</f>
        <v>3761.9999999999995</v>
      </c>
      <c r="E122" s="9" t="s">
        <v>9</v>
      </c>
      <c r="F122" s="10">
        <f t="shared" ref="F122:F143" si="11">D122*25%</f>
        <v>940.49999999999989</v>
      </c>
      <c r="G122" s="11">
        <v>25.08</v>
      </c>
      <c r="H122" s="9" t="s">
        <v>13</v>
      </c>
      <c r="I122" s="9" t="s">
        <v>14</v>
      </c>
      <c r="J122" s="9" t="s">
        <v>12</v>
      </c>
      <c r="K122" s="13" t="s">
        <v>30</v>
      </c>
    </row>
    <row r="123" spans="1:11" x14ac:dyDescent="0.3">
      <c r="A123" s="7">
        <v>32</v>
      </c>
      <c r="B123" s="8">
        <v>40739</v>
      </c>
      <c r="C123" s="7">
        <v>200</v>
      </c>
      <c r="D123" s="7">
        <f t="shared" si="10"/>
        <v>21506</v>
      </c>
      <c r="E123" s="9" t="s">
        <v>9</v>
      </c>
      <c r="F123" s="10">
        <f t="shared" si="11"/>
        <v>5376.5</v>
      </c>
      <c r="G123" s="11">
        <v>107.53</v>
      </c>
      <c r="H123" s="9" t="s">
        <v>15</v>
      </c>
      <c r="I123" s="9" t="s">
        <v>14</v>
      </c>
      <c r="J123" s="9" t="s">
        <v>16</v>
      </c>
      <c r="K123" s="13" t="s">
        <v>31</v>
      </c>
    </row>
    <row r="124" spans="1:11" x14ac:dyDescent="0.3">
      <c r="A124" s="7">
        <v>32</v>
      </c>
      <c r="B124" s="8">
        <v>40739</v>
      </c>
      <c r="C124" s="7">
        <v>350</v>
      </c>
      <c r="D124" s="7">
        <f t="shared" si="10"/>
        <v>24811.5</v>
      </c>
      <c r="E124" s="9" t="s">
        <v>17</v>
      </c>
      <c r="F124" s="10">
        <f t="shared" si="11"/>
        <v>6202.875</v>
      </c>
      <c r="G124" s="11">
        <v>70.89</v>
      </c>
      <c r="H124" s="9" t="s">
        <v>15</v>
      </c>
      <c r="I124" s="9" t="s">
        <v>14</v>
      </c>
      <c r="J124" s="9" t="s">
        <v>16</v>
      </c>
      <c r="K124" s="13" t="s">
        <v>32</v>
      </c>
    </row>
    <row r="125" spans="1:11" x14ac:dyDescent="0.3">
      <c r="A125" s="7">
        <v>32</v>
      </c>
      <c r="B125" s="8">
        <v>40739</v>
      </c>
      <c r="C125" s="7">
        <v>500</v>
      </c>
      <c r="D125" s="7">
        <f t="shared" si="10"/>
        <v>3995</v>
      </c>
      <c r="E125" s="9" t="s">
        <v>9</v>
      </c>
      <c r="F125" s="10">
        <f t="shared" si="11"/>
        <v>998.75</v>
      </c>
      <c r="G125" s="11">
        <v>7.99</v>
      </c>
      <c r="H125" s="9" t="s">
        <v>15</v>
      </c>
      <c r="I125" s="9" t="s">
        <v>14</v>
      </c>
      <c r="J125" s="9" t="s">
        <v>18</v>
      </c>
      <c r="K125" s="13" t="s">
        <v>29</v>
      </c>
    </row>
    <row r="126" spans="1:11" x14ac:dyDescent="0.3">
      <c r="A126" s="7">
        <v>32</v>
      </c>
      <c r="B126" s="8">
        <v>40739</v>
      </c>
      <c r="C126" s="7">
        <v>650</v>
      </c>
      <c r="D126" s="7">
        <f t="shared" si="10"/>
        <v>5499.0000000000009</v>
      </c>
      <c r="E126" s="9" t="s">
        <v>9</v>
      </c>
      <c r="F126" s="10">
        <f t="shared" si="11"/>
        <v>1374.7500000000002</v>
      </c>
      <c r="G126" s="11">
        <v>8.4600000000000009</v>
      </c>
      <c r="H126" s="9" t="s">
        <v>15</v>
      </c>
      <c r="I126" s="9" t="s">
        <v>14</v>
      </c>
      <c r="J126" s="9" t="s">
        <v>18</v>
      </c>
      <c r="K126" s="13" t="s">
        <v>30</v>
      </c>
    </row>
    <row r="127" spans="1:11" x14ac:dyDescent="0.3">
      <c r="A127" s="7">
        <v>35</v>
      </c>
      <c r="B127" s="8">
        <v>40838</v>
      </c>
      <c r="C127" s="7">
        <v>800</v>
      </c>
      <c r="D127" s="7">
        <f t="shared" si="10"/>
        <v>7288</v>
      </c>
      <c r="E127" s="9" t="s">
        <v>9</v>
      </c>
      <c r="F127" s="10">
        <f t="shared" si="11"/>
        <v>1822</v>
      </c>
      <c r="G127" s="11">
        <v>9.11</v>
      </c>
      <c r="H127" s="9" t="s">
        <v>19</v>
      </c>
      <c r="I127" s="9" t="s">
        <v>14</v>
      </c>
      <c r="J127" s="9" t="s">
        <v>12</v>
      </c>
      <c r="K127" s="13" t="s">
        <v>31</v>
      </c>
    </row>
    <row r="128" spans="1:11" x14ac:dyDescent="0.3">
      <c r="A128" s="7">
        <v>35</v>
      </c>
      <c r="B128" s="8">
        <v>40838</v>
      </c>
      <c r="C128" s="7">
        <v>25</v>
      </c>
      <c r="D128" s="7">
        <f t="shared" si="10"/>
        <v>3899.75</v>
      </c>
      <c r="E128" s="9" t="s">
        <v>9</v>
      </c>
      <c r="F128" s="10">
        <f t="shared" si="11"/>
        <v>974.9375</v>
      </c>
      <c r="G128" s="11">
        <v>155.99</v>
      </c>
      <c r="H128" s="9" t="s">
        <v>19</v>
      </c>
      <c r="I128" s="9" t="s">
        <v>14</v>
      </c>
      <c r="J128" s="9" t="s">
        <v>18</v>
      </c>
      <c r="K128" s="13" t="s">
        <v>32</v>
      </c>
    </row>
    <row r="129" spans="1:11" x14ac:dyDescent="0.3">
      <c r="A129" s="7">
        <v>36</v>
      </c>
      <c r="B129" s="8">
        <v>40849</v>
      </c>
      <c r="C129" s="7">
        <v>46</v>
      </c>
      <c r="D129" s="7">
        <f t="shared" si="10"/>
        <v>29945.54</v>
      </c>
      <c r="E129" s="9" t="s">
        <v>9</v>
      </c>
      <c r="F129" s="10">
        <f t="shared" si="11"/>
        <v>7486.3850000000002</v>
      </c>
      <c r="G129" s="11">
        <v>650.99</v>
      </c>
      <c r="H129" s="9" t="s">
        <v>20</v>
      </c>
      <c r="I129" s="9" t="s">
        <v>21</v>
      </c>
      <c r="J129" s="9" t="s">
        <v>18</v>
      </c>
      <c r="K129" s="13" t="s">
        <v>29</v>
      </c>
    </row>
    <row r="130" spans="1:11" x14ac:dyDescent="0.3">
      <c r="A130" s="7">
        <v>65</v>
      </c>
      <c r="B130" s="8">
        <v>40619</v>
      </c>
      <c r="C130" s="7">
        <v>175</v>
      </c>
      <c r="D130" s="7">
        <f t="shared" si="10"/>
        <v>20263.25</v>
      </c>
      <c r="E130" s="9" t="s">
        <v>9</v>
      </c>
      <c r="F130" s="10">
        <f t="shared" si="11"/>
        <v>5065.8125</v>
      </c>
      <c r="G130" s="11">
        <v>115.79</v>
      </c>
      <c r="H130" s="9" t="s">
        <v>22</v>
      </c>
      <c r="I130" s="9" t="s">
        <v>14</v>
      </c>
      <c r="J130" s="9" t="s">
        <v>18</v>
      </c>
      <c r="K130" s="13" t="s">
        <v>30</v>
      </c>
    </row>
    <row r="131" spans="1:11" x14ac:dyDescent="0.3">
      <c r="A131" s="7">
        <v>32</v>
      </c>
      <c r="B131" s="8">
        <v>39644</v>
      </c>
      <c r="C131" s="7">
        <v>260</v>
      </c>
      <c r="D131" s="7">
        <f t="shared" si="10"/>
        <v>27957.8</v>
      </c>
      <c r="E131" s="9" t="s">
        <v>9</v>
      </c>
      <c r="F131" s="10">
        <f t="shared" si="11"/>
        <v>6989.45</v>
      </c>
      <c r="G131" s="11">
        <v>107.53</v>
      </c>
      <c r="H131" s="9" t="s">
        <v>15</v>
      </c>
      <c r="I131" s="9" t="s">
        <v>14</v>
      </c>
      <c r="J131" s="9" t="s">
        <v>16</v>
      </c>
      <c r="K131" s="13" t="s">
        <v>31</v>
      </c>
    </row>
    <row r="132" spans="1:11" x14ac:dyDescent="0.3">
      <c r="A132" s="7">
        <v>32</v>
      </c>
      <c r="B132" s="8">
        <v>39644</v>
      </c>
      <c r="C132" s="7">
        <v>24</v>
      </c>
      <c r="D132" s="7">
        <f t="shared" si="10"/>
        <v>1701.3600000000001</v>
      </c>
      <c r="E132" s="9" t="s">
        <v>17</v>
      </c>
      <c r="F132" s="10">
        <f t="shared" si="11"/>
        <v>425.34000000000003</v>
      </c>
      <c r="G132" s="11">
        <v>70.89</v>
      </c>
      <c r="H132" s="9" t="s">
        <v>15</v>
      </c>
      <c r="I132" s="9" t="s">
        <v>14</v>
      </c>
      <c r="J132" s="9" t="s">
        <v>16</v>
      </c>
      <c r="K132" s="13" t="s">
        <v>32</v>
      </c>
    </row>
    <row r="133" spans="1:11" x14ac:dyDescent="0.3">
      <c r="A133" s="7">
        <v>32</v>
      </c>
      <c r="B133" s="8">
        <v>39644</v>
      </c>
      <c r="C133" s="7">
        <v>23</v>
      </c>
      <c r="D133" s="7">
        <f t="shared" si="10"/>
        <v>183.77</v>
      </c>
      <c r="E133" s="9" t="s">
        <v>9</v>
      </c>
      <c r="F133" s="10">
        <f t="shared" si="11"/>
        <v>45.942500000000003</v>
      </c>
      <c r="G133" s="11">
        <v>7.99</v>
      </c>
      <c r="H133" s="9" t="s">
        <v>15</v>
      </c>
      <c r="I133" s="9" t="s">
        <v>14</v>
      </c>
      <c r="J133" s="9" t="s">
        <v>18</v>
      </c>
      <c r="K133" s="13" t="s">
        <v>29</v>
      </c>
    </row>
    <row r="134" spans="1:11" x14ac:dyDescent="0.3">
      <c r="A134" s="7">
        <v>32</v>
      </c>
      <c r="B134" s="8">
        <v>39644</v>
      </c>
      <c r="C134" s="7">
        <v>150</v>
      </c>
      <c r="D134" s="7">
        <f t="shared" si="10"/>
        <v>12068.999999999998</v>
      </c>
      <c r="E134" s="9" t="s">
        <v>9</v>
      </c>
      <c r="F134" s="10">
        <f t="shared" si="11"/>
        <v>3017.2499999999995</v>
      </c>
      <c r="G134" s="11">
        <v>80.459999999999994</v>
      </c>
      <c r="H134" s="9" t="s">
        <v>15</v>
      </c>
      <c r="I134" s="9" t="s">
        <v>14</v>
      </c>
      <c r="J134" s="9" t="s">
        <v>18</v>
      </c>
      <c r="K134" s="13" t="s">
        <v>30</v>
      </c>
    </row>
    <row r="135" spans="1:11" x14ac:dyDescent="0.3">
      <c r="A135" s="7">
        <v>35</v>
      </c>
      <c r="B135" s="8">
        <v>39743</v>
      </c>
      <c r="C135" s="7">
        <v>30</v>
      </c>
      <c r="D135" s="7">
        <f t="shared" si="10"/>
        <v>273.29999999999995</v>
      </c>
      <c r="E135" s="9" t="s">
        <v>9</v>
      </c>
      <c r="F135" s="10">
        <f t="shared" si="11"/>
        <v>68.324999999999989</v>
      </c>
      <c r="G135" s="11">
        <v>9.11</v>
      </c>
      <c r="H135" s="9" t="s">
        <v>19</v>
      </c>
      <c r="I135" s="9" t="s">
        <v>14</v>
      </c>
      <c r="J135" s="9" t="s">
        <v>12</v>
      </c>
      <c r="K135" s="13" t="s">
        <v>31</v>
      </c>
    </row>
    <row r="136" spans="1:11" x14ac:dyDescent="0.3">
      <c r="A136" s="7">
        <v>35</v>
      </c>
      <c r="B136" s="8">
        <v>39743</v>
      </c>
      <c r="C136" s="7">
        <v>14</v>
      </c>
      <c r="D136" s="7">
        <f t="shared" si="10"/>
        <v>2183.86</v>
      </c>
      <c r="E136" s="9" t="s">
        <v>9</v>
      </c>
      <c r="F136" s="10">
        <f t="shared" si="11"/>
        <v>545.96500000000003</v>
      </c>
      <c r="G136" s="11">
        <v>155.99</v>
      </c>
      <c r="H136" s="9" t="s">
        <v>19</v>
      </c>
      <c r="I136" s="9" t="s">
        <v>14</v>
      </c>
      <c r="J136" s="9" t="s">
        <v>18</v>
      </c>
      <c r="K136" s="13" t="s">
        <v>32</v>
      </c>
    </row>
    <row r="137" spans="1:11" x14ac:dyDescent="0.3">
      <c r="A137" s="7">
        <v>36</v>
      </c>
      <c r="B137" s="8">
        <v>39743</v>
      </c>
      <c r="C137" s="7">
        <v>46</v>
      </c>
      <c r="D137" s="7">
        <f t="shared" si="10"/>
        <v>3035.54</v>
      </c>
      <c r="E137" s="9" t="s">
        <v>9</v>
      </c>
      <c r="F137" s="10">
        <f t="shared" si="11"/>
        <v>758.88499999999999</v>
      </c>
      <c r="G137" s="11">
        <v>65.989999999999995</v>
      </c>
      <c r="H137" s="9" t="s">
        <v>20</v>
      </c>
      <c r="I137" s="9" t="s">
        <v>21</v>
      </c>
      <c r="J137" s="9" t="s">
        <v>18</v>
      </c>
      <c r="K137" s="13" t="s">
        <v>29</v>
      </c>
    </row>
    <row r="138" spans="1:11" x14ac:dyDescent="0.3">
      <c r="A138" s="7">
        <v>65</v>
      </c>
      <c r="B138" s="8">
        <v>39743</v>
      </c>
      <c r="C138" s="7">
        <v>32</v>
      </c>
      <c r="D138" s="7">
        <f t="shared" si="10"/>
        <v>3705.28</v>
      </c>
      <c r="E138" s="9" t="s">
        <v>9</v>
      </c>
      <c r="F138" s="10">
        <f t="shared" si="11"/>
        <v>926.32</v>
      </c>
      <c r="G138" s="11">
        <v>115.79</v>
      </c>
      <c r="H138" s="9" t="s">
        <v>22</v>
      </c>
      <c r="I138" s="9" t="s">
        <v>14</v>
      </c>
      <c r="J138" s="9" t="s">
        <v>18</v>
      </c>
      <c r="K138" s="13" t="s">
        <v>30</v>
      </c>
    </row>
    <row r="139" spans="1:11" x14ac:dyDescent="0.3">
      <c r="A139" s="7">
        <v>66</v>
      </c>
      <c r="B139" s="8">
        <v>39832</v>
      </c>
      <c r="C139" s="7">
        <v>41</v>
      </c>
      <c r="D139" s="7">
        <f t="shared" si="10"/>
        <v>118.08</v>
      </c>
      <c r="E139" s="9" t="s">
        <v>9</v>
      </c>
      <c r="F139" s="10">
        <f t="shared" si="11"/>
        <v>29.52</v>
      </c>
      <c r="G139" s="11">
        <v>2.88</v>
      </c>
      <c r="H139" s="9" t="s">
        <v>23</v>
      </c>
      <c r="I139" s="9" t="s">
        <v>24</v>
      </c>
      <c r="J139" s="9" t="s">
        <v>12</v>
      </c>
      <c r="K139" s="13" t="s">
        <v>31</v>
      </c>
    </row>
    <row r="140" spans="1:11" x14ac:dyDescent="0.3">
      <c r="A140" s="7">
        <v>69</v>
      </c>
      <c r="B140" s="8">
        <v>39967</v>
      </c>
      <c r="C140" s="7">
        <v>42</v>
      </c>
      <c r="D140" s="7">
        <f t="shared" si="10"/>
        <v>1299.06</v>
      </c>
      <c r="E140" s="9" t="s">
        <v>9</v>
      </c>
      <c r="F140" s="10">
        <f t="shared" si="11"/>
        <v>324.76499999999999</v>
      </c>
      <c r="G140" s="11">
        <v>30.93</v>
      </c>
      <c r="H140" s="9" t="s">
        <v>25</v>
      </c>
      <c r="I140" s="9" t="s">
        <v>14</v>
      </c>
      <c r="J140" s="9" t="s">
        <v>16</v>
      </c>
      <c r="K140" s="13" t="s">
        <v>32</v>
      </c>
    </row>
    <row r="141" spans="1:11" x14ac:dyDescent="0.3">
      <c r="A141" s="7">
        <v>69</v>
      </c>
      <c r="B141" s="8">
        <v>39967</v>
      </c>
      <c r="C141" s="7">
        <v>28</v>
      </c>
      <c r="D141" s="7">
        <f t="shared" si="10"/>
        <v>4704</v>
      </c>
      <c r="E141" s="9" t="s">
        <v>26</v>
      </c>
      <c r="F141" s="10">
        <f t="shared" si="11"/>
        <v>1176</v>
      </c>
      <c r="G141" s="11">
        <v>168</v>
      </c>
      <c r="H141" s="9" t="s">
        <v>25</v>
      </c>
      <c r="I141" s="9" t="s">
        <v>14</v>
      </c>
      <c r="J141" s="9" t="s">
        <v>12</v>
      </c>
      <c r="K141" s="13" t="s">
        <v>29</v>
      </c>
    </row>
    <row r="142" spans="1:11" x14ac:dyDescent="0.3">
      <c r="A142" s="7">
        <v>70</v>
      </c>
      <c r="B142" s="8">
        <v>40529</v>
      </c>
      <c r="C142" s="7">
        <v>48</v>
      </c>
      <c r="D142" s="7">
        <f t="shared" si="10"/>
        <v>8928</v>
      </c>
      <c r="E142" s="9" t="s">
        <v>9</v>
      </c>
      <c r="F142" s="10">
        <f t="shared" si="11"/>
        <v>2232</v>
      </c>
      <c r="G142" s="11">
        <v>186</v>
      </c>
      <c r="H142" s="9" t="s">
        <v>27</v>
      </c>
      <c r="I142" s="9" t="s">
        <v>21</v>
      </c>
      <c r="J142" s="9" t="s">
        <v>12</v>
      </c>
      <c r="K142" s="13" t="s">
        <v>30</v>
      </c>
    </row>
    <row r="143" spans="1:11" x14ac:dyDescent="0.3">
      <c r="A143" s="7">
        <v>70</v>
      </c>
      <c r="B143" s="8">
        <v>40529</v>
      </c>
      <c r="C143" s="7">
        <v>46</v>
      </c>
      <c r="D143" s="7">
        <f t="shared" si="10"/>
        <v>9475.5400000000009</v>
      </c>
      <c r="E143" s="9" t="s">
        <v>9</v>
      </c>
      <c r="F143" s="10">
        <f t="shared" si="11"/>
        <v>2368.8850000000002</v>
      </c>
      <c r="G143" s="11">
        <v>205.99</v>
      </c>
      <c r="H143" s="9" t="s">
        <v>27</v>
      </c>
      <c r="I143" s="9" t="s">
        <v>21</v>
      </c>
      <c r="J143" s="9" t="s">
        <v>18</v>
      </c>
      <c r="K143" s="13" t="s">
        <v>31</v>
      </c>
    </row>
    <row r="144" spans="1:11" x14ac:dyDescent="0.3">
      <c r="A144" s="7">
        <v>3</v>
      </c>
      <c r="B144" s="8">
        <v>40464</v>
      </c>
      <c r="C144" s="7">
        <v>25</v>
      </c>
      <c r="D144" s="7">
        <f>C144*G144</f>
        <v>973.5</v>
      </c>
      <c r="E144" s="9" t="s">
        <v>9</v>
      </c>
      <c r="F144" s="10">
        <f>D144*25%</f>
        <v>243.375</v>
      </c>
      <c r="G144" s="11">
        <v>38.94</v>
      </c>
      <c r="H144" s="9" t="s">
        <v>10</v>
      </c>
      <c r="I144" s="9" t="s">
        <v>11</v>
      </c>
      <c r="J144" s="9" t="s">
        <v>12</v>
      </c>
      <c r="K144" s="13" t="s">
        <v>29</v>
      </c>
    </row>
    <row r="145" spans="1:11" x14ac:dyDescent="0.3">
      <c r="A145" s="7">
        <v>6</v>
      </c>
      <c r="B145" s="8">
        <v>40959</v>
      </c>
      <c r="C145" s="7">
        <v>150</v>
      </c>
      <c r="D145" s="7">
        <f t="shared" ref="D145:D166" si="12">C145*G145</f>
        <v>3761.9999999999995</v>
      </c>
      <c r="E145" s="9" t="s">
        <v>9</v>
      </c>
      <c r="F145" s="10">
        <f t="shared" ref="F145:F166" si="13">D145*25%</f>
        <v>940.49999999999989</v>
      </c>
      <c r="G145" s="11">
        <v>25.08</v>
      </c>
      <c r="H145" s="9" t="s">
        <v>13</v>
      </c>
      <c r="I145" s="9" t="s">
        <v>14</v>
      </c>
      <c r="J145" s="9" t="s">
        <v>12</v>
      </c>
      <c r="K145" s="13" t="s">
        <v>30</v>
      </c>
    </row>
    <row r="146" spans="1:11" x14ac:dyDescent="0.3">
      <c r="A146" s="7">
        <v>32</v>
      </c>
      <c r="B146" s="8">
        <v>40739</v>
      </c>
      <c r="C146" s="7">
        <v>200</v>
      </c>
      <c r="D146" s="7">
        <f t="shared" si="12"/>
        <v>21506</v>
      </c>
      <c r="E146" s="9" t="s">
        <v>9</v>
      </c>
      <c r="F146" s="10">
        <f t="shared" si="13"/>
        <v>5376.5</v>
      </c>
      <c r="G146" s="11">
        <v>107.53</v>
      </c>
      <c r="H146" s="9" t="s">
        <v>15</v>
      </c>
      <c r="I146" s="9" t="s">
        <v>14</v>
      </c>
      <c r="J146" s="9" t="s">
        <v>16</v>
      </c>
      <c r="K146" s="13" t="s">
        <v>31</v>
      </c>
    </row>
    <row r="147" spans="1:11" x14ac:dyDescent="0.3">
      <c r="A147" s="7">
        <v>32</v>
      </c>
      <c r="B147" s="8">
        <v>40739</v>
      </c>
      <c r="C147" s="7">
        <v>350</v>
      </c>
      <c r="D147" s="7">
        <f t="shared" si="12"/>
        <v>24811.5</v>
      </c>
      <c r="E147" s="9" t="s">
        <v>17</v>
      </c>
      <c r="F147" s="10">
        <f t="shared" si="13"/>
        <v>6202.875</v>
      </c>
      <c r="G147" s="11">
        <v>70.89</v>
      </c>
      <c r="H147" s="9" t="s">
        <v>15</v>
      </c>
      <c r="I147" s="9" t="s">
        <v>14</v>
      </c>
      <c r="J147" s="9" t="s">
        <v>16</v>
      </c>
      <c r="K147" s="13" t="s">
        <v>32</v>
      </c>
    </row>
    <row r="148" spans="1:11" x14ac:dyDescent="0.3">
      <c r="A148" s="7">
        <v>32</v>
      </c>
      <c r="B148" s="8">
        <v>40739</v>
      </c>
      <c r="C148" s="7">
        <v>500</v>
      </c>
      <c r="D148" s="7">
        <f t="shared" si="12"/>
        <v>3995</v>
      </c>
      <c r="E148" s="9" t="s">
        <v>9</v>
      </c>
      <c r="F148" s="10">
        <f t="shared" si="13"/>
        <v>998.75</v>
      </c>
      <c r="G148" s="11">
        <v>7.99</v>
      </c>
      <c r="H148" s="9" t="s">
        <v>15</v>
      </c>
      <c r="I148" s="9" t="s">
        <v>14</v>
      </c>
      <c r="J148" s="9" t="s">
        <v>18</v>
      </c>
      <c r="K148" s="13" t="s">
        <v>29</v>
      </c>
    </row>
    <row r="149" spans="1:11" x14ac:dyDescent="0.3">
      <c r="A149" s="7">
        <v>32</v>
      </c>
      <c r="B149" s="8">
        <v>40739</v>
      </c>
      <c r="C149" s="7">
        <v>650</v>
      </c>
      <c r="D149" s="7">
        <f t="shared" si="12"/>
        <v>5499.0000000000009</v>
      </c>
      <c r="E149" s="9" t="s">
        <v>9</v>
      </c>
      <c r="F149" s="10">
        <f t="shared" si="13"/>
        <v>1374.7500000000002</v>
      </c>
      <c r="G149" s="11">
        <v>8.4600000000000009</v>
      </c>
      <c r="H149" s="9" t="s">
        <v>15</v>
      </c>
      <c r="I149" s="9" t="s">
        <v>14</v>
      </c>
      <c r="J149" s="9" t="s">
        <v>18</v>
      </c>
      <c r="K149" s="13" t="s">
        <v>30</v>
      </c>
    </row>
    <row r="150" spans="1:11" x14ac:dyDescent="0.3">
      <c r="A150" s="7">
        <v>35</v>
      </c>
      <c r="B150" s="8">
        <v>40838</v>
      </c>
      <c r="C150" s="7">
        <v>800</v>
      </c>
      <c r="D150" s="7">
        <f t="shared" si="12"/>
        <v>7288</v>
      </c>
      <c r="E150" s="9" t="s">
        <v>9</v>
      </c>
      <c r="F150" s="10">
        <f t="shared" si="13"/>
        <v>1822</v>
      </c>
      <c r="G150" s="11">
        <v>9.11</v>
      </c>
      <c r="H150" s="9" t="s">
        <v>19</v>
      </c>
      <c r="I150" s="9" t="s">
        <v>14</v>
      </c>
      <c r="J150" s="9" t="s">
        <v>12</v>
      </c>
      <c r="K150" s="13" t="s">
        <v>31</v>
      </c>
    </row>
    <row r="151" spans="1:11" x14ac:dyDescent="0.3">
      <c r="A151" s="7">
        <v>35</v>
      </c>
      <c r="B151" s="8">
        <v>40838</v>
      </c>
      <c r="C151" s="7">
        <v>25</v>
      </c>
      <c r="D151" s="7">
        <f t="shared" si="12"/>
        <v>3899.75</v>
      </c>
      <c r="E151" s="9" t="s">
        <v>9</v>
      </c>
      <c r="F151" s="10">
        <f t="shared" si="13"/>
        <v>974.9375</v>
      </c>
      <c r="G151" s="11">
        <v>155.99</v>
      </c>
      <c r="H151" s="9" t="s">
        <v>19</v>
      </c>
      <c r="I151" s="9" t="s">
        <v>14</v>
      </c>
      <c r="J151" s="9" t="s">
        <v>18</v>
      </c>
      <c r="K151" s="13" t="s">
        <v>32</v>
      </c>
    </row>
    <row r="152" spans="1:11" x14ac:dyDescent="0.3">
      <c r="A152" s="7">
        <v>36</v>
      </c>
      <c r="B152" s="8">
        <v>40849</v>
      </c>
      <c r="C152" s="7">
        <v>46</v>
      </c>
      <c r="D152" s="7">
        <f t="shared" si="12"/>
        <v>29945.54</v>
      </c>
      <c r="E152" s="9" t="s">
        <v>9</v>
      </c>
      <c r="F152" s="10">
        <f t="shared" si="13"/>
        <v>7486.3850000000002</v>
      </c>
      <c r="G152" s="11">
        <v>650.99</v>
      </c>
      <c r="H152" s="9" t="s">
        <v>20</v>
      </c>
      <c r="I152" s="9" t="s">
        <v>21</v>
      </c>
      <c r="J152" s="9" t="s">
        <v>18</v>
      </c>
      <c r="K152" s="13" t="s">
        <v>29</v>
      </c>
    </row>
    <row r="153" spans="1:11" x14ac:dyDescent="0.3">
      <c r="A153" s="7">
        <v>65</v>
      </c>
      <c r="B153" s="8">
        <v>40619</v>
      </c>
      <c r="C153" s="7">
        <v>175</v>
      </c>
      <c r="D153" s="7">
        <f t="shared" si="12"/>
        <v>20263.25</v>
      </c>
      <c r="E153" s="9" t="s">
        <v>9</v>
      </c>
      <c r="F153" s="10">
        <f t="shared" si="13"/>
        <v>5065.8125</v>
      </c>
      <c r="G153" s="11">
        <v>115.79</v>
      </c>
      <c r="H153" s="9" t="s">
        <v>22</v>
      </c>
      <c r="I153" s="9" t="s">
        <v>14</v>
      </c>
      <c r="J153" s="9" t="s">
        <v>18</v>
      </c>
      <c r="K153" s="13" t="s">
        <v>30</v>
      </c>
    </row>
    <row r="154" spans="1:11" x14ac:dyDescent="0.3">
      <c r="A154" s="7">
        <v>32</v>
      </c>
      <c r="B154" s="8">
        <v>39644</v>
      </c>
      <c r="C154" s="7">
        <v>260</v>
      </c>
      <c r="D154" s="7">
        <f t="shared" si="12"/>
        <v>27957.8</v>
      </c>
      <c r="E154" s="9" t="s">
        <v>9</v>
      </c>
      <c r="F154" s="10">
        <f t="shared" si="13"/>
        <v>6989.45</v>
      </c>
      <c r="G154" s="11">
        <v>107.53</v>
      </c>
      <c r="H154" s="9" t="s">
        <v>15</v>
      </c>
      <c r="I154" s="9" t="s">
        <v>14</v>
      </c>
      <c r="J154" s="9" t="s">
        <v>16</v>
      </c>
      <c r="K154" s="13" t="s">
        <v>31</v>
      </c>
    </row>
    <row r="155" spans="1:11" x14ac:dyDescent="0.3">
      <c r="A155" s="7">
        <v>32</v>
      </c>
      <c r="B155" s="8">
        <v>39644</v>
      </c>
      <c r="C155" s="7">
        <v>24</v>
      </c>
      <c r="D155" s="7">
        <f t="shared" si="12"/>
        <v>1701.3600000000001</v>
      </c>
      <c r="E155" s="9" t="s">
        <v>17</v>
      </c>
      <c r="F155" s="10">
        <f t="shared" si="13"/>
        <v>425.34000000000003</v>
      </c>
      <c r="G155" s="11">
        <v>70.89</v>
      </c>
      <c r="H155" s="9" t="s">
        <v>15</v>
      </c>
      <c r="I155" s="9" t="s">
        <v>14</v>
      </c>
      <c r="J155" s="9" t="s">
        <v>16</v>
      </c>
      <c r="K155" s="13" t="s">
        <v>32</v>
      </c>
    </row>
    <row r="156" spans="1:11" x14ac:dyDescent="0.3">
      <c r="A156" s="7">
        <v>32</v>
      </c>
      <c r="B156" s="8">
        <v>39644</v>
      </c>
      <c r="C156" s="7">
        <v>23</v>
      </c>
      <c r="D156" s="7">
        <f t="shared" si="12"/>
        <v>183.77</v>
      </c>
      <c r="E156" s="9" t="s">
        <v>9</v>
      </c>
      <c r="F156" s="10">
        <f t="shared" si="13"/>
        <v>45.942500000000003</v>
      </c>
      <c r="G156" s="11">
        <v>7.99</v>
      </c>
      <c r="H156" s="9" t="s">
        <v>15</v>
      </c>
      <c r="I156" s="9" t="s">
        <v>14</v>
      </c>
      <c r="J156" s="9" t="s">
        <v>18</v>
      </c>
      <c r="K156" s="13" t="s">
        <v>29</v>
      </c>
    </row>
    <row r="157" spans="1:11" x14ac:dyDescent="0.3">
      <c r="A157" s="7">
        <v>32</v>
      </c>
      <c r="B157" s="8">
        <v>39644</v>
      </c>
      <c r="C157" s="7">
        <v>150</v>
      </c>
      <c r="D157" s="7">
        <f t="shared" si="12"/>
        <v>12068.999999999998</v>
      </c>
      <c r="E157" s="9" t="s">
        <v>9</v>
      </c>
      <c r="F157" s="10">
        <f t="shared" si="13"/>
        <v>3017.2499999999995</v>
      </c>
      <c r="G157" s="11">
        <v>80.459999999999994</v>
      </c>
      <c r="H157" s="9" t="s">
        <v>15</v>
      </c>
      <c r="I157" s="9" t="s">
        <v>14</v>
      </c>
      <c r="J157" s="9" t="s">
        <v>18</v>
      </c>
      <c r="K157" s="13" t="s">
        <v>30</v>
      </c>
    </row>
    <row r="158" spans="1:11" x14ac:dyDescent="0.3">
      <c r="A158" s="7">
        <v>35</v>
      </c>
      <c r="B158" s="8">
        <v>39743</v>
      </c>
      <c r="C158" s="7">
        <v>30</v>
      </c>
      <c r="D158" s="7">
        <f t="shared" si="12"/>
        <v>273.29999999999995</v>
      </c>
      <c r="E158" s="9" t="s">
        <v>9</v>
      </c>
      <c r="F158" s="10">
        <f t="shared" si="13"/>
        <v>68.324999999999989</v>
      </c>
      <c r="G158" s="11">
        <v>9.11</v>
      </c>
      <c r="H158" s="9" t="s">
        <v>19</v>
      </c>
      <c r="I158" s="9" t="s">
        <v>14</v>
      </c>
      <c r="J158" s="9" t="s">
        <v>12</v>
      </c>
      <c r="K158" s="13" t="s">
        <v>31</v>
      </c>
    </row>
    <row r="159" spans="1:11" x14ac:dyDescent="0.3">
      <c r="A159" s="7">
        <v>35</v>
      </c>
      <c r="B159" s="8">
        <v>39743</v>
      </c>
      <c r="C159" s="7">
        <v>14</v>
      </c>
      <c r="D159" s="7">
        <f t="shared" si="12"/>
        <v>2183.86</v>
      </c>
      <c r="E159" s="9" t="s">
        <v>9</v>
      </c>
      <c r="F159" s="10">
        <f t="shared" si="13"/>
        <v>545.96500000000003</v>
      </c>
      <c r="G159" s="11">
        <v>155.99</v>
      </c>
      <c r="H159" s="9" t="s">
        <v>19</v>
      </c>
      <c r="I159" s="9" t="s">
        <v>14</v>
      </c>
      <c r="J159" s="9" t="s">
        <v>18</v>
      </c>
      <c r="K159" s="13" t="s">
        <v>32</v>
      </c>
    </row>
    <row r="160" spans="1:11" x14ac:dyDescent="0.3">
      <c r="A160" s="7">
        <v>36</v>
      </c>
      <c r="B160" s="8">
        <v>39743</v>
      </c>
      <c r="C160" s="7">
        <v>46</v>
      </c>
      <c r="D160" s="7">
        <f t="shared" si="12"/>
        <v>3035.54</v>
      </c>
      <c r="E160" s="9" t="s">
        <v>9</v>
      </c>
      <c r="F160" s="10">
        <f t="shared" si="13"/>
        <v>758.88499999999999</v>
      </c>
      <c r="G160" s="11">
        <v>65.989999999999995</v>
      </c>
      <c r="H160" s="9" t="s">
        <v>20</v>
      </c>
      <c r="I160" s="9" t="s">
        <v>21</v>
      </c>
      <c r="J160" s="9" t="s">
        <v>18</v>
      </c>
      <c r="K160" s="13" t="s">
        <v>29</v>
      </c>
    </row>
    <row r="161" spans="1:11" x14ac:dyDescent="0.3">
      <c r="A161" s="7">
        <v>65</v>
      </c>
      <c r="B161" s="8">
        <v>39743</v>
      </c>
      <c r="C161" s="7">
        <v>32</v>
      </c>
      <c r="D161" s="7">
        <f t="shared" si="12"/>
        <v>3705.28</v>
      </c>
      <c r="E161" s="9" t="s">
        <v>9</v>
      </c>
      <c r="F161" s="10">
        <f t="shared" si="13"/>
        <v>926.32</v>
      </c>
      <c r="G161" s="11">
        <v>115.79</v>
      </c>
      <c r="H161" s="9" t="s">
        <v>22</v>
      </c>
      <c r="I161" s="9" t="s">
        <v>14</v>
      </c>
      <c r="J161" s="9" t="s">
        <v>18</v>
      </c>
      <c r="K161" s="13" t="s">
        <v>30</v>
      </c>
    </row>
    <row r="162" spans="1:11" x14ac:dyDescent="0.3">
      <c r="A162" s="7">
        <v>66</v>
      </c>
      <c r="B162" s="8">
        <v>39832</v>
      </c>
      <c r="C162" s="7">
        <v>41</v>
      </c>
      <c r="D162" s="7">
        <f t="shared" si="12"/>
        <v>118.08</v>
      </c>
      <c r="E162" s="9" t="s">
        <v>9</v>
      </c>
      <c r="F162" s="10">
        <f t="shared" si="13"/>
        <v>29.52</v>
      </c>
      <c r="G162" s="11">
        <v>2.88</v>
      </c>
      <c r="H162" s="9" t="s">
        <v>23</v>
      </c>
      <c r="I162" s="9" t="s">
        <v>24</v>
      </c>
      <c r="J162" s="9" t="s">
        <v>12</v>
      </c>
      <c r="K162" s="13" t="s">
        <v>31</v>
      </c>
    </row>
    <row r="163" spans="1:11" x14ac:dyDescent="0.3">
      <c r="A163" s="7">
        <v>69</v>
      </c>
      <c r="B163" s="8">
        <v>39967</v>
      </c>
      <c r="C163" s="7">
        <v>42</v>
      </c>
      <c r="D163" s="7">
        <f t="shared" si="12"/>
        <v>1299.06</v>
      </c>
      <c r="E163" s="9" t="s">
        <v>9</v>
      </c>
      <c r="F163" s="10">
        <f t="shared" si="13"/>
        <v>324.76499999999999</v>
      </c>
      <c r="G163" s="11">
        <v>30.93</v>
      </c>
      <c r="H163" s="9" t="s">
        <v>25</v>
      </c>
      <c r="I163" s="9" t="s">
        <v>14</v>
      </c>
      <c r="J163" s="9" t="s">
        <v>16</v>
      </c>
      <c r="K163" s="13" t="s">
        <v>32</v>
      </c>
    </row>
    <row r="164" spans="1:11" x14ac:dyDescent="0.3">
      <c r="A164" s="7">
        <v>69</v>
      </c>
      <c r="B164" s="8">
        <v>39967</v>
      </c>
      <c r="C164" s="7">
        <v>28</v>
      </c>
      <c r="D164" s="7">
        <f t="shared" si="12"/>
        <v>4704</v>
      </c>
      <c r="E164" s="9" t="s">
        <v>26</v>
      </c>
      <c r="F164" s="10">
        <f t="shared" si="13"/>
        <v>1176</v>
      </c>
      <c r="G164" s="11">
        <v>168</v>
      </c>
      <c r="H164" s="9" t="s">
        <v>25</v>
      </c>
      <c r="I164" s="9" t="s">
        <v>14</v>
      </c>
      <c r="J164" s="9" t="s">
        <v>12</v>
      </c>
      <c r="K164" s="13" t="s">
        <v>29</v>
      </c>
    </row>
    <row r="165" spans="1:11" x14ac:dyDescent="0.3">
      <c r="A165" s="7">
        <v>70</v>
      </c>
      <c r="B165" s="8">
        <v>40529</v>
      </c>
      <c r="C165" s="7">
        <v>48</v>
      </c>
      <c r="D165" s="7">
        <f t="shared" si="12"/>
        <v>8928</v>
      </c>
      <c r="E165" s="9" t="s">
        <v>9</v>
      </c>
      <c r="F165" s="10">
        <f t="shared" si="13"/>
        <v>2232</v>
      </c>
      <c r="G165" s="11">
        <v>186</v>
      </c>
      <c r="H165" s="9" t="s">
        <v>27</v>
      </c>
      <c r="I165" s="9" t="s">
        <v>21</v>
      </c>
      <c r="J165" s="9" t="s">
        <v>12</v>
      </c>
      <c r="K165" s="13" t="s">
        <v>30</v>
      </c>
    </row>
    <row r="166" spans="1:11" x14ac:dyDescent="0.3">
      <c r="A166" s="7">
        <v>70</v>
      </c>
      <c r="B166" s="8">
        <v>40529</v>
      </c>
      <c r="C166" s="7">
        <v>46</v>
      </c>
      <c r="D166" s="7">
        <f t="shared" si="12"/>
        <v>9475.5400000000009</v>
      </c>
      <c r="E166" s="9" t="s">
        <v>9</v>
      </c>
      <c r="F166" s="10">
        <f t="shared" si="13"/>
        <v>2368.8850000000002</v>
      </c>
      <c r="G166" s="11">
        <v>205.99</v>
      </c>
      <c r="H166" s="9" t="s">
        <v>27</v>
      </c>
      <c r="I166" s="9" t="s">
        <v>21</v>
      </c>
      <c r="J166" s="9" t="s">
        <v>18</v>
      </c>
      <c r="K166" s="13" t="s">
        <v>31</v>
      </c>
    </row>
    <row r="167" spans="1:11" x14ac:dyDescent="0.3">
      <c r="A167" s="7">
        <v>3</v>
      </c>
      <c r="B167" s="8">
        <v>40464</v>
      </c>
      <c r="C167" s="7">
        <v>25</v>
      </c>
      <c r="D167" s="7">
        <f>C167*G167</f>
        <v>973.5</v>
      </c>
      <c r="E167" s="9" t="s">
        <v>9</v>
      </c>
      <c r="F167" s="10">
        <f>D167*25%</f>
        <v>243.375</v>
      </c>
      <c r="G167" s="11">
        <v>38.94</v>
      </c>
      <c r="H167" s="9" t="s">
        <v>10</v>
      </c>
      <c r="I167" s="9" t="s">
        <v>11</v>
      </c>
      <c r="J167" s="9" t="s">
        <v>12</v>
      </c>
      <c r="K167" s="13" t="s">
        <v>29</v>
      </c>
    </row>
    <row r="168" spans="1:11" x14ac:dyDescent="0.3">
      <c r="A168" s="7">
        <v>6</v>
      </c>
      <c r="B168" s="8">
        <v>40959</v>
      </c>
      <c r="C168" s="7">
        <v>150</v>
      </c>
      <c r="D168" s="7">
        <f t="shared" ref="D168:D189" si="14">C168*G168</f>
        <v>3761.9999999999995</v>
      </c>
      <c r="E168" s="9" t="s">
        <v>9</v>
      </c>
      <c r="F168" s="10">
        <f t="shared" ref="F168:F189" si="15">D168*25%</f>
        <v>940.49999999999989</v>
      </c>
      <c r="G168" s="11">
        <v>25.08</v>
      </c>
      <c r="H168" s="9" t="s">
        <v>13</v>
      </c>
      <c r="I168" s="9" t="s">
        <v>14</v>
      </c>
      <c r="J168" s="9" t="s">
        <v>12</v>
      </c>
      <c r="K168" s="13" t="s">
        <v>30</v>
      </c>
    </row>
    <row r="169" spans="1:11" x14ac:dyDescent="0.3">
      <c r="A169" s="7">
        <v>32</v>
      </c>
      <c r="B169" s="8">
        <v>40739</v>
      </c>
      <c r="C169" s="7">
        <v>200</v>
      </c>
      <c r="D169" s="7">
        <f t="shared" si="14"/>
        <v>21506</v>
      </c>
      <c r="E169" s="9" t="s">
        <v>9</v>
      </c>
      <c r="F169" s="10">
        <f t="shared" si="15"/>
        <v>5376.5</v>
      </c>
      <c r="G169" s="11">
        <v>107.53</v>
      </c>
      <c r="H169" s="9" t="s">
        <v>15</v>
      </c>
      <c r="I169" s="9" t="s">
        <v>14</v>
      </c>
      <c r="J169" s="9" t="s">
        <v>16</v>
      </c>
      <c r="K169" s="13" t="s">
        <v>31</v>
      </c>
    </row>
    <row r="170" spans="1:11" x14ac:dyDescent="0.3">
      <c r="A170" s="7">
        <v>32</v>
      </c>
      <c r="B170" s="8">
        <v>40739</v>
      </c>
      <c r="C170" s="7">
        <v>350</v>
      </c>
      <c r="D170" s="7">
        <f t="shared" si="14"/>
        <v>24811.5</v>
      </c>
      <c r="E170" s="9" t="s">
        <v>17</v>
      </c>
      <c r="F170" s="10">
        <f t="shared" si="15"/>
        <v>6202.875</v>
      </c>
      <c r="G170" s="11">
        <v>70.89</v>
      </c>
      <c r="H170" s="9" t="s">
        <v>15</v>
      </c>
      <c r="I170" s="9" t="s">
        <v>14</v>
      </c>
      <c r="J170" s="9" t="s">
        <v>16</v>
      </c>
      <c r="K170" s="13" t="s">
        <v>32</v>
      </c>
    </row>
    <row r="171" spans="1:11" x14ac:dyDescent="0.3">
      <c r="A171" s="7">
        <v>32</v>
      </c>
      <c r="B171" s="8">
        <v>40739</v>
      </c>
      <c r="C171" s="7">
        <v>500</v>
      </c>
      <c r="D171" s="7">
        <f t="shared" si="14"/>
        <v>3995</v>
      </c>
      <c r="E171" s="9" t="s">
        <v>9</v>
      </c>
      <c r="F171" s="10">
        <f t="shared" si="15"/>
        <v>998.75</v>
      </c>
      <c r="G171" s="11">
        <v>7.99</v>
      </c>
      <c r="H171" s="9" t="s">
        <v>15</v>
      </c>
      <c r="I171" s="9" t="s">
        <v>14</v>
      </c>
      <c r="J171" s="9" t="s">
        <v>18</v>
      </c>
      <c r="K171" s="13" t="s">
        <v>29</v>
      </c>
    </row>
    <row r="172" spans="1:11" x14ac:dyDescent="0.3">
      <c r="A172" s="7">
        <v>32</v>
      </c>
      <c r="B172" s="8">
        <v>40739</v>
      </c>
      <c r="C172" s="7">
        <v>650</v>
      </c>
      <c r="D172" s="7">
        <f t="shared" si="14"/>
        <v>5499.0000000000009</v>
      </c>
      <c r="E172" s="9" t="s">
        <v>9</v>
      </c>
      <c r="F172" s="10">
        <f t="shared" si="15"/>
        <v>1374.7500000000002</v>
      </c>
      <c r="G172" s="11">
        <v>8.4600000000000009</v>
      </c>
      <c r="H172" s="9" t="s">
        <v>15</v>
      </c>
      <c r="I172" s="9" t="s">
        <v>14</v>
      </c>
      <c r="J172" s="9" t="s">
        <v>18</v>
      </c>
      <c r="K172" s="13" t="s">
        <v>30</v>
      </c>
    </row>
    <row r="173" spans="1:11" x14ac:dyDescent="0.3">
      <c r="A173" s="7">
        <v>35</v>
      </c>
      <c r="B173" s="8">
        <v>40838</v>
      </c>
      <c r="C173" s="7">
        <v>800</v>
      </c>
      <c r="D173" s="7">
        <f t="shared" si="14"/>
        <v>7288</v>
      </c>
      <c r="E173" s="9" t="s">
        <v>9</v>
      </c>
      <c r="F173" s="10">
        <f t="shared" si="15"/>
        <v>1822</v>
      </c>
      <c r="G173" s="11">
        <v>9.11</v>
      </c>
      <c r="H173" s="9" t="s">
        <v>19</v>
      </c>
      <c r="I173" s="9" t="s">
        <v>14</v>
      </c>
      <c r="J173" s="9" t="s">
        <v>12</v>
      </c>
      <c r="K173" s="13" t="s">
        <v>31</v>
      </c>
    </row>
    <row r="174" spans="1:11" x14ac:dyDescent="0.3">
      <c r="A174" s="7">
        <v>35</v>
      </c>
      <c r="B174" s="8">
        <v>40838</v>
      </c>
      <c r="C174" s="7">
        <v>25</v>
      </c>
      <c r="D174" s="7">
        <f t="shared" si="14"/>
        <v>3899.75</v>
      </c>
      <c r="E174" s="9" t="s">
        <v>9</v>
      </c>
      <c r="F174" s="10">
        <f t="shared" si="15"/>
        <v>974.9375</v>
      </c>
      <c r="G174" s="11">
        <v>155.99</v>
      </c>
      <c r="H174" s="9" t="s">
        <v>19</v>
      </c>
      <c r="I174" s="9" t="s">
        <v>14</v>
      </c>
      <c r="J174" s="9" t="s">
        <v>18</v>
      </c>
      <c r="K174" s="13" t="s">
        <v>32</v>
      </c>
    </row>
    <row r="175" spans="1:11" x14ac:dyDescent="0.3">
      <c r="A175" s="7">
        <v>36</v>
      </c>
      <c r="B175" s="8">
        <v>40849</v>
      </c>
      <c r="C175" s="7">
        <v>46</v>
      </c>
      <c r="D175" s="7">
        <f t="shared" si="14"/>
        <v>29945.54</v>
      </c>
      <c r="E175" s="9" t="s">
        <v>9</v>
      </c>
      <c r="F175" s="10">
        <f t="shared" si="15"/>
        <v>7486.3850000000002</v>
      </c>
      <c r="G175" s="11">
        <v>650.99</v>
      </c>
      <c r="H175" s="9" t="s">
        <v>20</v>
      </c>
      <c r="I175" s="9" t="s">
        <v>21</v>
      </c>
      <c r="J175" s="9" t="s">
        <v>18</v>
      </c>
      <c r="K175" s="13" t="s">
        <v>29</v>
      </c>
    </row>
    <row r="176" spans="1:11" x14ac:dyDescent="0.3">
      <c r="A176" s="7">
        <v>65</v>
      </c>
      <c r="B176" s="8">
        <v>40619</v>
      </c>
      <c r="C176" s="7">
        <v>175</v>
      </c>
      <c r="D176" s="7">
        <f t="shared" si="14"/>
        <v>20263.25</v>
      </c>
      <c r="E176" s="9" t="s">
        <v>9</v>
      </c>
      <c r="F176" s="10">
        <f t="shared" si="15"/>
        <v>5065.8125</v>
      </c>
      <c r="G176" s="11">
        <v>115.79</v>
      </c>
      <c r="H176" s="9" t="s">
        <v>22</v>
      </c>
      <c r="I176" s="9" t="s">
        <v>14</v>
      </c>
      <c r="J176" s="9" t="s">
        <v>18</v>
      </c>
      <c r="K176" s="13" t="s">
        <v>30</v>
      </c>
    </row>
    <row r="177" spans="1:11" x14ac:dyDescent="0.3">
      <c r="A177" s="7">
        <v>32</v>
      </c>
      <c r="B177" s="8">
        <v>39644</v>
      </c>
      <c r="C177" s="7">
        <v>260</v>
      </c>
      <c r="D177" s="7">
        <f t="shared" si="14"/>
        <v>27957.8</v>
      </c>
      <c r="E177" s="9" t="s">
        <v>9</v>
      </c>
      <c r="F177" s="10">
        <f t="shared" si="15"/>
        <v>6989.45</v>
      </c>
      <c r="G177" s="11">
        <v>107.53</v>
      </c>
      <c r="H177" s="9" t="s">
        <v>15</v>
      </c>
      <c r="I177" s="9" t="s">
        <v>14</v>
      </c>
      <c r="J177" s="9" t="s">
        <v>16</v>
      </c>
      <c r="K177" s="13" t="s">
        <v>31</v>
      </c>
    </row>
    <row r="178" spans="1:11" x14ac:dyDescent="0.3">
      <c r="A178" s="7">
        <v>32</v>
      </c>
      <c r="B178" s="8">
        <v>39644</v>
      </c>
      <c r="C178" s="7">
        <v>24</v>
      </c>
      <c r="D178" s="7">
        <f t="shared" si="14"/>
        <v>1701.3600000000001</v>
      </c>
      <c r="E178" s="9" t="s">
        <v>17</v>
      </c>
      <c r="F178" s="10">
        <f t="shared" si="15"/>
        <v>425.34000000000003</v>
      </c>
      <c r="G178" s="11">
        <v>70.89</v>
      </c>
      <c r="H178" s="9" t="s">
        <v>15</v>
      </c>
      <c r="I178" s="9" t="s">
        <v>14</v>
      </c>
      <c r="J178" s="9" t="s">
        <v>16</v>
      </c>
      <c r="K178" s="13" t="s">
        <v>32</v>
      </c>
    </row>
    <row r="179" spans="1:11" x14ac:dyDescent="0.3">
      <c r="A179" s="7">
        <v>32</v>
      </c>
      <c r="B179" s="8">
        <v>39644</v>
      </c>
      <c r="C179" s="7">
        <v>23</v>
      </c>
      <c r="D179" s="7">
        <f t="shared" si="14"/>
        <v>183.77</v>
      </c>
      <c r="E179" s="9" t="s">
        <v>9</v>
      </c>
      <c r="F179" s="10">
        <f t="shared" si="15"/>
        <v>45.942500000000003</v>
      </c>
      <c r="G179" s="11">
        <v>7.99</v>
      </c>
      <c r="H179" s="9" t="s">
        <v>15</v>
      </c>
      <c r="I179" s="9" t="s">
        <v>14</v>
      </c>
      <c r="J179" s="9" t="s">
        <v>18</v>
      </c>
      <c r="K179" s="13" t="s">
        <v>29</v>
      </c>
    </row>
    <row r="180" spans="1:11" x14ac:dyDescent="0.3">
      <c r="A180" s="7">
        <v>32</v>
      </c>
      <c r="B180" s="8">
        <v>39644</v>
      </c>
      <c r="C180" s="7">
        <v>150</v>
      </c>
      <c r="D180" s="7">
        <f t="shared" si="14"/>
        <v>12068.999999999998</v>
      </c>
      <c r="E180" s="9" t="s">
        <v>9</v>
      </c>
      <c r="F180" s="10">
        <f t="shared" si="15"/>
        <v>3017.2499999999995</v>
      </c>
      <c r="G180" s="11">
        <v>80.459999999999994</v>
      </c>
      <c r="H180" s="9" t="s">
        <v>15</v>
      </c>
      <c r="I180" s="9" t="s">
        <v>14</v>
      </c>
      <c r="J180" s="9" t="s">
        <v>18</v>
      </c>
      <c r="K180" s="13" t="s">
        <v>30</v>
      </c>
    </row>
    <row r="181" spans="1:11" x14ac:dyDescent="0.3">
      <c r="A181" s="7">
        <v>35</v>
      </c>
      <c r="B181" s="8">
        <v>39743</v>
      </c>
      <c r="C181" s="7">
        <v>30</v>
      </c>
      <c r="D181" s="7">
        <f t="shared" si="14"/>
        <v>273.29999999999995</v>
      </c>
      <c r="E181" s="9" t="s">
        <v>9</v>
      </c>
      <c r="F181" s="10">
        <f t="shared" si="15"/>
        <v>68.324999999999989</v>
      </c>
      <c r="G181" s="11">
        <v>9.11</v>
      </c>
      <c r="H181" s="9" t="s">
        <v>19</v>
      </c>
      <c r="I181" s="9" t="s">
        <v>14</v>
      </c>
      <c r="J181" s="9" t="s">
        <v>12</v>
      </c>
      <c r="K181" s="13" t="s">
        <v>31</v>
      </c>
    </row>
    <row r="182" spans="1:11" x14ac:dyDescent="0.3">
      <c r="A182" s="7">
        <v>35</v>
      </c>
      <c r="B182" s="8">
        <v>39743</v>
      </c>
      <c r="C182" s="7">
        <v>14</v>
      </c>
      <c r="D182" s="7">
        <f t="shared" si="14"/>
        <v>2183.86</v>
      </c>
      <c r="E182" s="9" t="s">
        <v>9</v>
      </c>
      <c r="F182" s="10">
        <f t="shared" si="15"/>
        <v>545.96500000000003</v>
      </c>
      <c r="G182" s="11">
        <v>155.99</v>
      </c>
      <c r="H182" s="9" t="s">
        <v>19</v>
      </c>
      <c r="I182" s="9" t="s">
        <v>14</v>
      </c>
      <c r="J182" s="9" t="s">
        <v>18</v>
      </c>
      <c r="K182" s="13" t="s">
        <v>32</v>
      </c>
    </row>
    <row r="183" spans="1:11" x14ac:dyDescent="0.3">
      <c r="A183" s="7">
        <v>36</v>
      </c>
      <c r="B183" s="8">
        <v>39743</v>
      </c>
      <c r="C183" s="7">
        <v>46</v>
      </c>
      <c r="D183" s="7">
        <f t="shared" si="14"/>
        <v>3035.54</v>
      </c>
      <c r="E183" s="9" t="s">
        <v>9</v>
      </c>
      <c r="F183" s="10">
        <f t="shared" si="15"/>
        <v>758.88499999999999</v>
      </c>
      <c r="G183" s="11">
        <v>65.989999999999995</v>
      </c>
      <c r="H183" s="9" t="s">
        <v>20</v>
      </c>
      <c r="I183" s="9" t="s">
        <v>21</v>
      </c>
      <c r="J183" s="9" t="s">
        <v>18</v>
      </c>
      <c r="K183" s="13" t="s">
        <v>29</v>
      </c>
    </row>
    <row r="184" spans="1:11" x14ac:dyDescent="0.3">
      <c r="A184" s="7">
        <v>65</v>
      </c>
      <c r="B184" s="8">
        <v>39743</v>
      </c>
      <c r="C184" s="7">
        <v>32</v>
      </c>
      <c r="D184" s="7">
        <f t="shared" si="14"/>
        <v>3705.28</v>
      </c>
      <c r="E184" s="9" t="s">
        <v>9</v>
      </c>
      <c r="F184" s="10">
        <f t="shared" si="15"/>
        <v>926.32</v>
      </c>
      <c r="G184" s="11">
        <v>115.79</v>
      </c>
      <c r="H184" s="9" t="s">
        <v>22</v>
      </c>
      <c r="I184" s="9" t="s">
        <v>14</v>
      </c>
      <c r="J184" s="9" t="s">
        <v>18</v>
      </c>
      <c r="K184" s="13" t="s">
        <v>30</v>
      </c>
    </row>
    <row r="185" spans="1:11" x14ac:dyDescent="0.3">
      <c r="A185" s="7">
        <v>66</v>
      </c>
      <c r="B185" s="8">
        <v>39832</v>
      </c>
      <c r="C185" s="7">
        <v>41</v>
      </c>
      <c r="D185" s="7">
        <f t="shared" si="14"/>
        <v>118.08</v>
      </c>
      <c r="E185" s="9" t="s">
        <v>9</v>
      </c>
      <c r="F185" s="10">
        <f t="shared" si="15"/>
        <v>29.52</v>
      </c>
      <c r="G185" s="11">
        <v>2.88</v>
      </c>
      <c r="H185" s="9" t="s">
        <v>23</v>
      </c>
      <c r="I185" s="9" t="s">
        <v>24</v>
      </c>
      <c r="J185" s="9" t="s">
        <v>12</v>
      </c>
      <c r="K185" s="13" t="s">
        <v>31</v>
      </c>
    </row>
    <row r="186" spans="1:11" x14ac:dyDescent="0.3">
      <c r="A186" s="7">
        <v>69</v>
      </c>
      <c r="B186" s="8">
        <v>39967</v>
      </c>
      <c r="C186" s="7">
        <v>42</v>
      </c>
      <c r="D186" s="7">
        <f t="shared" si="14"/>
        <v>1299.06</v>
      </c>
      <c r="E186" s="9" t="s">
        <v>9</v>
      </c>
      <c r="F186" s="10">
        <f t="shared" si="15"/>
        <v>324.76499999999999</v>
      </c>
      <c r="G186" s="11">
        <v>30.93</v>
      </c>
      <c r="H186" s="9" t="s">
        <v>25</v>
      </c>
      <c r="I186" s="9" t="s">
        <v>14</v>
      </c>
      <c r="J186" s="9" t="s">
        <v>16</v>
      </c>
      <c r="K186" s="13" t="s">
        <v>32</v>
      </c>
    </row>
    <row r="187" spans="1:11" x14ac:dyDescent="0.3">
      <c r="A187" s="7">
        <v>69</v>
      </c>
      <c r="B187" s="8">
        <v>39967</v>
      </c>
      <c r="C187" s="7">
        <v>28</v>
      </c>
      <c r="D187" s="7">
        <f t="shared" si="14"/>
        <v>4704</v>
      </c>
      <c r="E187" s="9" t="s">
        <v>26</v>
      </c>
      <c r="F187" s="10">
        <f t="shared" si="15"/>
        <v>1176</v>
      </c>
      <c r="G187" s="11">
        <v>168</v>
      </c>
      <c r="H187" s="9" t="s">
        <v>25</v>
      </c>
      <c r="I187" s="9" t="s">
        <v>14</v>
      </c>
      <c r="J187" s="9" t="s">
        <v>12</v>
      </c>
      <c r="K187" s="13" t="s">
        <v>29</v>
      </c>
    </row>
    <row r="188" spans="1:11" x14ac:dyDescent="0.3">
      <c r="A188" s="7">
        <v>70</v>
      </c>
      <c r="B188" s="8">
        <v>40529</v>
      </c>
      <c r="C188" s="7">
        <v>48</v>
      </c>
      <c r="D188" s="7">
        <f t="shared" si="14"/>
        <v>8928</v>
      </c>
      <c r="E188" s="9" t="s">
        <v>9</v>
      </c>
      <c r="F188" s="10">
        <f t="shared" si="15"/>
        <v>2232</v>
      </c>
      <c r="G188" s="11">
        <v>186</v>
      </c>
      <c r="H188" s="9" t="s">
        <v>27</v>
      </c>
      <c r="I188" s="9" t="s">
        <v>21</v>
      </c>
      <c r="J188" s="9" t="s">
        <v>12</v>
      </c>
      <c r="K188" s="13" t="s">
        <v>30</v>
      </c>
    </row>
    <row r="189" spans="1:11" x14ac:dyDescent="0.3">
      <c r="A189" s="7">
        <v>70</v>
      </c>
      <c r="B189" s="8">
        <v>40529</v>
      </c>
      <c r="C189" s="7">
        <v>46</v>
      </c>
      <c r="D189" s="7">
        <f t="shared" si="14"/>
        <v>9475.5400000000009</v>
      </c>
      <c r="E189" s="9" t="s">
        <v>9</v>
      </c>
      <c r="F189" s="10">
        <f t="shared" si="15"/>
        <v>2368.8850000000002</v>
      </c>
      <c r="G189" s="11">
        <v>205.99</v>
      </c>
      <c r="H189" s="9" t="s">
        <v>27</v>
      </c>
      <c r="I189" s="9" t="s">
        <v>21</v>
      </c>
      <c r="J189" s="9" t="s">
        <v>18</v>
      </c>
      <c r="K189" s="1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Sheet4</vt:lpstr>
      <vt:lpstr>Sheet3</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nooreelahi786@outlook.com</cp:lastModifiedBy>
  <dcterms:created xsi:type="dcterms:W3CDTF">2023-07-31T07:00:24Z</dcterms:created>
  <dcterms:modified xsi:type="dcterms:W3CDTF">2026-08-07T05:37:35Z</dcterms:modified>
</cp:coreProperties>
</file>