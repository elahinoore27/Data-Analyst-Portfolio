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"/>
    </mc:Choice>
  </mc:AlternateContent>
  <xr:revisionPtr revIDLastSave="141" documentId="11_8FFA80521B526CAB256280F0BFBD85B02843CB55" xr6:coauthVersionLast="47" xr6:coauthVersionMax="47" xr10:uidLastSave="{445FC275-ED95-42E7-AC91-ECBB82D48734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D3" i="1"/>
  <c r="M3" i="1"/>
  <c r="L3" i="1"/>
  <c r="K3" i="1"/>
  <c r="J3" i="1"/>
  <c r="G3" i="1"/>
</calcChain>
</file>

<file path=xl/sharedStrings.xml><?xml version="1.0" encoding="utf-8"?>
<sst xmlns="http://schemas.openxmlformats.org/spreadsheetml/2006/main" count="74" uniqueCount="55">
  <si>
    <t>GROCERY SHOP</t>
  </si>
  <si>
    <t>Sr.no.</t>
  </si>
  <si>
    <t>Item</t>
  </si>
  <si>
    <t>Category</t>
  </si>
  <si>
    <t>Remaning Qty</t>
  </si>
  <si>
    <t>Qty</t>
  </si>
  <si>
    <t>Purchase Price</t>
  </si>
  <si>
    <t>Total purchase amt</t>
  </si>
  <si>
    <t>Selling Price</t>
  </si>
  <si>
    <t>Total sales Amt</t>
  </si>
  <si>
    <t xml:space="preserve"> Unit Profit</t>
  </si>
  <si>
    <t>Total Profit</t>
  </si>
  <si>
    <t>Milk</t>
  </si>
  <si>
    <t>Dairy</t>
  </si>
  <si>
    <t>Cheese</t>
  </si>
  <si>
    <t>Eggs</t>
  </si>
  <si>
    <t>Dark Fantasy</t>
  </si>
  <si>
    <t>Cookies</t>
  </si>
  <si>
    <t>Hide &amp; seek</t>
  </si>
  <si>
    <t>Dove</t>
  </si>
  <si>
    <t>Pears</t>
  </si>
  <si>
    <t>Loreal Paris</t>
  </si>
  <si>
    <t>Shampoo</t>
  </si>
  <si>
    <t>Butter</t>
  </si>
  <si>
    <t>Chips</t>
  </si>
  <si>
    <t>Snack</t>
  </si>
  <si>
    <t>Sugar</t>
  </si>
  <si>
    <t>Rice</t>
  </si>
  <si>
    <t>Oil</t>
  </si>
  <si>
    <t>Chili</t>
  </si>
  <si>
    <t>Sasuage</t>
  </si>
  <si>
    <t>Condiments</t>
  </si>
  <si>
    <t>Soda</t>
  </si>
  <si>
    <t>Beverages</t>
  </si>
  <si>
    <t>Juice</t>
  </si>
  <si>
    <t>Coffee</t>
  </si>
  <si>
    <t>Tea</t>
  </si>
  <si>
    <t>Water</t>
  </si>
  <si>
    <t>Apple</t>
  </si>
  <si>
    <t>Produce</t>
  </si>
  <si>
    <t>Orange</t>
  </si>
  <si>
    <t>Banana</t>
  </si>
  <si>
    <t>Tomato</t>
  </si>
  <si>
    <t>Ice cream</t>
  </si>
  <si>
    <t>Cake</t>
  </si>
  <si>
    <t>Honey</t>
  </si>
  <si>
    <t>Yougurt</t>
  </si>
  <si>
    <t>Jam</t>
  </si>
  <si>
    <t>Jelly</t>
  </si>
  <si>
    <t>Selling Qty</t>
  </si>
  <si>
    <t>Profit Percent</t>
  </si>
  <si>
    <t>Soap Lux</t>
  </si>
  <si>
    <t>Soap RIN</t>
  </si>
  <si>
    <t>Edible Oil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</si>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</sst>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/>
    <xf numFmtId="0" fontId="1" fillId="0" borderId="1" xfId="0" applyFont="1" applyBorder="1"/>
    <xf numFmtId="10" fontId="1" fillId="0" borderId="1" xfId="0" applyNumberFormat="1" applyFont="1" applyBorder="1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topLeftCell="A4" zoomScale="130" zoomScaleNormal="130" workbookViewId="0">
      <selection activeCell="D3" sqref="D3:D32"/>
    </sheetView>
  </sheetViews>
  <sheetFormatPr defaultRowHeight="14.4" x14ac:dyDescent="0.3"/>
  <cols>
    <col min="1" max="1" width="6" bestFit="1" customWidth="1"/>
    <col min="2" max="2" width="19.5546875" customWidth="1"/>
    <col min="3" max="3" width="16.44140625" customWidth="1"/>
    <col min="4" max="4" width="13.5546875" bestFit="1" customWidth="1"/>
    <col min="5" max="5" width="9.88671875" customWidth="1"/>
    <col min="6" max="6" width="14.88671875" bestFit="1" customWidth="1"/>
    <col min="7" max="7" width="19.33203125" bestFit="1" customWidth="1"/>
    <col min="8" max="8" width="11" bestFit="1" customWidth="1"/>
    <col min="9" max="9" width="12.44140625" bestFit="1" customWidth="1"/>
    <col min="10" max="10" width="15.44140625" bestFit="1" customWidth="1"/>
    <col min="11" max="11" width="11.109375" bestFit="1" customWidth="1"/>
    <col min="12" max="12" width="11.44140625" bestFit="1" customWidth="1"/>
    <col min="13" max="13" width="14" bestFit="1" customWidth="1"/>
  </cols>
  <sheetData>
    <row r="1" spans="1:13" ht="20.100000000000001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0.100000000000001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49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50</v>
      </c>
    </row>
    <row r="3" spans="1:13" ht="15.6" x14ac:dyDescent="0.3">
      <c r="A3" s="2">
        <v>1</v>
      </c>
      <c r="B3" s="2" t="s">
        <v>12</v>
      </c>
      <c r="C3" s="2" t="s">
        <v>54</v>
      </c>
      <c r="D3" s="2">
        <f>E3-H3</f>
        <v>30</v>
      </c>
      <c r="E3" s="2">
        <v>100</v>
      </c>
      <c r="F3" s="2">
        <v>40</v>
      </c>
      <c r="G3" s="1">
        <f>E3*F3</f>
        <v>4000</v>
      </c>
      <c r="H3" s="2">
        <v>70</v>
      </c>
      <c r="I3" s="2">
        <v>60</v>
      </c>
      <c r="J3" s="2">
        <f>H3*I3</f>
        <v>4200</v>
      </c>
      <c r="K3" s="2">
        <f>I3-F3</f>
        <v>20</v>
      </c>
      <c r="L3" s="2">
        <f>H3*K3</f>
        <v>1400</v>
      </c>
      <c r="M3" s="3">
        <f>L3/J3</f>
        <v>0.33333333333333331</v>
      </c>
    </row>
    <row r="4" spans="1:13" ht="15.6" x14ac:dyDescent="0.3">
      <c r="A4" s="2">
        <v>2</v>
      </c>
      <c r="B4" s="2" t="s">
        <v>14</v>
      </c>
      <c r="C4" s="2" t="s">
        <v>54</v>
      </c>
      <c r="D4" s="2">
        <f t="shared" ref="D4:D32" si="0">E4-H4</f>
        <v>30</v>
      </c>
      <c r="E4" s="2">
        <v>80</v>
      </c>
      <c r="F4" s="2">
        <v>70</v>
      </c>
      <c r="G4" s="1">
        <f t="shared" ref="G4:G32" si="1">E4*F4</f>
        <v>5600</v>
      </c>
      <c r="H4" s="2">
        <v>50</v>
      </c>
      <c r="I4" s="2">
        <v>100</v>
      </c>
      <c r="J4" s="2">
        <f t="shared" ref="J4:J32" si="2">H4*I4</f>
        <v>5000</v>
      </c>
      <c r="K4" s="2">
        <f t="shared" ref="K4:K32" si="3">I4-F4</f>
        <v>30</v>
      </c>
      <c r="L4" s="2">
        <f t="shared" ref="L4:L32" si="4">H4*K4</f>
        <v>1500</v>
      </c>
      <c r="M4" s="3">
        <f t="shared" ref="M4:M32" si="5">L4/J4</f>
        <v>0.3</v>
      </c>
    </row>
    <row r="5" spans="1:13" ht="15.6" x14ac:dyDescent="0.3">
      <c r="A5" s="2">
        <v>3</v>
      </c>
      <c r="B5" s="2" t="s">
        <v>15</v>
      </c>
      <c r="C5" s="2" t="s">
        <v>54</v>
      </c>
      <c r="D5" s="2">
        <f t="shared" si="0"/>
        <v>60</v>
      </c>
      <c r="E5" s="2">
        <v>120</v>
      </c>
      <c r="F5" s="2">
        <v>4</v>
      </c>
      <c r="G5" s="1">
        <f t="shared" si="1"/>
        <v>480</v>
      </c>
      <c r="H5" s="2">
        <v>60</v>
      </c>
      <c r="I5" s="2">
        <v>8</v>
      </c>
      <c r="J5" s="2">
        <f t="shared" si="2"/>
        <v>480</v>
      </c>
      <c r="K5" s="2">
        <f t="shared" si="3"/>
        <v>4</v>
      </c>
      <c r="L5" s="2">
        <f t="shared" si="4"/>
        <v>240</v>
      </c>
      <c r="M5" s="3">
        <f t="shared" si="5"/>
        <v>0.5</v>
      </c>
    </row>
    <row r="6" spans="1:13" ht="15.6" x14ac:dyDescent="0.3">
      <c r="A6" s="2">
        <v>4</v>
      </c>
      <c r="B6" s="2" t="s">
        <v>16</v>
      </c>
      <c r="C6" s="2" t="s">
        <v>17</v>
      </c>
      <c r="D6" s="2">
        <f t="shared" si="0"/>
        <v>30</v>
      </c>
      <c r="E6" s="2">
        <v>100</v>
      </c>
      <c r="F6" s="2">
        <v>50</v>
      </c>
      <c r="G6" s="1">
        <f t="shared" si="1"/>
        <v>5000</v>
      </c>
      <c r="H6" s="2">
        <v>70</v>
      </c>
      <c r="I6" s="2">
        <v>70</v>
      </c>
      <c r="J6" s="2">
        <f t="shared" si="2"/>
        <v>4900</v>
      </c>
      <c r="K6" s="2">
        <f t="shared" si="3"/>
        <v>20</v>
      </c>
      <c r="L6" s="2">
        <f t="shared" si="4"/>
        <v>1400</v>
      </c>
      <c r="M6" s="3">
        <f t="shared" si="5"/>
        <v>0.2857142857142857</v>
      </c>
    </row>
    <row r="7" spans="1:13" ht="15.6" x14ac:dyDescent="0.3">
      <c r="A7" s="2">
        <v>5</v>
      </c>
      <c r="B7" s="2" t="s">
        <v>18</v>
      </c>
      <c r="C7" s="2" t="s">
        <v>13</v>
      </c>
      <c r="D7" s="2">
        <f t="shared" si="0"/>
        <v>200</v>
      </c>
      <c r="E7" s="2">
        <v>400</v>
      </c>
      <c r="F7" s="2">
        <v>50</v>
      </c>
      <c r="G7" s="1">
        <f t="shared" si="1"/>
        <v>20000</v>
      </c>
      <c r="H7" s="2">
        <v>200</v>
      </c>
      <c r="I7" s="2">
        <v>80</v>
      </c>
      <c r="J7" s="2">
        <f t="shared" si="2"/>
        <v>16000</v>
      </c>
      <c r="K7" s="2">
        <f t="shared" si="3"/>
        <v>30</v>
      </c>
      <c r="L7" s="2">
        <f t="shared" si="4"/>
        <v>6000</v>
      </c>
      <c r="M7" s="3">
        <f t="shared" si="5"/>
        <v>0.375</v>
      </c>
    </row>
    <row r="8" spans="1:13" ht="15.6" x14ac:dyDescent="0.3">
      <c r="A8" s="2">
        <v>6</v>
      </c>
      <c r="B8" s="2" t="s">
        <v>19</v>
      </c>
      <c r="C8" s="2" t="s">
        <v>51</v>
      </c>
      <c r="D8" s="2">
        <f t="shared" si="0"/>
        <v>0</v>
      </c>
      <c r="E8" s="2">
        <v>35</v>
      </c>
      <c r="F8" s="2">
        <v>17</v>
      </c>
      <c r="G8" s="1">
        <f t="shared" si="1"/>
        <v>595</v>
      </c>
      <c r="H8" s="2">
        <v>35</v>
      </c>
      <c r="I8" s="2">
        <v>35</v>
      </c>
      <c r="J8" s="2">
        <f t="shared" si="2"/>
        <v>1225</v>
      </c>
      <c r="K8" s="2">
        <f t="shared" si="3"/>
        <v>18</v>
      </c>
      <c r="L8" s="2">
        <f t="shared" si="4"/>
        <v>630</v>
      </c>
      <c r="M8" s="3">
        <f t="shared" si="5"/>
        <v>0.51428571428571423</v>
      </c>
    </row>
    <row r="9" spans="1:13" ht="15.6" x14ac:dyDescent="0.3">
      <c r="A9" s="2">
        <v>7</v>
      </c>
      <c r="B9" s="2" t="s">
        <v>20</v>
      </c>
      <c r="C9" s="2" t="s">
        <v>52</v>
      </c>
      <c r="D9" s="2">
        <f t="shared" si="0"/>
        <v>70</v>
      </c>
      <c r="E9" s="2">
        <v>110</v>
      </c>
      <c r="F9" s="2">
        <v>23</v>
      </c>
      <c r="G9" s="1">
        <f t="shared" si="1"/>
        <v>2530</v>
      </c>
      <c r="H9" s="2">
        <v>40</v>
      </c>
      <c r="I9" s="2">
        <v>40</v>
      </c>
      <c r="J9" s="2">
        <f t="shared" si="2"/>
        <v>1600</v>
      </c>
      <c r="K9" s="2">
        <f t="shared" si="3"/>
        <v>17</v>
      </c>
      <c r="L9" s="2">
        <f t="shared" si="4"/>
        <v>680</v>
      </c>
      <c r="M9" s="3">
        <f t="shared" si="5"/>
        <v>0.42499999999999999</v>
      </c>
    </row>
    <row r="10" spans="1:13" ht="15.6" x14ac:dyDescent="0.3">
      <c r="A10" s="2">
        <v>8</v>
      </c>
      <c r="B10" s="2" t="s">
        <v>21</v>
      </c>
      <c r="C10" s="2" t="s">
        <v>22</v>
      </c>
      <c r="D10" s="2">
        <f t="shared" si="0"/>
        <v>50</v>
      </c>
      <c r="E10" s="2">
        <v>120</v>
      </c>
      <c r="F10" s="2">
        <v>45</v>
      </c>
      <c r="G10" s="1">
        <f t="shared" si="1"/>
        <v>5400</v>
      </c>
      <c r="H10" s="2">
        <v>70</v>
      </c>
      <c r="I10" s="2">
        <v>70</v>
      </c>
      <c r="J10" s="2">
        <f t="shared" si="2"/>
        <v>4900</v>
      </c>
      <c r="K10" s="2">
        <f t="shared" si="3"/>
        <v>25</v>
      </c>
      <c r="L10" s="2">
        <f t="shared" si="4"/>
        <v>1750</v>
      </c>
      <c r="M10" s="3">
        <f t="shared" si="5"/>
        <v>0.35714285714285715</v>
      </c>
    </row>
    <row r="11" spans="1:13" ht="15.6" x14ac:dyDescent="0.3">
      <c r="A11" s="2">
        <v>9</v>
      </c>
      <c r="B11" s="2" t="s">
        <v>23</v>
      </c>
      <c r="C11" s="2" t="s">
        <v>53</v>
      </c>
      <c r="D11" s="2">
        <f t="shared" si="0"/>
        <v>50</v>
      </c>
      <c r="E11" s="2">
        <v>140</v>
      </c>
      <c r="F11" s="2">
        <v>60</v>
      </c>
      <c r="G11" s="1">
        <f t="shared" si="1"/>
        <v>8400</v>
      </c>
      <c r="H11" s="2">
        <v>90</v>
      </c>
      <c r="I11" s="2">
        <v>90</v>
      </c>
      <c r="J11" s="2">
        <f t="shared" si="2"/>
        <v>8100</v>
      </c>
      <c r="K11" s="2">
        <f t="shared" si="3"/>
        <v>30</v>
      </c>
      <c r="L11" s="2">
        <f t="shared" si="4"/>
        <v>2700</v>
      </c>
      <c r="M11" s="3">
        <f t="shared" si="5"/>
        <v>0.33333333333333331</v>
      </c>
    </row>
    <row r="12" spans="1:13" ht="15.6" x14ac:dyDescent="0.3">
      <c r="A12" s="2">
        <v>10</v>
      </c>
      <c r="B12" s="2" t="s">
        <v>24</v>
      </c>
      <c r="C12" s="2" t="s">
        <v>25</v>
      </c>
      <c r="D12" s="2">
        <f t="shared" si="0"/>
        <v>40</v>
      </c>
      <c r="E12" s="2">
        <v>50</v>
      </c>
      <c r="F12" s="2">
        <v>4</v>
      </c>
      <c r="G12" s="1">
        <f t="shared" si="1"/>
        <v>200</v>
      </c>
      <c r="H12" s="2">
        <v>10</v>
      </c>
      <c r="I12" s="2">
        <v>10</v>
      </c>
      <c r="J12" s="2">
        <f t="shared" si="2"/>
        <v>100</v>
      </c>
      <c r="K12" s="2">
        <f t="shared" si="3"/>
        <v>6</v>
      </c>
      <c r="L12" s="2">
        <f t="shared" si="4"/>
        <v>60</v>
      </c>
      <c r="M12" s="3">
        <f t="shared" si="5"/>
        <v>0.6</v>
      </c>
    </row>
    <row r="13" spans="1:13" ht="15.6" x14ac:dyDescent="0.3">
      <c r="A13" s="2">
        <v>11</v>
      </c>
      <c r="B13" s="2" t="s">
        <v>26</v>
      </c>
      <c r="C13" s="2" t="s">
        <v>54</v>
      </c>
      <c r="D13" s="2">
        <f t="shared" si="0"/>
        <v>30</v>
      </c>
      <c r="E13" s="2">
        <v>70</v>
      </c>
      <c r="F13" s="2">
        <v>25</v>
      </c>
      <c r="G13" s="1">
        <f t="shared" si="1"/>
        <v>1750</v>
      </c>
      <c r="H13" s="2">
        <v>40</v>
      </c>
      <c r="I13" s="2">
        <v>40</v>
      </c>
      <c r="J13" s="2">
        <f t="shared" si="2"/>
        <v>1600</v>
      </c>
      <c r="K13" s="2">
        <f t="shared" si="3"/>
        <v>15</v>
      </c>
      <c r="L13" s="2">
        <f t="shared" si="4"/>
        <v>600</v>
      </c>
      <c r="M13" s="3">
        <f t="shared" si="5"/>
        <v>0.375</v>
      </c>
    </row>
    <row r="14" spans="1:13" ht="15.6" x14ac:dyDescent="0.3">
      <c r="A14" s="2">
        <v>12</v>
      </c>
      <c r="B14" s="2" t="s">
        <v>27</v>
      </c>
      <c r="C14" s="2" t="s">
        <v>54</v>
      </c>
      <c r="D14" s="2">
        <f t="shared" si="0"/>
        <v>45</v>
      </c>
      <c r="E14" s="2">
        <v>80</v>
      </c>
      <c r="F14" s="2">
        <v>28</v>
      </c>
      <c r="G14" s="1">
        <f t="shared" si="1"/>
        <v>2240</v>
      </c>
      <c r="H14" s="2">
        <v>35</v>
      </c>
      <c r="I14" s="2">
        <v>35</v>
      </c>
      <c r="J14" s="2">
        <f t="shared" si="2"/>
        <v>1225</v>
      </c>
      <c r="K14" s="2">
        <f t="shared" si="3"/>
        <v>7</v>
      </c>
      <c r="L14" s="2">
        <f t="shared" si="4"/>
        <v>245</v>
      </c>
      <c r="M14" s="3">
        <f t="shared" si="5"/>
        <v>0.2</v>
      </c>
    </row>
    <row r="15" spans="1:13" ht="15.6" x14ac:dyDescent="0.3">
      <c r="A15" s="2">
        <v>13</v>
      </c>
      <c r="B15" s="2" t="s">
        <v>28</v>
      </c>
      <c r="C15" s="2" t="s">
        <v>54</v>
      </c>
      <c r="D15" s="2">
        <f t="shared" si="0"/>
        <v>30</v>
      </c>
      <c r="E15" s="2">
        <v>90</v>
      </c>
      <c r="F15" s="2">
        <v>35</v>
      </c>
      <c r="G15" s="1">
        <f t="shared" si="1"/>
        <v>3150</v>
      </c>
      <c r="H15" s="2">
        <v>60</v>
      </c>
      <c r="I15" s="2">
        <v>60</v>
      </c>
      <c r="J15" s="2">
        <f t="shared" si="2"/>
        <v>3600</v>
      </c>
      <c r="K15" s="2">
        <f t="shared" si="3"/>
        <v>25</v>
      </c>
      <c r="L15" s="2">
        <f t="shared" si="4"/>
        <v>1500</v>
      </c>
      <c r="M15" s="3">
        <f t="shared" si="5"/>
        <v>0.41666666666666669</v>
      </c>
    </row>
    <row r="16" spans="1:13" ht="15.6" x14ac:dyDescent="0.3">
      <c r="A16" s="2">
        <v>14</v>
      </c>
      <c r="B16" s="2" t="s">
        <v>29</v>
      </c>
      <c r="C16" s="2" t="s">
        <v>54</v>
      </c>
      <c r="D16" s="2">
        <f t="shared" si="0"/>
        <v>16</v>
      </c>
      <c r="E16" s="2">
        <v>30</v>
      </c>
      <c r="F16" s="2">
        <v>109</v>
      </c>
      <c r="G16" s="1">
        <f t="shared" si="1"/>
        <v>3270</v>
      </c>
      <c r="H16" s="2">
        <v>14</v>
      </c>
      <c r="I16" s="2">
        <v>150</v>
      </c>
      <c r="J16" s="2">
        <f t="shared" si="2"/>
        <v>2100</v>
      </c>
      <c r="K16" s="2">
        <f t="shared" si="3"/>
        <v>41</v>
      </c>
      <c r="L16" s="2">
        <f t="shared" si="4"/>
        <v>574</v>
      </c>
      <c r="M16" s="3">
        <f t="shared" si="5"/>
        <v>0.27333333333333332</v>
      </c>
    </row>
    <row r="17" spans="1:13" ht="15.6" x14ac:dyDescent="0.3">
      <c r="A17" s="2">
        <v>15</v>
      </c>
      <c r="B17" s="2" t="s">
        <v>30</v>
      </c>
      <c r="C17" s="2" t="s">
        <v>54</v>
      </c>
      <c r="D17" s="2">
        <f t="shared" si="0"/>
        <v>23</v>
      </c>
      <c r="E17" s="2">
        <v>90</v>
      </c>
      <c r="F17" s="2">
        <v>112</v>
      </c>
      <c r="G17" s="1">
        <f t="shared" si="1"/>
        <v>10080</v>
      </c>
      <c r="H17" s="2">
        <v>67</v>
      </c>
      <c r="I17" s="2">
        <v>158</v>
      </c>
      <c r="J17" s="2">
        <f t="shared" si="2"/>
        <v>10586</v>
      </c>
      <c r="K17" s="2">
        <f t="shared" si="3"/>
        <v>46</v>
      </c>
      <c r="L17" s="2">
        <f t="shared" si="4"/>
        <v>3082</v>
      </c>
      <c r="M17" s="3">
        <f t="shared" si="5"/>
        <v>0.29113924050632911</v>
      </c>
    </row>
    <row r="18" spans="1:13" ht="15.6" x14ac:dyDescent="0.3">
      <c r="A18" s="2">
        <v>16</v>
      </c>
      <c r="B18" s="2" t="s">
        <v>32</v>
      </c>
      <c r="C18" s="2" t="s">
        <v>33</v>
      </c>
      <c r="D18" s="2">
        <f t="shared" si="0"/>
        <v>10</v>
      </c>
      <c r="E18" s="2">
        <v>100</v>
      </c>
      <c r="F18" s="2">
        <v>190</v>
      </c>
      <c r="G18" s="1">
        <f t="shared" si="1"/>
        <v>19000</v>
      </c>
      <c r="H18" s="2">
        <v>90</v>
      </c>
      <c r="I18" s="2">
        <v>230</v>
      </c>
      <c r="J18" s="2">
        <f t="shared" si="2"/>
        <v>20700</v>
      </c>
      <c r="K18" s="2">
        <f t="shared" si="3"/>
        <v>40</v>
      </c>
      <c r="L18" s="2">
        <f t="shared" si="4"/>
        <v>3600</v>
      </c>
      <c r="M18" s="3">
        <f t="shared" si="5"/>
        <v>0.17391304347826086</v>
      </c>
    </row>
    <row r="19" spans="1:13" ht="15.6" x14ac:dyDescent="0.3">
      <c r="A19" s="2">
        <v>17</v>
      </c>
      <c r="B19" s="2" t="s">
        <v>34</v>
      </c>
      <c r="C19" s="2" t="s">
        <v>33</v>
      </c>
      <c r="D19" s="2">
        <f t="shared" si="0"/>
        <v>60</v>
      </c>
      <c r="E19" s="2">
        <v>400</v>
      </c>
      <c r="F19" s="2">
        <v>12</v>
      </c>
      <c r="G19" s="1">
        <f t="shared" si="1"/>
        <v>4800</v>
      </c>
      <c r="H19" s="2">
        <v>340</v>
      </c>
      <c r="I19" s="2">
        <v>41</v>
      </c>
      <c r="J19" s="2">
        <f t="shared" si="2"/>
        <v>13940</v>
      </c>
      <c r="K19" s="2">
        <f t="shared" si="3"/>
        <v>29</v>
      </c>
      <c r="L19" s="2">
        <f t="shared" si="4"/>
        <v>9860</v>
      </c>
      <c r="M19" s="3">
        <f t="shared" si="5"/>
        <v>0.70731707317073167</v>
      </c>
    </row>
    <row r="20" spans="1:13" ht="15.6" x14ac:dyDescent="0.3">
      <c r="A20" s="2">
        <v>18</v>
      </c>
      <c r="B20" s="2" t="s">
        <v>35</v>
      </c>
      <c r="C20" s="2" t="s">
        <v>33</v>
      </c>
      <c r="D20" s="2">
        <f t="shared" si="0"/>
        <v>10</v>
      </c>
      <c r="E20" s="2">
        <v>150</v>
      </c>
      <c r="F20" s="2">
        <v>123</v>
      </c>
      <c r="G20" s="1">
        <f t="shared" si="1"/>
        <v>18450</v>
      </c>
      <c r="H20" s="2">
        <v>140</v>
      </c>
      <c r="I20" s="2">
        <v>140</v>
      </c>
      <c r="J20" s="2">
        <f t="shared" si="2"/>
        <v>19600</v>
      </c>
      <c r="K20" s="2">
        <f t="shared" si="3"/>
        <v>17</v>
      </c>
      <c r="L20" s="2">
        <f t="shared" si="4"/>
        <v>2380</v>
      </c>
      <c r="M20" s="3">
        <f t="shared" si="5"/>
        <v>0.12142857142857143</v>
      </c>
    </row>
    <row r="21" spans="1:13" ht="15.6" x14ac:dyDescent="0.3">
      <c r="A21" s="2">
        <v>19</v>
      </c>
      <c r="B21" s="2" t="s">
        <v>36</v>
      </c>
      <c r="C21" s="2" t="s">
        <v>33</v>
      </c>
      <c r="D21" s="2">
        <f t="shared" si="0"/>
        <v>10</v>
      </c>
      <c r="E21" s="2">
        <v>170</v>
      </c>
      <c r="F21" s="2">
        <v>120</v>
      </c>
      <c r="G21" s="1">
        <f t="shared" si="1"/>
        <v>20400</v>
      </c>
      <c r="H21" s="2">
        <v>160</v>
      </c>
      <c r="I21" s="2">
        <v>160</v>
      </c>
      <c r="J21" s="2">
        <f t="shared" si="2"/>
        <v>25600</v>
      </c>
      <c r="K21" s="2">
        <f t="shared" si="3"/>
        <v>40</v>
      </c>
      <c r="L21" s="2">
        <f t="shared" si="4"/>
        <v>6400</v>
      </c>
      <c r="M21" s="3">
        <f t="shared" si="5"/>
        <v>0.25</v>
      </c>
    </row>
    <row r="22" spans="1:13" ht="15.6" x14ac:dyDescent="0.3">
      <c r="A22" s="2">
        <v>20</v>
      </c>
      <c r="B22" s="2" t="s">
        <v>37</v>
      </c>
      <c r="C22" s="2" t="s">
        <v>33</v>
      </c>
      <c r="D22" s="2">
        <f t="shared" si="0"/>
        <v>371</v>
      </c>
      <c r="E22" s="2">
        <v>400</v>
      </c>
      <c r="F22" s="2">
        <v>12</v>
      </c>
      <c r="G22" s="1">
        <f t="shared" si="1"/>
        <v>4800</v>
      </c>
      <c r="H22" s="2">
        <v>29</v>
      </c>
      <c r="I22" s="2">
        <v>29</v>
      </c>
      <c r="J22" s="2">
        <f t="shared" si="2"/>
        <v>841</v>
      </c>
      <c r="K22" s="2">
        <f t="shared" si="3"/>
        <v>17</v>
      </c>
      <c r="L22" s="2">
        <f t="shared" si="4"/>
        <v>493</v>
      </c>
      <c r="M22" s="3">
        <f t="shared" si="5"/>
        <v>0.58620689655172409</v>
      </c>
    </row>
    <row r="23" spans="1:13" ht="15.6" x14ac:dyDescent="0.3">
      <c r="A23" s="2">
        <v>21</v>
      </c>
      <c r="B23" s="2" t="s">
        <v>38</v>
      </c>
      <c r="C23" s="2" t="s">
        <v>39</v>
      </c>
      <c r="D23" s="2">
        <f t="shared" si="0"/>
        <v>380</v>
      </c>
      <c r="E23" s="2">
        <v>500</v>
      </c>
      <c r="F23" s="2">
        <v>80</v>
      </c>
      <c r="G23" s="1">
        <f t="shared" si="1"/>
        <v>40000</v>
      </c>
      <c r="H23" s="2">
        <v>120</v>
      </c>
      <c r="I23" s="2">
        <v>120</v>
      </c>
      <c r="J23" s="2">
        <f t="shared" si="2"/>
        <v>14400</v>
      </c>
      <c r="K23" s="2">
        <f t="shared" si="3"/>
        <v>40</v>
      </c>
      <c r="L23" s="2">
        <f t="shared" si="4"/>
        <v>4800</v>
      </c>
      <c r="M23" s="3">
        <f t="shared" si="5"/>
        <v>0.33333333333333331</v>
      </c>
    </row>
    <row r="24" spans="1:13" ht="15.6" x14ac:dyDescent="0.3">
      <c r="A24" s="2">
        <v>22</v>
      </c>
      <c r="B24" s="2" t="s">
        <v>40</v>
      </c>
      <c r="C24" s="2" t="s">
        <v>39</v>
      </c>
      <c r="D24" s="2">
        <f t="shared" si="0"/>
        <v>475</v>
      </c>
      <c r="E24" s="2">
        <v>600</v>
      </c>
      <c r="F24" s="2">
        <v>70</v>
      </c>
      <c r="G24" s="1">
        <f t="shared" si="1"/>
        <v>42000</v>
      </c>
      <c r="H24" s="2">
        <v>125</v>
      </c>
      <c r="I24" s="2">
        <v>125</v>
      </c>
      <c r="J24" s="2">
        <f t="shared" si="2"/>
        <v>15625</v>
      </c>
      <c r="K24" s="2">
        <f t="shared" si="3"/>
        <v>55</v>
      </c>
      <c r="L24" s="2">
        <f t="shared" si="4"/>
        <v>6875</v>
      </c>
      <c r="M24" s="3">
        <f t="shared" si="5"/>
        <v>0.44</v>
      </c>
    </row>
    <row r="25" spans="1:13" ht="15.6" x14ac:dyDescent="0.3">
      <c r="A25" s="2">
        <v>23</v>
      </c>
      <c r="B25" s="2" t="s">
        <v>41</v>
      </c>
      <c r="C25" s="2" t="s">
        <v>39</v>
      </c>
      <c r="D25" s="2">
        <f t="shared" si="0"/>
        <v>60</v>
      </c>
      <c r="E25" s="2">
        <v>400</v>
      </c>
      <c r="F25" s="2">
        <v>18</v>
      </c>
      <c r="G25" s="1">
        <f t="shared" si="1"/>
        <v>7200</v>
      </c>
      <c r="H25" s="2">
        <v>340</v>
      </c>
      <c r="I25" s="2">
        <v>40</v>
      </c>
      <c r="J25" s="2">
        <f t="shared" si="2"/>
        <v>13600</v>
      </c>
      <c r="K25" s="2">
        <f t="shared" si="3"/>
        <v>22</v>
      </c>
      <c r="L25" s="2">
        <f t="shared" si="4"/>
        <v>7480</v>
      </c>
      <c r="M25" s="3">
        <f t="shared" si="5"/>
        <v>0.55000000000000004</v>
      </c>
    </row>
    <row r="26" spans="1:13" ht="15.6" x14ac:dyDescent="0.3">
      <c r="A26" s="2">
        <v>24</v>
      </c>
      <c r="B26" s="2" t="s">
        <v>42</v>
      </c>
      <c r="C26" s="2" t="s">
        <v>39</v>
      </c>
      <c r="D26" s="2">
        <f t="shared" si="0"/>
        <v>77</v>
      </c>
      <c r="E26" s="2">
        <v>200</v>
      </c>
      <c r="F26" s="2">
        <v>12</v>
      </c>
      <c r="G26" s="1">
        <f t="shared" si="1"/>
        <v>2400</v>
      </c>
      <c r="H26" s="2">
        <v>123</v>
      </c>
      <c r="I26" s="2">
        <v>25</v>
      </c>
      <c r="J26" s="2">
        <f t="shared" si="2"/>
        <v>3075</v>
      </c>
      <c r="K26" s="2">
        <f t="shared" si="3"/>
        <v>13</v>
      </c>
      <c r="L26" s="2">
        <f t="shared" si="4"/>
        <v>1599</v>
      </c>
      <c r="M26" s="3">
        <f t="shared" si="5"/>
        <v>0.52</v>
      </c>
    </row>
    <row r="27" spans="1:13" ht="15.6" x14ac:dyDescent="0.3">
      <c r="A27" s="2">
        <v>25</v>
      </c>
      <c r="B27" s="2" t="s">
        <v>43</v>
      </c>
      <c r="C27" s="2" t="s">
        <v>13</v>
      </c>
      <c r="D27" s="2">
        <f t="shared" si="0"/>
        <v>70</v>
      </c>
      <c r="E27" s="2">
        <v>130</v>
      </c>
      <c r="F27" s="2">
        <v>35</v>
      </c>
      <c r="G27" s="1">
        <f t="shared" si="1"/>
        <v>4550</v>
      </c>
      <c r="H27" s="2">
        <v>60</v>
      </c>
      <c r="I27" s="2">
        <v>60</v>
      </c>
      <c r="J27" s="2">
        <f t="shared" si="2"/>
        <v>3600</v>
      </c>
      <c r="K27" s="2">
        <f t="shared" si="3"/>
        <v>25</v>
      </c>
      <c r="L27" s="2">
        <f t="shared" si="4"/>
        <v>1500</v>
      </c>
      <c r="M27" s="3">
        <f t="shared" si="5"/>
        <v>0.41666666666666669</v>
      </c>
    </row>
    <row r="28" spans="1:13" ht="15.6" x14ac:dyDescent="0.3">
      <c r="A28" s="2">
        <v>26</v>
      </c>
      <c r="B28" s="2" t="s">
        <v>44</v>
      </c>
      <c r="C28" s="2" t="s">
        <v>13</v>
      </c>
      <c r="D28" s="2">
        <f t="shared" si="0"/>
        <v>27</v>
      </c>
      <c r="E28" s="2">
        <v>150</v>
      </c>
      <c r="F28" s="2">
        <v>110</v>
      </c>
      <c r="G28" s="1">
        <f t="shared" si="1"/>
        <v>16500</v>
      </c>
      <c r="H28" s="2">
        <v>123</v>
      </c>
      <c r="I28" s="2">
        <v>200</v>
      </c>
      <c r="J28" s="2">
        <f t="shared" si="2"/>
        <v>24600</v>
      </c>
      <c r="K28" s="2">
        <f t="shared" si="3"/>
        <v>90</v>
      </c>
      <c r="L28" s="2">
        <f t="shared" si="4"/>
        <v>11070</v>
      </c>
      <c r="M28" s="3">
        <f t="shared" si="5"/>
        <v>0.45</v>
      </c>
    </row>
    <row r="29" spans="1:13" ht="15.6" x14ac:dyDescent="0.3">
      <c r="A29" s="2">
        <v>27</v>
      </c>
      <c r="B29" s="2" t="s">
        <v>45</v>
      </c>
      <c r="C29" s="2" t="s">
        <v>31</v>
      </c>
      <c r="D29" s="2">
        <f t="shared" si="0"/>
        <v>10</v>
      </c>
      <c r="E29" s="2">
        <v>160</v>
      </c>
      <c r="F29" s="2">
        <v>120</v>
      </c>
      <c r="G29" s="1">
        <f t="shared" si="1"/>
        <v>19200</v>
      </c>
      <c r="H29" s="2">
        <v>150</v>
      </c>
      <c r="I29" s="2">
        <v>210</v>
      </c>
      <c r="J29" s="2">
        <f t="shared" si="2"/>
        <v>31500</v>
      </c>
      <c r="K29" s="2">
        <f t="shared" si="3"/>
        <v>90</v>
      </c>
      <c r="L29" s="2">
        <f t="shared" si="4"/>
        <v>13500</v>
      </c>
      <c r="M29" s="3">
        <f t="shared" si="5"/>
        <v>0.42857142857142855</v>
      </c>
    </row>
    <row r="30" spans="1:13" ht="15.6" x14ac:dyDescent="0.3">
      <c r="A30" s="2">
        <v>28</v>
      </c>
      <c r="B30" s="2" t="s">
        <v>46</v>
      </c>
      <c r="C30" s="2" t="s">
        <v>13</v>
      </c>
      <c r="D30" s="2">
        <f t="shared" si="0"/>
        <v>50</v>
      </c>
      <c r="E30" s="2">
        <v>260</v>
      </c>
      <c r="F30" s="2">
        <v>210</v>
      </c>
      <c r="G30" s="1">
        <f t="shared" si="1"/>
        <v>54600</v>
      </c>
      <c r="H30" s="2">
        <v>210</v>
      </c>
      <c r="I30" s="2">
        <v>270</v>
      </c>
      <c r="J30" s="2">
        <f t="shared" si="2"/>
        <v>56700</v>
      </c>
      <c r="K30" s="2">
        <f t="shared" si="3"/>
        <v>60</v>
      </c>
      <c r="L30" s="2">
        <f t="shared" si="4"/>
        <v>12600</v>
      </c>
      <c r="M30" s="3">
        <f t="shared" si="5"/>
        <v>0.22222222222222221</v>
      </c>
    </row>
    <row r="31" spans="1:13" ht="15.6" x14ac:dyDescent="0.3">
      <c r="A31" s="2">
        <v>29</v>
      </c>
      <c r="B31" s="2" t="s">
        <v>47</v>
      </c>
      <c r="C31" s="2" t="s">
        <v>31</v>
      </c>
      <c r="D31" s="2">
        <f t="shared" si="0"/>
        <v>26</v>
      </c>
      <c r="E31" s="2">
        <v>150</v>
      </c>
      <c r="F31" s="2">
        <v>20</v>
      </c>
      <c r="G31" s="1">
        <f t="shared" si="1"/>
        <v>3000</v>
      </c>
      <c r="H31" s="2">
        <v>124</v>
      </c>
      <c r="I31" s="2">
        <v>50</v>
      </c>
      <c r="J31" s="2">
        <f t="shared" si="2"/>
        <v>6200</v>
      </c>
      <c r="K31" s="2">
        <f t="shared" si="3"/>
        <v>30</v>
      </c>
      <c r="L31" s="2">
        <f t="shared" si="4"/>
        <v>3720</v>
      </c>
      <c r="M31" s="3">
        <f t="shared" si="5"/>
        <v>0.6</v>
      </c>
    </row>
    <row r="32" spans="1:13" ht="15.6" x14ac:dyDescent="0.3">
      <c r="A32" s="2">
        <v>30</v>
      </c>
      <c r="B32" s="2" t="s">
        <v>48</v>
      </c>
      <c r="C32" s="2" t="s">
        <v>31</v>
      </c>
      <c r="D32" s="2">
        <f t="shared" si="0"/>
        <v>0</v>
      </c>
      <c r="E32" s="2">
        <v>120</v>
      </c>
      <c r="F32" s="2">
        <v>100</v>
      </c>
      <c r="G32" s="1">
        <f t="shared" si="1"/>
        <v>12000</v>
      </c>
      <c r="H32" s="2">
        <v>120</v>
      </c>
      <c r="I32" s="2">
        <v>150</v>
      </c>
      <c r="J32" s="2">
        <f t="shared" si="2"/>
        <v>18000</v>
      </c>
      <c r="K32" s="2">
        <f t="shared" si="3"/>
        <v>50</v>
      </c>
      <c r="L32" s="2">
        <f t="shared" si="4"/>
        <v>6000</v>
      </c>
      <c r="M32" s="3">
        <f t="shared" si="5"/>
        <v>0.33333333333333331</v>
      </c>
    </row>
    <row r="42" spans="12:13" x14ac:dyDescent="0.3">
      <c r="L42">
        <v>700</v>
      </c>
      <c r="M42">
        <v>400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2023-01-16T05:42:22Z</dcterms:created>
  <dcterms:modified xsi:type="dcterms:W3CDTF">2026-07-08T08:06:47Z</dcterms:modified>
</cp:coreProperties>
</file>