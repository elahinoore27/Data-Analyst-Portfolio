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2605add2f4c5a7/ドキュメント/Desktop/EXCEL LHF/"/>
    </mc:Choice>
  </mc:AlternateContent>
  <xr:revisionPtr revIDLastSave="15" documentId="13_ncr:1_{E1DC3944-DADA-46B6-9ED4-D6621C3B8BCC}" xr6:coauthVersionLast="47" xr6:coauthVersionMax="47" xr10:uidLastSave="{AE36AB09-FF19-461F-B32F-9E0CF8FA9F53}"/>
  <bookViews>
    <workbookView xWindow="-108" yWindow="-108" windowWidth="23256" windowHeight="13896" firstSheet="1" activeTab="5" xr2:uid="{00000000-000D-0000-FFFF-FFFF00000000}"/>
  </bookViews>
  <sheets>
    <sheet name="Service Report" sheetId="1" r:id="rId1"/>
    <sheet name="Sales Report" sheetId="2" r:id="rId2"/>
    <sheet name="V-Lookup Result" sheetId="3" r:id="rId3"/>
    <sheet name="COUNTIF" sheetId="4" r:id="rId4"/>
    <sheet name="Conditional FormatingHighlights" sheetId="5" r:id="rId5"/>
    <sheet name="Question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6" l="1"/>
  <c r="C10" i="6"/>
  <c r="E7" i="6"/>
  <c r="E8" i="6" a="1"/>
  <c r="E8" i="6" s="1"/>
  <c r="D8" i="6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3" i="2"/>
  <c r="L2" i="2"/>
  <c r="M42" i="1"/>
  <c r="M41" i="1"/>
  <c r="N41" i="1" s="1"/>
  <c r="M40" i="1"/>
  <c r="M39" i="1"/>
  <c r="N39" i="1" s="1"/>
  <c r="M38" i="1"/>
  <c r="N38" i="1" s="1"/>
  <c r="M37" i="1"/>
  <c r="N37" i="1" s="1"/>
  <c r="M36" i="1"/>
  <c r="M35" i="1"/>
  <c r="M34" i="1"/>
  <c r="N34" i="1" s="1"/>
  <c r="M33" i="1"/>
  <c r="M32" i="1"/>
  <c r="N32" i="1" s="1"/>
  <c r="M31" i="1"/>
  <c r="N31" i="1" s="1"/>
  <c r="M30" i="1"/>
  <c r="N30" i="1" s="1"/>
  <c r="M29" i="1"/>
  <c r="M28" i="1"/>
  <c r="N28" i="1" s="1"/>
  <c r="M27" i="1"/>
  <c r="M26" i="1"/>
  <c r="M25" i="1"/>
  <c r="N25" i="1" s="1"/>
  <c r="M24" i="1"/>
  <c r="M23" i="1"/>
  <c r="M22" i="1"/>
  <c r="N22" i="1" s="1"/>
  <c r="M21" i="1"/>
  <c r="N21" i="1" s="1"/>
  <c r="M20" i="1"/>
  <c r="M19" i="1"/>
  <c r="M18" i="1"/>
  <c r="N18" i="1" s="1"/>
  <c r="M17" i="1"/>
  <c r="M16" i="1"/>
  <c r="M15" i="1"/>
  <c r="N15" i="1" s="1"/>
  <c r="M14" i="1"/>
  <c r="N14" i="1" s="1"/>
  <c r="M13" i="1"/>
  <c r="M12" i="1"/>
  <c r="N12" i="1" s="1"/>
  <c r="M11" i="1"/>
  <c r="N11" i="1" s="1"/>
  <c r="M10" i="1"/>
  <c r="M9" i="1"/>
  <c r="N9" i="1" s="1"/>
  <c r="M8" i="1"/>
  <c r="M7" i="1"/>
  <c r="M6" i="1"/>
  <c r="N6" i="1" s="1"/>
  <c r="M5" i="1"/>
  <c r="N5" i="1" s="1"/>
  <c r="M4" i="1"/>
  <c r="M3" i="1"/>
  <c r="C4" i="4"/>
  <c r="C5" i="4"/>
  <c r="C6" i="4"/>
  <c r="C7" i="4"/>
  <c r="C8" i="4"/>
  <c r="C9" i="4"/>
  <c r="C3" i="4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3" i="1"/>
  <c r="N4" i="1"/>
  <c r="N7" i="1"/>
  <c r="N8" i="1"/>
  <c r="N10" i="1"/>
  <c r="N13" i="1"/>
  <c r="N16" i="1"/>
  <c r="N17" i="1"/>
  <c r="N19" i="1"/>
  <c r="N20" i="1"/>
  <c r="N23" i="1"/>
  <c r="N24" i="1"/>
  <c r="N26" i="1"/>
  <c r="N27" i="1"/>
  <c r="N29" i="1"/>
  <c r="N33" i="1"/>
  <c r="N35" i="1"/>
  <c r="N36" i="1"/>
  <c r="N40" i="1"/>
  <c r="N42" i="1"/>
  <c r="N43" i="1"/>
  <c r="N3" i="1"/>
  <c r="F7" i="3"/>
  <c r="F6" i="3"/>
  <c r="F10" i="3"/>
  <c r="F9" i="3"/>
  <c r="C6" i="3"/>
  <c r="D6" i="3"/>
  <c r="E6" i="3"/>
  <c r="C7" i="3"/>
  <c r="D7" i="3"/>
  <c r="E7" i="3"/>
  <c r="C8" i="3"/>
  <c r="D8" i="3"/>
  <c r="E8" i="3"/>
  <c r="F8" i="3"/>
  <c r="C9" i="3"/>
  <c r="D9" i="3"/>
  <c r="E9" i="3"/>
  <c r="C10" i="3"/>
  <c r="D10" i="3"/>
  <c r="E10" i="3"/>
  <c r="D5" i="3"/>
  <c r="E5" i="3"/>
  <c r="F5" i="3"/>
  <c r="C5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<sst xmlns="http://schemas.openxmlformats.org/spreadsheetml/2006/main" count="1088" uniqueCount="424">
  <si>
    <t>Marks</t>
  </si>
  <si>
    <t>Max/Minumum</t>
  </si>
  <si>
    <t>Formula +</t>
  </si>
  <si>
    <t>Sum</t>
  </si>
  <si>
    <t>Sr Number</t>
  </si>
  <si>
    <t>Date</t>
  </si>
  <si>
    <t>Customer Name</t>
  </si>
  <si>
    <t>Brand</t>
  </si>
  <si>
    <t>Product</t>
  </si>
  <si>
    <t>Problems</t>
  </si>
  <si>
    <t>Warranty Status</t>
  </si>
  <si>
    <t>Customer Type</t>
  </si>
  <si>
    <t>Location</t>
  </si>
  <si>
    <t>Delivery Date</t>
  </si>
  <si>
    <t>Service Charges</t>
  </si>
  <si>
    <t>Paid</t>
  </si>
  <si>
    <t>Pending</t>
  </si>
  <si>
    <t>Total</t>
  </si>
  <si>
    <t>Status</t>
  </si>
  <si>
    <t>Service Engineer</t>
  </si>
  <si>
    <t>Remark</t>
  </si>
  <si>
    <t>Sandhya Waghmare</t>
  </si>
  <si>
    <t>LG</t>
  </si>
  <si>
    <t>LG Washing Machine</t>
  </si>
  <si>
    <t>Washing machine not starting</t>
  </si>
  <si>
    <t>Warranty</t>
  </si>
  <si>
    <t>New</t>
  </si>
  <si>
    <t>Swargate</t>
  </si>
  <si>
    <t>Completed</t>
  </si>
  <si>
    <t>Anket</t>
  </si>
  <si>
    <t>Ketan Kanojia</t>
  </si>
  <si>
    <t>Whirlpool</t>
  </si>
  <si>
    <t>Whirpool refrigerator</t>
  </si>
  <si>
    <t>Buildup of Frost in the Ice Dispenser</t>
  </si>
  <si>
    <t>Exisitng</t>
  </si>
  <si>
    <t>Kothrud</t>
  </si>
  <si>
    <t>In Progress</t>
  </si>
  <si>
    <t>Mannu</t>
  </si>
  <si>
    <t>Sanket Gaikwad</t>
  </si>
  <si>
    <t>Samsung</t>
  </si>
  <si>
    <t>Samsung Refrigerator</t>
  </si>
  <si>
    <t>Sensors are not working</t>
  </si>
  <si>
    <t>Camp</t>
  </si>
  <si>
    <t>Suchit</t>
  </si>
  <si>
    <t>Vidhya Bhagat</t>
  </si>
  <si>
    <t>Samsung LED</t>
  </si>
  <si>
    <t>TV won't power up but the power light blinks</t>
  </si>
  <si>
    <t>Non Warranty</t>
  </si>
  <si>
    <t>Aundh</t>
  </si>
  <si>
    <t>Moha</t>
  </si>
  <si>
    <t>Kavita Gawhale</t>
  </si>
  <si>
    <t>Godrej</t>
  </si>
  <si>
    <t>Godrej Washing Machine</t>
  </si>
  <si>
    <t>Washing machine not spinning</t>
  </si>
  <si>
    <t>Bhavani peth</t>
  </si>
  <si>
    <t>Karan</t>
  </si>
  <si>
    <t>Mrunal Badade</t>
  </si>
  <si>
    <t>Blue star</t>
  </si>
  <si>
    <t>Bluestar AC</t>
  </si>
  <si>
    <t>Air Conditioner Not Blowing Cold Air</t>
  </si>
  <si>
    <t>Katraj</t>
  </si>
  <si>
    <t>Furqan</t>
  </si>
  <si>
    <t>Laxmi Itenwar</t>
  </si>
  <si>
    <t>Mohammad Aryan Kazi</t>
  </si>
  <si>
    <t>Freezer Isn't Cold Enough</t>
  </si>
  <si>
    <t>Om Karve</t>
  </si>
  <si>
    <t>Viman nagar</t>
  </si>
  <si>
    <t>DIVYA AMARPRATAP GUPTA</t>
  </si>
  <si>
    <t>ABHISHEK JITENDRA DUMDE</t>
  </si>
  <si>
    <t>Air Conditioner Freezing Up Outside Unit</t>
  </si>
  <si>
    <t>Pimple Saudagar</t>
  </si>
  <si>
    <t>JYOTI MACHINDRA DAKE</t>
  </si>
  <si>
    <t>AC Refrigerant Leak</t>
  </si>
  <si>
    <t>Warje</t>
  </si>
  <si>
    <t>ROHIT DYANDEV RITOND</t>
  </si>
  <si>
    <t>TV has sound but no picture</t>
  </si>
  <si>
    <t>TWINKLE SUNIL KHONDE</t>
  </si>
  <si>
    <t>Viman Nagar</t>
  </si>
  <si>
    <t>15/9/2021</t>
  </si>
  <si>
    <t>SHEETAL SHIVA ARAVANTI</t>
  </si>
  <si>
    <t>TV has a picture, but no sound</t>
  </si>
  <si>
    <t>KIRTI DHANANJAY KHADE</t>
  </si>
  <si>
    <t>Bhavani Peth</t>
  </si>
  <si>
    <t>ASHWINI BHARAT GAIKWAD</t>
  </si>
  <si>
    <t>Fresh Food Compartment Is Warming Up</t>
  </si>
  <si>
    <t>16/9/2021</t>
  </si>
  <si>
    <t>14/9/2021</t>
  </si>
  <si>
    <t>OMKAR PRAKASH WALUNJ</t>
  </si>
  <si>
    <t>JYOTI SHIVRAJ TODALGE</t>
  </si>
  <si>
    <t>Air Conditioner Making Noises</t>
  </si>
  <si>
    <t>Hand over to Customer</t>
  </si>
  <si>
    <t>Varsha Sunil Shelar</t>
  </si>
  <si>
    <t>Frozen Evaporator Coil</t>
  </si>
  <si>
    <t>Shameem Ajij Shaikh</t>
  </si>
  <si>
    <t>Swapnali Ramdas Choudhari</t>
  </si>
  <si>
    <t>Parts are not available</t>
  </si>
  <si>
    <t>Amit Bhati</t>
  </si>
  <si>
    <t>Excessive vibrations during operation</t>
  </si>
  <si>
    <t>Nihal Kisan Kamble</t>
  </si>
  <si>
    <t>18/9/2021</t>
  </si>
  <si>
    <t>Akshata Naresh Shete</t>
  </si>
  <si>
    <t>17/9/2021</t>
  </si>
  <si>
    <t>Abu Adnan Shaikh</t>
  </si>
  <si>
    <t>Deepak gaikwad</t>
  </si>
  <si>
    <t>Washing machine is noisy.</t>
  </si>
  <si>
    <t>Kanchan Gaikwad</t>
  </si>
  <si>
    <t>Naushin Ahmed</t>
  </si>
  <si>
    <t>21/9/2021</t>
  </si>
  <si>
    <t>Zarin khan</t>
  </si>
  <si>
    <t>Sourabh Mhamunkar</t>
  </si>
  <si>
    <t>Mangesh Howai</t>
  </si>
  <si>
    <t>Sheet of Ice on the Freezer Floor.</t>
  </si>
  <si>
    <t>Komal Rasal</t>
  </si>
  <si>
    <t>22/9/2021</t>
  </si>
  <si>
    <t>Ashwini Dhanve</t>
  </si>
  <si>
    <t>23/9/2021</t>
  </si>
  <si>
    <t>Vaishali Mankar</t>
  </si>
  <si>
    <t>Aishwarya Wakode</t>
  </si>
  <si>
    <t>Omkar Ghode</t>
  </si>
  <si>
    <t>25/9/2021</t>
  </si>
  <si>
    <t>Alfiya Bagwan</t>
  </si>
  <si>
    <t>TV flickers and turns off suddenly</t>
  </si>
  <si>
    <t>28/9/2021</t>
  </si>
  <si>
    <t>Pratik Modi</t>
  </si>
  <si>
    <t>Afrin Nadaf</t>
  </si>
  <si>
    <t>Name of Customer</t>
  </si>
  <si>
    <t>Customer Id</t>
  </si>
  <si>
    <t>Mobile No.</t>
  </si>
  <si>
    <t>Order Date</t>
  </si>
  <si>
    <t>Order Time</t>
  </si>
  <si>
    <t>Items</t>
  </si>
  <si>
    <t>Item's Code</t>
  </si>
  <si>
    <t>Quantity</t>
  </si>
  <si>
    <t>Unit Price</t>
  </si>
  <si>
    <t>Total Price</t>
  </si>
  <si>
    <t>Delivery Time</t>
  </si>
  <si>
    <t>Remarks</t>
  </si>
  <si>
    <t>Mahesh Jain</t>
  </si>
  <si>
    <t>AK-Clothes-2324</t>
  </si>
  <si>
    <t>Bengaluru</t>
  </si>
  <si>
    <t>********45</t>
  </si>
  <si>
    <t>11:30am</t>
  </si>
  <si>
    <t>White Shirt</t>
  </si>
  <si>
    <t>PS2345</t>
  </si>
  <si>
    <t>15/2/2021</t>
  </si>
  <si>
    <t>06:07pm</t>
  </si>
  <si>
    <t>Nidhi Agarwal</t>
  </si>
  <si>
    <t>AK-Clothes-2311</t>
  </si>
  <si>
    <t>Mumbai</t>
  </si>
  <si>
    <t>********89</t>
  </si>
  <si>
    <t>12:07pm</t>
  </si>
  <si>
    <t>Lehenga Saree</t>
  </si>
  <si>
    <t>SQ2388</t>
  </si>
  <si>
    <t>16/2/2021</t>
  </si>
  <si>
    <t>09:00am</t>
  </si>
  <si>
    <t>In Process</t>
  </si>
  <si>
    <t>Kunal Anand</t>
  </si>
  <si>
    <t>AK-Clothes-3200</t>
  </si>
  <si>
    <t>Pune</t>
  </si>
  <si>
    <t>********67</t>
  </si>
  <si>
    <t>02:56pm</t>
  </si>
  <si>
    <t>Denim Jeans</t>
  </si>
  <si>
    <t>ZE6777</t>
  </si>
  <si>
    <t>17/2/2021</t>
  </si>
  <si>
    <t>09:30am</t>
  </si>
  <si>
    <t>Ajay Kulkarni</t>
  </si>
  <si>
    <t>AK-Clothes-3125</t>
  </si>
  <si>
    <t>********22</t>
  </si>
  <si>
    <t>01:23pm</t>
  </si>
  <si>
    <t>T-Shirts</t>
  </si>
  <si>
    <t>AS4545</t>
  </si>
  <si>
    <t>18/2/2021</t>
  </si>
  <si>
    <t>07:00pm</t>
  </si>
  <si>
    <t>Suhas Reddy</t>
  </si>
  <si>
    <t>AK-Clothes-2328</t>
  </si>
  <si>
    <t>Chennai</t>
  </si>
  <si>
    <t>********31</t>
  </si>
  <si>
    <t>08:00am</t>
  </si>
  <si>
    <t>Black Trouser</t>
  </si>
  <si>
    <t>XC7777</t>
  </si>
  <si>
    <t>19/2/2021</t>
  </si>
  <si>
    <t>04:50pm</t>
  </si>
  <si>
    <t>Priyanka Arya</t>
  </si>
  <si>
    <t>AK-Clothes-2320</t>
  </si>
  <si>
    <t>Jaipur</t>
  </si>
  <si>
    <t>********34</t>
  </si>
  <si>
    <t>05:44pm</t>
  </si>
  <si>
    <t>Floral Lehenga</t>
  </si>
  <si>
    <t>TH2321</t>
  </si>
  <si>
    <t>20/2/2021</t>
  </si>
  <si>
    <t>02:43pm</t>
  </si>
  <si>
    <t>Paromita Banerjee</t>
  </si>
  <si>
    <t>AK-Clothes-2777</t>
  </si>
  <si>
    <t>Kolkata</t>
  </si>
  <si>
    <t>11:11am</t>
  </si>
  <si>
    <t>Silk Saree</t>
  </si>
  <si>
    <t>QR6789</t>
  </si>
  <si>
    <t>21/2/2021</t>
  </si>
  <si>
    <t>Pooja Sharma</t>
  </si>
  <si>
    <t>AK-Clothes-2344</t>
  </si>
  <si>
    <t>********12</t>
  </si>
  <si>
    <t>Banarasi Saree</t>
  </si>
  <si>
    <t>ZQ4422</t>
  </si>
  <si>
    <t>22/2/2021</t>
  </si>
  <si>
    <t>Mohit Babu</t>
  </si>
  <si>
    <t>AK-Clothes-2867</t>
  </si>
  <si>
    <t>********60</t>
  </si>
  <si>
    <t>Leather jacket</t>
  </si>
  <si>
    <t>ZQ3434</t>
  </si>
  <si>
    <t>23/2/2021</t>
  </si>
  <si>
    <t>Praney Tiwari</t>
  </si>
  <si>
    <t>AK-Clothes-2940</t>
  </si>
  <si>
    <t>Ahemdabad</t>
  </si>
  <si>
    <t>********88</t>
  </si>
  <si>
    <t>MN4400</t>
  </si>
  <si>
    <t>24/2/2021</t>
  </si>
  <si>
    <t>Suraj Solanki</t>
  </si>
  <si>
    <t>AK-Clothes-2334</t>
  </si>
  <si>
    <t>********09</t>
  </si>
  <si>
    <t>01:22pm</t>
  </si>
  <si>
    <t>Olive Blazer</t>
  </si>
  <si>
    <t>PS5555</t>
  </si>
  <si>
    <t>25/2/2021</t>
  </si>
  <si>
    <t>Priyanka Agarwal</t>
  </si>
  <si>
    <t>AK-Clothes-2555</t>
  </si>
  <si>
    <t>********30</t>
  </si>
  <si>
    <t>Floral Saree</t>
  </si>
  <si>
    <t>FM5555</t>
  </si>
  <si>
    <t>26/2/2021</t>
  </si>
  <si>
    <t>Saniya Shaikh</t>
  </si>
  <si>
    <t>AK-Clothes-2301</t>
  </si>
  <si>
    <t>Indore</t>
  </si>
  <si>
    <t>********57</t>
  </si>
  <si>
    <t>13/2/2021</t>
  </si>
  <si>
    <t>Silk Kurtas set</t>
  </si>
  <si>
    <t>PS2340</t>
  </si>
  <si>
    <t>27/2/2021</t>
  </si>
  <si>
    <t>Anita Chowdhary</t>
  </si>
  <si>
    <t>AK-Clothes-2098</t>
  </si>
  <si>
    <t>********11</t>
  </si>
  <si>
    <t>14/2/2021</t>
  </si>
  <si>
    <t>SQ2311</t>
  </si>
  <si>
    <t>28/2/2021</t>
  </si>
  <si>
    <t>Anisha Tiwari</t>
  </si>
  <si>
    <t>AK-Clothes-2312</t>
  </si>
  <si>
    <t>Noida</t>
  </si>
  <si>
    <t>********44</t>
  </si>
  <si>
    <t>ZE6744</t>
  </si>
  <si>
    <t>Zara khan</t>
  </si>
  <si>
    <t>AK-Clothes-3211</t>
  </si>
  <si>
    <t>********63</t>
  </si>
  <si>
    <t>Silk Kurtas Set</t>
  </si>
  <si>
    <t>AS4540</t>
  </si>
  <si>
    <t>Priya Shukla</t>
  </si>
  <si>
    <t>AK-Clothes-1239</t>
  </si>
  <si>
    <t>********27</t>
  </si>
  <si>
    <t>Chikankari Kurti</t>
  </si>
  <si>
    <t>XQ1212</t>
  </si>
  <si>
    <t>Sunita Mishra</t>
  </si>
  <si>
    <t>AK-Clothes-2341</t>
  </si>
  <si>
    <t>Delhi</t>
  </si>
  <si>
    <t>********40</t>
  </si>
  <si>
    <t>11:30pm</t>
  </si>
  <si>
    <t>Mk4545</t>
  </si>
  <si>
    <t>Anjali shah</t>
  </si>
  <si>
    <t>AK-Clothes-1111</t>
  </si>
  <si>
    <t>********92</t>
  </si>
  <si>
    <t>ZQ2367</t>
  </si>
  <si>
    <t>Anuj Pawar</t>
  </si>
  <si>
    <t>AK-Clothes-2300</t>
  </si>
  <si>
    <t>********86</t>
  </si>
  <si>
    <t>Black Blazer</t>
  </si>
  <si>
    <t>DK3490</t>
  </si>
  <si>
    <t>Amey Jaiswal</t>
  </si>
  <si>
    <t>AK-Clothes-2342</t>
  </si>
  <si>
    <t>********81</t>
  </si>
  <si>
    <t>AQ6565</t>
  </si>
  <si>
    <t>Kunal Gaikwad</t>
  </si>
  <si>
    <t>AK-Clothes-1200</t>
  </si>
  <si>
    <t>Surat</t>
  </si>
  <si>
    <t>Denim jacket</t>
  </si>
  <si>
    <t>ZQ1393</t>
  </si>
  <si>
    <t>Smita Prakash</t>
  </si>
  <si>
    <t>AK-Clothes-2346</t>
  </si>
  <si>
    <t>********96</t>
  </si>
  <si>
    <t>10:55am</t>
  </si>
  <si>
    <t>JS5678</t>
  </si>
  <si>
    <t>Anita Parikh</t>
  </si>
  <si>
    <t>********90</t>
  </si>
  <si>
    <t>11:35am</t>
  </si>
  <si>
    <t>QQ3409</t>
  </si>
  <si>
    <t>Rahul Jaiswal</t>
  </si>
  <si>
    <t>AK-Clothes-2340</t>
  </si>
  <si>
    <t>********95</t>
  </si>
  <si>
    <t>01:00pm</t>
  </si>
  <si>
    <t>ZQ2362</t>
  </si>
  <si>
    <t>Sunita Sharma</t>
  </si>
  <si>
    <t>AK-Clothes-2349</t>
  </si>
  <si>
    <t>********08</t>
  </si>
  <si>
    <t>Anarkali set</t>
  </si>
  <si>
    <t>DK3493</t>
  </si>
  <si>
    <t>Vishakha Soni</t>
  </si>
  <si>
    <t>AK-Clothes-2354</t>
  </si>
  <si>
    <t>********10</t>
  </si>
  <si>
    <t>07:45am</t>
  </si>
  <si>
    <t>AQ6522</t>
  </si>
  <si>
    <t>13/3/2021</t>
  </si>
  <si>
    <t>Anup Prasad</t>
  </si>
  <si>
    <t>AK-Clothes-2321</t>
  </si>
  <si>
    <t>ZQ1392</t>
  </si>
  <si>
    <t>14/3/2021</t>
  </si>
  <si>
    <t>Vaibhavi Anand</t>
  </si>
  <si>
    <t>AK-Clothes-3292</t>
  </si>
  <si>
    <t>********59</t>
  </si>
  <si>
    <t>JS5674</t>
  </si>
  <si>
    <t>15/3/2021</t>
  </si>
  <si>
    <t>Vishakha Rahi</t>
  </si>
  <si>
    <t>AK-Clothes-3203</t>
  </si>
  <si>
    <t>********94</t>
  </si>
  <si>
    <t>04:25pm</t>
  </si>
  <si>
    <t>QQ3411</t>
  </si>
  <si>
    <t>16/3/2021</t>
  </si>
  <si>
    <t>Anuja Pathak</t>
  </si>
  <si>
    <t>AK-Clothes-3124</t>
  </si>
  <si>
    <t>********97</t>
  </si>
  <si>
    <t>SQ2382</t>
  </si>
  <si>
    <t>17/3/2021</t>
  </si>
  <si>
    <t>Priti Pawar</t>
  </si>
  <si>
    <t>AK-Clothes-2325</t>
  </si>
  <si>
    <t>********98</t>
  </si>
  <si>
    <t>ZE6773</t>
  </si>
  <si>
    <t>18/3/2021</t>
  </si>
  <si>
    <t>Usha Joshi</t>
  </si>
  <si>
    <t>AK-Clothes-2326</t>
  </si>
  <si>
    <t>********99</t>
  </si>
  <si>
    <t>AS4544</t>
  </si>
  <si>
    <t>19/3/2021</t>
  </si>
  <si>
    <t>Namrata Rathi</t>
  </si>
  <si>
    <t>AK-Clothes-2778</t>
  </si>
  <si>
    <t>XC7775</t>
  </si>
  <si>
    <t>20/3/2021</t>
  </si>
  <si>
    <t>Vijay Salvi</t>
  </si>
  <si>
    <t>TH2326</t>
  </si>
  <si>
    <t>21/3/2021</t>
  </si>
  <si>
    <t>Sidhika Rahi</t>
  </si>
  <si>
    <t>AK-Clothes-2810</t>
  </si>
  <si>
    <t>QR6787</t>
  </si>
  <si>
    <t>22/3/2021</t>
  </si>
  <si>
    <t>Dev Banerjee</t>
  </si>
  <si>
    <t>AK-Clothes-2913</t>
  </si>
  <si>
    <t>********13</t>
  </si>
  <si>
    <t>ZQ4428</t>
  </si>
  <si>
    <t>23/3/2021</t>
  </si>
  <si>
    <t>Rushi Yadav</t>
  </si>
  <si>
    <t>AK-Clothes-2358</t>
  </si>
  <si>
    <t>********24</t>
  </si>
  <si>
    <t>ZQ3439</t>
  </si>
  <si>
    <t>24/3/2021</t>
  </si>
  <si>
    <t>Riya Sharma</t>
  </si>
  <si>
    <t>AK-Clothes-2523</t>
  </si>
  <si>
    <t>********18</t>
  </si>
  <si>
    <t>MN4411</t>
  </si>
  <si>
    <t>25/3/2021</t>
  </si>
  <si>
    <t>Sunita Pathak</t>
  </si>
  <si>
    <t>AK-Clothes-2387</t>
  </si>
  <si>
    <t>********36</t>
  </si>
  <si>
    <t>PS5534</t>
  </si>
  <si>
    <t>26/3/2021</t>
  </si>
  <si>
    <t>Uday Banerjee</t>
  </si>
  <si>
    <t>AK-Clothes-2091</t>
  </si>
  <si>
    <t>********77</t>
  </si>
  <si>
    <t>FM5111</t>
  </si>
  <si>
    <t>27/3/2021</t>
  </si>
  <si>
    <t>Vijay Shinde</t>
  </si>
  <si>
    <t>AK-Clothes-2314</t>
  </si>
  <si>
    <t>********35</t>
  </si>
  <si>
    <t>PS2389</t>
  </si>
  <si>
    <t>28/3/2021</t>
  </si>
  <si>
    <t>Sidhika Rai</t>
  </si>
  <si>
    <t>AK-Clothes-3215</t>
  </si>
  <si>
    <t>********72</t>
  </si>
  <si>
    <t>SQ2322</t>
  </si>
  <si>
    <t>29/3/2021</t>
  </si>
  <si>
    <t>Devika Banerjee</t>
  </si>
  <si>
    <t>AK-Clothes-1236</t>
  </si>
  <si>
    <t>ZE6799</t>
  </si>
  <si>
    <t>30/3/2021</t>
  </si>
  <si>
    <t>Rushi soni</t>
  </si>
  <si>
    <t>AK-Clothes-2347</t>
  </si>
  <si>
    <t>********16</t>
  </si>
  <si>
    <t>AS5656</t>
  </si>
  <si>
    <t>31/3/2021</t>
  </si>
  <si>
    <t>Riya Mehta</t>
  </si>
  <si>
    <t>AK-Clothes-1118</t>
  </si>
  <si>
    <t>********41</t>
  </si>
  <si>
    <t>XQ9900</t>
  </si>
  <si>
    <t>Sunita Modi</t>
  </si>
  <si>
    <t>AK-Clothes-2304</t>
  </si>
  <si>
    <t>BS3949</t>
  </si>
  <si>
    <t>Anshuman tiwari</t>
  </si>
  <si>
    <t>********17</t>
  </si>
  <si>
    <t>AQ6545</t>
  </si>
  <si>
    <t>Praney Ahuja</t>
  </si>
  <si>
    <t>AK-Clothes-1253</t>
  </si>
  <si>
    <t>SR3399</t>
  </si>
  <si>
    <t>Anu Shah</t>
  </si>
  <si>
    <t>AK-Clothes-2398</t>
  </si>
  <si>
    <t>********91</t>
  </si>
  <si>
    <t>03:22pm</t>
  </si>
  <si>
    <t>PQ1267</t>
  </si>
  <si>
    <t>Number of orders count</t>
  </si>
  <si>
    <t>There are two sheets Sales and Service reports on each question I have marked the reference report. </t>
  </si>
  <si>
    <t>1- Column K replaces "warranty" with 0 .  (Service Report)</t>
  </si>
  <si>
    <t>2- Calculate pending amount? By using formula.  (Service Report)</t>
  </si>
  <si>
    <t>3- sum column N by using sum formula to get total (Service Report)</t>
  </si>
  <si>
    <t>4- Sheet 2 &amp; 3 Use V-lookup to get the outcome for mentioned details. (Sales Report)</t>
  </si>
  <si>
    <t>5- Use Count-if to get the number of orders from each city mentioned as count if in a sheet. like Bangalore, Mumbai etc. (Sales Report) </t>
  </si>
  <si>
    <t>6- What is the maximum value/price (Price column K) of an item we have sold and it is in which cities. (Sales Report)</t>
  </si>
  <si>
    <t>7- What is the maximum value item we have sold (use formula to get). (Sales Report)</t>
  </si>
  <si>
    <t>8- What is the total sales or revenue generated by a company ? (Sales Report). </t>
  </si>
  <si>
    <t>9- column L (Total Price) uses formula, if i change the quantity then it must change the total price, so replace with formula. (Sales Report)</t>
  </si>
  <si>
    <t>10- highlight the status completed. (Service Report)</t>
  </si>
  <si>
    <t>11- There are few names that are duplicated or repeated in column B that use a function to highlight those names. (Highlight Name)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</si>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</sst>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222222"/>
      <name val="Roboto"/>
    </font>
    <font>
      <sz val="10"/>
      <color theme="1"/>
      <name val="Arial"/>
      <family val="2"/>
    </font>
    <font>
      <sz val="10"/>
      <color rgb="FF222222"/>
      <name val="Arial"/>
      <family val="2"/>
    </font>
    <font>
      <b/>
      <u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2" borderId="4" xfId="0" applyFill="1" applyBorder="1" applyAlignment="1">
      <alignment horizontal="center" wrapText="1"/>
    </xf>
    <xf numFmtId="0" fontId="2" fillId="0" borderId="4" xfId="0" applyFont="1" applyBorder="1" applyAlignment="1">
      <alignment vertical="center" wrapText="1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2" borderId="2" xfId="0" applyFill="1" applyBorder="1" applyAlignment="1">
      <alignment wrapText="1"/>
    </xf>
    <xf numFmtId="0" fontId="0" fillId="0" borderId="5" xfId="0" applyBorder="1" applyAlignment="1">
      <alignment horizontal="center" wrapText="1"/>
    </xf>
    <xf numFmtId="14" fontId="0" fillId="0" borderId="4" xfId="0" applyNumberFormat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4" fillId="0" borderId="4" xfId="0" applyFont="1" applyBorder="1" applyAlignment="1">
      <alignment wrapText="1"/>
    </xf>
    <xf numFmtId="0" fontId="5" fillId="3" borderId="4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0" fillId="3" borderId="1" xfId="0" applyFill="1" applyBorder="1" applyAlignment="1">
      <alignment wrapText="1"/>
    </xf>
    <xf numFmtId="0" fontId="6" fillId="2" borderId="6" xfId="0" applyFont="1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6" fillId="2" borderId="7" xfId="0" applyFont="1" applyFill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14" fontId="4" fillId="0" borderId="4" xfId="0" applyNumberFormat="1" applyFont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 wrapText="1"/>
    </xf>
    <xf numFmtId="0" fontId="0" fillId="0" borderId="4" xfId="0" applyBorder="1" applyAlignment="1">
      <alignment horizontal="right" wrapText="1"/>
    </xf>
    <xf numFmtId="164" fontId="0" fillId="0" borderId="4" xfId="0" applyNumberFormat="1" applyBorder="1" applyAlignment="1">
      <alignment horizontal="right" wrapText="1"/>
    </xf>
  </cellXfs>
  <cellStyles count="1">
    <cellStyle name="Normal" xfId="0" builtinId="0"/>
  </cellStyles>
  <dxfs count="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"/>
  <sheetViews>
    <sheetView topLeftCell="F1" workbookViewId="0">
      <selection activeCell="O3" sqref="O3:O42"/>
    </sheetView>
  </sheetViews>
  <sheetFormatPr defaultRowHeight="14.4" x14ac:dyDescent="0.3"/>
  <cols>
    <col min="1" max="1" width="12" customWidth="1"/>
    <col min="2" max="2" width="16.109375" customWidth="1"/>
    <col min="3" max="3" width="27.5546875" bestFit="1" customWidth="1"/>
    <col min="5" max="5" width="24.6640625" customWidth="1"/>
    <col min="6" max="6" width="38.109375" bestFit="1" customWidth="1"/>
    <col min="7" max="7" width="15.44140625" customWidth="1"/>
    <col min="8" max="8" width="15.109375" customWidth="1"/>
    <col min="9" max="9" width="12.33203125" customWidth="1"/>
    <col min="10" max="10" width="14.109375" customWidth="1"/>
    <col min="11" max="11" width="16" customWidth="1"/>
    <col min="13" max="13" width="14.6640625" customWidth="1"/>
    <col min="15" max="15" width="20.109375" bestFit="1" customWidth="1"/>
    <col min="16" max="16" width="16.5546875" customWidth="1"/>
  </cols>
  <sheetData>
    <row r="1" spans="1:17" ht="15" thickBot="1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8" t="s">
        <v>1</v>
      </c>
      <c r="L1" s="2"/>
      <c r="M1" s="8" t="s">
        <v>2</v>
      </c>
      <c r="N1" s="8" t="s">
        <v>3</v>
      </c>
      <c r="O1" s="2"/>
      <c r="P1" s="2"/>
      <c r="Q1" s="2"/>
    </row>
    <row r="2" spans="1:17" ht="15" thickBot="1" x14ac:dyDescent="0.35">
      <c r="A2" s="9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  <c r="I2" s="6" t="s">
        <v>12</v>
      </c>
      <c r="J2" s="6" t="s">
        <v>13</v>
      </c>
      <c r="K2" s="6" t="s">
        <v>14</v>
      </c>
      <c r="L2" s="6" t="s">
        <v>15</v>
      </c>
      <c r="M2" s="6" t="s">
        <v>16</v>
      </c>
      <c r="N2" s="6" t="s">
        <v>17</v>
      </c>
      <c r="O2" s="6" t="s">
        <v>18</v>
      </c>
      <c r="P2" s="6" t="s">
        <v>19</v>
      </c>
      <c r="Q2" s="6" t="s">
        <v>20</v>
      </c>
    </row>
    <row r="3" spans="1:17" ht="24.9" customHeight="1" thickBot="1" x14ac:dyDescent="0.35">
      <c r="A3" s="9">
        <v>1</v>
      </c>
      <c r="B3" s="10">
        <v>44205</v>
      </c>
      <c r="C3" s="12" t="s">
        <v>21</v>
      </c>
      <c r="D3" s="12" t="s">
        <v>22</v>
      </c>
      <c r="E3" s="13" t="s">
        <v>23</v>
      </c>
      <c r="F3" s="14" t="s">
        <v>24</v>
      </c>
      <c r="G3" s="6" t="s">
        <v>25</v>
      </c>
      <c r="H3" s="6" t="s">
        <v>26</v>
      </c>
      <c r="I3" s="6" t="s">
        <v>27</v>
      </c>
      <c r="J3" s="10">
        <v>44205</v>
      </c>
      <c r="K3" s="6">
        <v>0</v>
      </c>
      <c r="L3" s="6">
        <v>0</v>
      </c>
      <c r="M3" s="14">
        <f t="shared" ref="M3:M42" si="0">IF(K3="0",0,K3-L3)</f>
        <v>0</v>
      </c>
      <c r="N3" s="14">
        <f>L3+M3</f>
        <v>0</v>
      </c>
      <c r="O3" s="6" t="s">
        <v>28</v>
      </c>
      <c r="P3" s="6" t="s">
        <v>29</v>
      </c>
      <c r="Q3" s="14" t="str">
        <f>IF(L3=0,"Paid","Pending")</f>
        <v>Paid</v>
      </c>
    </row>
    <row r="4" spans="1:17" ht="24.9" customHeight="1" thickBot="1" x14ac:dyDescent="0.35">
      <c r="A4" s="9">
        <v>2</v>
      </c>
      <c r="B4" s="10">
        <v>44205</v>
      </c>
      <c r="C4" s="12" t="s">
        <v>30</v>
      </c>
      <c r="D4" s="12" t="s">
        <v>31</v>
      </c>
      <c r="E4" s="13" t="s">
        <v>32</v>
      </c>
      <c r="F4" s="14" t="s">
        <v>33</v>
      </c>
      <c r="G4" s="6" t="s">
        <v>25</v>
      </c>
      <c r="H4" s="6" t="s">
        <v>34</v>
      </c>
      <c r="I4" s="6" t="s">
        <v>35</v>
      </c>
      <c r="J4" s="10">
        <v>44205</v>
      </c>
      <c r="K4" s="6">
        <v>3000</v>
      </c>
      <c r="L4" s="6">
        <v>2000</v>
      </c>
      <c r="M4" s="14">
        <f t="shared" si="0"/>
        <v>1000</v>
      </c>
      <c r="N4" s="14">
        <f t="shared" ref="N4:N43" si="1">L4+M4</f>
        <v>3000</v>
      </c>
      <c r="O4" s="6" t="s">
        <v>36</v>
      </c>
      <c r="P4" s="6" t="s">
        <v>37</v>
      </c>
      <c r="Q4" s="14" t="str">
        <f t="shared" ref="Q4:Q43" si="2">IF(L4=0,"Paid","Pending")</f>
        <v>Pending</v>
      </c>
    </row>
    <row r="5" spans="1:17" ht="24.9" customHeight="1" thickBot="1" x14ac:dyDescent="0.35">
      <c r="A5" s="9">
        <v>3</v>
      </c>
      <c r="B5" s="10">
        <v>44205</v>
      </c>
      <c r="C5" s="12" t="s">
        <v>38</v>
      </c>
      <c r="D5" s="12" t="s">
        <v>39</v>
      </c>
      <c r="E5" s="13" t="s">
        <v>40</v>
      </c>
      <c r="F5" s="14" t="s">
        <v>41</v>
      </c>
      <c r="G5" s="6" t="s">
        <v>25</v>
      </c>
      <c r="H5" s="6" t="s">
        <v>26</v>
      </c>
      <c r="I5" s="6" t="s">
        <v>42</v>
      </c>
      <c r="J5" s="10">
        <v>44236</v>
      </c>
      <c r="K5" s="6">
        <v>5000</v>
      </c>
      <c r="L5" s="6">
        <v>3000</v>
      </c>
      <c r="M5" s="14">
        <f t="shared" si="0"/>
        <v>2000</v>
      </c>
      <c r="N5" s="14">
        <f t="shared" si="1"/>
        <v>5000</v>
      </c>
      <c r="O5" s="6" t="s">
        <v>36</v>
      </c>
      <c r="P5" s="6" t="s">
        <v>43</v>
      </c>
      <c r="Q5" s="14" t="str">
        <f t="shared" si="2"/>
        <v>Pending</v>
      </c>
    </row>
    <row r="6" spans="1:17" ht="24.9" customHeight="1" thickBot="1" x14ac:dyDescent="0.35">
      <c r="A6" s="9">
        <v>4</v>
      </c>
      <c r="B6" s="10">
        <v>44205</v>
      </c>
      <c r="C6" s="12" t="s">
        <v>44</v>
      </c>
      <c r="D6" s="12" t="s">
        <v>39</v>
      </c>
      <c r="E6" s="6" t="s">
        <v>45</v>
      </c>
      <c r="F6" s="14" t="s">
        <v>46</v>
      </c>
      <c r="G6" s="6" t="s">
        <v>47</v>
      </c>
      <c r="H6" s="6" t="s">
        <v>26</v>
      </c>
      <c r="I6" s="6" t="s">
        <v>48</v>
      </c>
      <c r="J6" s="10">
        <v>44236</v>
      </c>
      <c r="K6" s="6">
        <v>0</v>
      </c>
      <c r="L6" s="6">
        <v>0</v>
      </c>
      <c r="M6" s="14">
        <f t="shared" si="0"/>
        <v>0</v>
      </c>
      <c r="N6" s="14">
        <f t="shared" si="1"/>
        <v>0</v>
      </c>
      <c r="O6" s="6" t="s">
        <v>28</v>
      </c>
      <c r="P6" s="6" t="s">
        <v>49</v>
      </c>
      <c r="Q6" s="14" t="str">
        <f t="shared" si="2"/>
        <v>Paid</v>
      </c>
    </row>
    <row r="7" spans="1:17" ht="24.9" customHeight="1" thickBot="1" x14ac:dyDescent="0.35">
      <c r="A7" s="9">
        <v>5</v>
      </c>
      <c r="B7" s="10">
        <v>44236</v>
      </c>
      <c r="C7" s="12" t="s">
        <v>50</v>
      </c>
      <c r="D7" s="12" t="s">
        <v>51</v>
      </c>
      <c r="E7" s="13" t="s">
        <v>52</v>
      </c>
      <c r="F7" s="14" t="s">
        <v>53</v>
      </c>
      <c r="G7" s="6" t="s">
        <v>47</v>
      </c>
      <c r="H7" s="6" t="s">
        <v>26</v>
      </c>
      <c r="I7" s="6" t="s">
        <v>54</v>
      </c>
      <c r="J7" s="10">
        <v>44264</v>
      </c>
      <c r="K7" s="6">
        <v>2000</v>
      </c>
      <c r="L7" s="6">
        <v>2000</v>
      </c>
      <c r="M7" s="14">
        <f t="shared" si="0"/>
        <v>0</v>
      </c>
      <c r="N7" s="14">
        <f t="shared" si="1"/>
        <v>2000</v>
      </c>
      <c r="O7" s="6" t="s">
        <v>28</v>
      </c>
      <c r="P7" s="6" t="s">
        <v>55</v>
      </c>
      <c r="Q7" s="14" t="str">
        <f t="shared" si="2"/>
        <v>Pending</v>
      </c>
    </row>
    <row r="8" spans="1:17" ht="24.9" customHeight="1" thickBot="1" x14ac:dyDescent="0.35">
      <c r="A8" s="9">
        <v>6</v>
      </c>
      <c r="B8" s="10">
        <v>44236</v>
      </c>
      <c r="C8" s="12" t="s">
        <v>56</v>
      </c>
      <c r="D8" s="12" t="s">
        <v>57</v>
      </c>
      <c r="E8" s="6" t="s">
        <v>58</v>
      </c>
      <c r="F8" s="14" t="s">
        <v>59</v>
      </c>
      <c r="G8" s="6" t="s">
        <v>47</v>
      </c>
      <c r="H8" s="6" t="s">
        <v>26</v>
      </c>
      <c r="I8" s="6" t="s">
        <v>60</v>
      </c>
      <c r="J8" s="10">
        <v>44264</v>
      </c>
      <c r="K8" s="6">
        <v>500</v>
      </c>
      <c r="L8" s="6">
        <v>500</v>
      </c>
      <c r="M8" s="14">
        <f t="shared" si="0"/>
        <v>0</v>
      </c>
      <c r="N8" s="14">
        <f t="shared" si="1"/>
        <v>500</v>
      </c>
      <c r="O8" s="6" t="s">
        <v>28</v>
      </c>
      <c r="P8" s="6" t="s">
        <v>61</v>
      </c>
      <c r="Q8" s="14" t="str">
        <f t="shared" si="2"/>
        <v>Pending</v>
      </c>
    </row>
    <row r="9" spans="1:17" ht="24.9" customHeight="1" thickBot="1" x14ac:dyDescent="0.35">
      <c r="A9" s="9">
        <v>7</v>
      </c>
      <c r="B9" s="10">
        <v>44236</v>
      </c>
      <c r="C9" s="12" t="s">
        <v>62</v>
      </c>
      <c r="D9" s="12" t="s">
        <v>57</v>
      </c>
      <c r="E9" s="6" t="s">
        <v>58</v>
      </c>
      <c r="F9" s="14" t="s">
        <v>59</v>
      </c>
      <c r="G9" s="6" t="s">
        <v>25</v>
      </c>
      <c r="H9" s="6" t="s">
        <v>26</v>
      </c>
      <c r="I9" s="6" t="s">
        <v>27</v>
      </c>
      <c r="J9" s="10">
        <v>44295</v>
      </c>
      <c r="K9" s="6">
        <v>0</v>
      </c>
      <c r="L9" s="6">
        <v>0</v>
      </c>
      <c r="M9" s="14">
        <f t="shared" si="0"/>
        <v>0</v>
      </c>
      <c r="N9" s="14">
        <f t="shared" si="1"/>
        <v>0</v>
      </c>
      <c r="O9" s="6" t="s">
        <v>36</v>
      </c>
      <c r="P9" s="6" t="s">
        <v>29</v>
      </c>
      <c r="Q9" s="14" t="str">
        <f t="shared" si="2"/>
        <v>Paid</v>
      </c>
    </row>
    <row r="10" spans="1:17" ht="24.9" customHeight="1" thickBot="1" x14ac:dyDescent="0.35">
      <c r="A10" s="9">
        <v>8</v>
      </c>
      <c r="B10" s="10">
        <v>44264</v>
      </c>
      <c r="C10" s="12" t="s">
        <v>63</v>
      </c>
      <c r="D10" s="12" t="s">
        <v>39</v>
      </c>
      <c r="E10" s="13" t="s">
        <v>40</v>
      </c>
      <c r="F10" s="14" t="s">
        <v>64</v>
      </c>
      <c r="G10" s="6" t="s">
        <v>25</v>
      </c>
      <c r="H10" s="6" t="s">
        <v>26</v>
      </c>
      <c r="I10" s="6" t="s">
        <v>48</v>
      </c>
      <c r="J10" s="10">
        <v>44295</v>
      </c>
      <c r="K10" s="6">
        <v>600</v>
      </c>
      <c r="L10" s="6">
        <v>600</v>
      </c>
      <c r="M10" s="14">
        <f t="shared" si="0"/>
        <v>0</v>
      </c>
      <c r="N10" s="14">
        <f t="shared" si="1"/>
        <v>600</v>
      </c>
      <c r="O10" s="6" t="s">
        <v>36</v>
      </c>
      <c r="P10" s="6" t="s">
        <v>37</v>
      </c>
      <c r="Q10" s="14" t="str">
        <f t="shared" si="2"/>
        <v>Pending</v>
      </c>
    </row>
    <row r="11" spans="1:17" ht="24.9" customHeight="1" thickBot="1" x14ac:dyDescent="0.35">
      <c r="A11" s="9">
        <v>9</v>
      </c>
      <c r="B11" s="10">
        <v>44264</v>
      </c>
      <c r="C11" s="12" t="s">
        <v>65</v>
      </c>
      <c r="D11" s="12" t="s">
        <v>39</v>
      </c>
      <c r="E11" s="13" t="s">
        <v>40</v>
      </c>
      <c r="F11" s="14" t="s">
        <v>33</v>
      </c>
      <c r="G11" s="6" t="s">
        <v>47</v>
      </c>
      <c r="H11" s="6" t="s">
        <v>34</v>
      </c>
      <c r="I11" s="6" t="s">
        <v>66</v>
      </c>
      <c r="J11" s="10">
        <v>44295</v>
      </c>
      <c r="K11" s="6">
        <v>0</v>
      </c>
      <c r="L11" s="14"/>
      <c r="M11" s="14">
        <f t="shared" si="0"/>
        <v>0</v>
      </c>
      <c r="N11" s="14">
        <f t="shared" si="1"/>
        <v>0</v>
      </c>
      <c r="O11" s="6" t="s">
        <v>36</v>
      </c>
      <c r="P11" s="6" t="s">
        <v>43</v>
      </c>
      <c r="Q11" s="14" t="str">
        <f t="shared" si="2"/>
        <v>Paid</v>
      </c>
    </row>
    <row r="12" spans="1:17" ht="24.9" customHeight="1" thickBot="1" x14ac:dyDescent="0.35">
      <c r="A12" s="9">
        <v>10</v>
      </c>
      <c r="B12" s="10">
        <v>44386</v>
      </c>
      <c r="C12" s="12" t="s">
        <v>67</v>
      </c>
      <c r="D12" s="12" t="s">
        <v>31</v>
      </c>
      <c r="E12" s="13" t="s">
        <v>32</v>
      </c>
      <c r="F12" s="14" t="s">
        <v>64</v>
      </c>
      <c r="G12" s="6" t="s">
        <v>47</v>
      </c>
      <c r="H12" s="6" t="s">
        <v>34</v>
      </c>
      <c r="I12" s="6" t="s">
        <v>48</v>
      </c>
      <c r="J12" s="10">
        <v>44295</v>
      </c>
      <c r="K12" s="6">
        <v>600</v>
      </c>
      <c r="L12" s="6">
        <v>600</v>
      </c>
      <c r="M12" s="14">
        <f t="shared" si="0"/>
        <v>0</v>
      </c>
      <c r="N12" s="14">
        <f t="shared" si="1"/>
        <v>600</v>
      </c>
      <c r="O12" s="6" t="s">
        <v>28</v>
      </c>
      <c r="P12" s="6" t="s">
        <v>49</v>
      </c>
      <c r="Q12" s="14" t="str">
        <f t="shared" si="2"/>
        <v>Pending</v>
      </c>
    </row>
    <row r="13" spans="1:17" ht="24.9" customHeight="1" thickBot="1" x14ac:dyDescent="0.35">
      <c r="A13" s="9">
        <v>11</v>
      </c>
      <c r="B13" s="10">
        <v>44386</v>
      </c>
      <c r="C13" s="12" t="s">
        <v>68</v>
      </c>
      <c r="D13" s="12" t="s">
        <v>57</v>
      </c>
      <c r="E13" s="6" t="s">
        <v>58</v>
      </c>
      <c r="F13" s="14" t="s">
        <v>69</v>
      </c>
      <c r="G13" s="6" t="s">
        <v>25</v>
      </c>
      <c r="H13" s="6" t="s">
        <v>26</v>
      </c>
      <c r="I13" s="6" t="s">
        <v>70</v>
      </c>
      <c r="J13" s="10">
        <v>44448</v>
      </c>
      <c r="K13" s="6">
        <v>0</v>
      </c>
      <c r="L13" s="14"/>
      <c r="M13" s="14">
        <f t="shared" si="0"/>
        <v>0</v>
      </c>
      <c r="N13" s="14">
        <f t="shared" si="1"/>
        <v>0</v>
      </c>
      <c r="O13" s="6" t="s">
        <v>36</v>
      </c>
      <c r="P13" s="6" t="s">
        <v>55</v>
      </c>
      <c r="Q13" s="14" t="str">
        <f t="shared" si="2"/>
        <v>Paid</v>
      </c>
    </row>
    <row r="14" spans="1:17" ht="24.9" customHeight="1" thickBot="1" x14ac:dyDescent="0.35">
      <c r="A14" s="9">
        <v>12</v>
      </c>
      <c r="B14" s="10">
        <v>44386</v>
      </c>
      <c r="C14" s="12" t="s">
        <v>71</v>
      </c>
      <c r="D14" s="12" t="s">
        <v>57</v>
      </c>
      <c r="E14" s="6" t="s">
        <v>58</v>
      </c>
      <c r="F14" s="14" t="s">
        <v>72</v>
      </c>
      <c r="G14" s="6" t="s">
        <v>25</v>
      </c>
      <c r="H14" s="6" t="s">
        <v>34</v>
      </c>
      <c r="I14" s="6" t="s">
        <v>73</v>
      </c>
      <c r="J14" s="10">
        <v>44448</v>
      </c>
      <c r="K14" s="6">
        <v>500</v>
      </c>
      <c r="L14" s="6">
        <v>0</v>
      </c>
      <c r="M14" s="14">
        <f t="shared" si="0"/>
        <v>500</v>
      </c>
      <c r="N14" s="14">
        <f t="shared" si="1"/>
        <v>500</v>
      </c>
      <c r="O14" s="6" t="s">
        <v>28</v>
      </c>
      <c r="P14" s="6" t="s">
        <v>61</v>
      </c>
      <c r="Q14" s="14" t="str">
        <f t="shared" si="2"/>
        <v>Paid</v>
      </c>
    </row>
    <row r="15" spans="1:17" ht="24.9" customHeight="1" thickBot="1" x14ac:dyDescent="0.35">
      <c r="A15" s="9">
        <v>13</v>
      </c>
      <c r="B15" s="10">
        <v>44478</v>
      </c>
      <c r="C15" s="12" t="s">
        <v>74</v>
      </c>
      <c r="D15" s="12" t="s">
        <v>39</v>
      </c>
      <c r="E15" s="6" t="s">
        <v>45</v>
      </c>
      <c r="F15" s="14" t="s">
        <v>75</v>
      </c>
      <c r="G15" s="6" t="s">
        <v>47</v>
      </c>
      <c r="H15" s="6" t="s">
        <v>26</v>
      </c>
      <c r="I15" s="6" t="s">
        <v>73</v>
      </c>
      <c r="J15" s="10">
        <v>44509</v>
      </c>
      <c r="K15" s="6">
        <v>0</v>
      </c>
      <c r="L15" s="6">
        <v>0</v>
      </c>
      <c r="M15" s="14">
        <f t="shared" si="0"/>
        <v>0</v>
      </c>
      <c r="N15" s="14">
        <f t="shared" si="1"/>
        <v>0</v>
      </c>
      <c r="O15" s="6" t="s">
        <v>28</v>
      </c>
      <c r="P15" s="6" t="s">
        <v>43</v>
      </c>
      <c r="Q15" s="14" t="str">
        <f t="shared" si="2"/>
        <v>Paid</v>
      </c>
    </row>
    <row r="16" spans="1:17" ht="24.9" customHeight="1" thickBot="1" x14ac:dyDescent="0.35">
      <c r="A16" s="9">
        <v>14</v>
      </c>
      <c r="B16" s="10">
        <v>44509</v>
      </c>
      <c r="C16" s="12" t="s">
        <v>76</v>
      </c>
      <c r="D16" s="12" t="s">
        <v>39</v>
      </c>
      <c r="E16" s="6" t="s">
        <v>45</v>
      </c>
      <c r="F16" s="14" t="s">
        <v>75</v>
      </c>
      <c r="G16" s="6" t="s">
        <v>25</v>
      </c>
      <c r="H16" s="6" t="s">
        <v>34</v>
      </c>
      <c r="I16" s="6" t="s">
        <v>77</v>
      </c>
      <c r="J16" s="6" t="s">
        <v>78</v>
      </c>
      <c r="K16" s="6">
        <v>1000</v>
      </c>
      <c r="L16" s="6">
        <v>0</v>
      </c>
      <c r="M16" s="14">
        <f t="shared" si="0"/>
        <v>1000</v>
      </c>
      <c r="N16" s="14">
        <f t="shared" si="1"/>
        <v>1000</v>
      </c>
      <c r="O16" s="6" t="s">
        <v>36</v>
      </c>
      <c r="P16" s="6" t="s">
        <v>49</v>
      </c>
      <c r="Q16" s="14" t="str">
        <f t="shared" si="2"/>
        <v>Paid</v>
      </c>
    </row>
    <row r="17" spans="1:17" ht="24.9" customHeight="1" thickBot="1" x14ac:dyDescent="0.35">
      <c r="A17" s="9">
        <v>15</v>
      </c>
      <c r="B17" s="10">
        <v>44509</v>
      </c>
      <c r="C17" s="12" t="s">
        <v>79</v>
      </c>
      <c r="D17" s="12" t="s">
        <v>39</v>
      </c>
      <c r="E17" s="6" t="s">
        <v>45</v>
      </c>
      <c r="F17" s="14" t="s">
        <v>80</v>
      </c>
      <c r="G17" s="6" t="s">
        <v>47</v>
      </c>
      <c r="H17" s="6" t="s">
        <v>34</v>
      </c>
      <c r="I17" s="6" t="s">
        <v>27</v>
      </c>
      <c r="J17" s="6" t="s">
        <v>78</v>
      </c>
      <c r="K17" s="6">
        <v>2000</v>
      </c>
      <c r="L17" s="6">
        <v>1000</v>
      </c>
      <c r="M17" s="14">
        <f t="shared" si="0"/>
        <v>1000</v>
      </c>
      <c r="N17" s="14">
        <f t="shared" si="1"/>
        <v>2000</v>
      </c>
      <c r="O17" s="6" t="s">
        <v>28</v>
      </c>
      <c r="P17" s="6" t="s">
        <v>55</v>
      </c>
      <c r="Q17" s="14" t="str">
        <f t="shared" si="2"/>
        <v>Pending</v>
      </c>
    </row>
    <row r="18" spans="1:17" ht="24.9" customHeight="1" thickBot="1" x14ac:dyDescent="0.35">
      <c r="A18" s="9">
        <v>16</v>
      </c>
      <c r="B18" s="10">
        <v>44509</v>
      </c>
      <c r="C18" s="12" t="s">
        <v>81</v>
      </c>
      <c r="D18" s="12" t="s">
        <v>39</v>
      </c>
      <c r="E18" s="6" t="s">
        <v>45</v>
      </c>
      <c r="F18" s="14" t="s">
        <v>80</v>
      </c>
      <c r="G18" s="6" t="s">
        <v>25</v>
      </c>
      <c r="H18" s="6" t="s">
        <v>34</v>
      </c>
      <c r="I18" s="6" t="s">
        <v>82</v>
      </c>
      <c r="J18" s="6" t="s">
        <v>78</v>
      </c>
      <c r="K18" s="6">
        <v>4000</v>
      </c>
      <c r="L18" s="6">
        <v>2000</v>
      </c>
      <c r="M18" s="14">
        <f t="shared" si="0"/>
        <v>2000</v>
      </c>
      <c r="N18" s="14">
        <f t="shared" si="1"/>
        <v>4000</v>
      </c>
      <c r="O18" s="6" t="s">
        <v>28</v>
      </c>
      <c r="P18" s="6" t="s">
        <v>43</v>
      </c>
      <c r="Q18" s="14" t="str">
        <f t="shared" si="2"/>
        <v>Pending</v>
      </c>
    </row>
    <row r="19" spans="1:17" ht="24.9" customHeight="1" thickBot="1" x14ac:dyDescent="0.35">
      <c r="A19" s="9">
        <v>17</v>
      </c>
      <c r="B19" s="10">
        <v>44509</v>
      </c>
      <c r="C19" s="12" t="s">
        <v>83</v>
      </c>
      <c r="D19" s="12" t="s">
        <v>39</v>
      </c>
      <c r="E19" s="13" t="s">
        <v>40</v>
      </c>
      <c r="F19" s="14" t="s">
        <v>84</v>
      </c>
      <c r="G19" s="6" t="s">
        <v>47</v>
      </c>
      <c r="H19" s="6" t="s">
        <v>26</v>
      </c>
      <c r="I19" s="6" t="s">
        <v>48</v>
      </c>
      <c r="J19" s="6" t="s">
        <v>85</v>
      </c>
      <c r="K19" s="6">
        <v>3000</v>
      </c>
      <c r="L19" s="6">
        <v>2000</v>
      </c>
      <c r="M19" s="14">
        <f t="shared" si="0"/>
        <v>1000</v>
      </c>
      <c r="N19" s="14">
        <f t="shared" si="1"/>
        <v>3000</v>
      </c>
      <c r="O19" s="6" t="s">
        <v>28</v>
      </c>
      <c r="P19" s="6" t="s">
        <v>49</v>
      </c>
      <c r="Q19" s="14" t="str">
        <f t="shared" si="2"/>
        <v>Pending</v>
      </c>
    </row>
    <row r="20" spans="1:17" ht="24.9" customHeight="1" thickBot="1" x14ac:dyDescent="0.35">
      <c r="A20" s="9">
        <v>18</v>
      </c>
      <c r="B20" s="6" t="s">
        <v>86</v>
      </c>
      <c r="C20" s="12" t="s">
        <v>87</v>
      </c>
      <c r="D20" s="12" t="s">
        <v>39</v>
      </c>
      <c r="E20" s="13" t="s">
        <v>40</v>
      </c>
      <c r="F20" s="14" t="s">
        <v>84</v>
      </c>
      <c r="G20" s="6" t="s">
        <v>47</v>
      </c>
      <c r="H20" s="6" t="s">
        <v>34</v>
      </c>
      <c r="I20" s="6" t="s">
        <v>27</v>
      </c>
      <c r="J20" s="6" t="s">
        <v>85</v>
      </c>
      <c r="K20" s="6">
        <v>3000</v>
      </c>
      <c r="L20" s="6">
        <v>3000</v>
      </c>
      <c r="M20" s="14">
        <f t="shared" si="0"/>
        <v>0</v>
      </c>
      <c r="N20" s="14">
        <f t="shared" si="1"/>
        <v>3000</v>
      </c>
      <c r="O20" s="6" t="s">
        <v>36</v>
      </c>
      <c r="P20" s="6" t="s">
        <v>55</v>
      </c>
      <c r="Q20" s="14" t="str">
        <f t="shared" si="2"/>
        <v>Pending</v>
      </c>
    </row>
    <row r="21" spans="1:17" ht="24.9" customHeight="1" thickBot="1" x14ac:dyDescent="0.35">
      <c r="A21" s="9">
        <v>19</v>
      </c>
      <c r="B21" s="6" t="s">
        <v>86</v>
      </c>
      <c r="C21" s="12" t="s">
        <v>88</v>
      </c>
      <c r="D21" s="12" t="s">
        <v>57</v>
      </c>
      <c r="E21" s="6" t="s">
        <v>58</v>
      </c>
      <c r="F21" s="14" t="s">
        <v>89</v>
      </c>
      <c r="G21" s="6" t="s">
        <v>25</v>
      </c>
      <c r="H21" s="6" t="s">
        <v>34</v>
      </c>
      <c r="I21" s="6" t="s">
        <v>48</v>
      </c>
      <c r="J21" s="6" t="s">
        <v>85</v>
      </c>
      <c r="K21" s="6">
        <v>2000</v>
      </c>
      <c r="L21" s="6">
        <v>2000</v>
      </c>
      <c r="M21" s="14">
        <f t="shared" si="0"/>
        <v>0</v>
      </c>
      <c r="N21" s="14">
        <f t="shared" si="1"/>
        <v>2000</v>
      </c>
      <c r="O21" s="6" t="s">
        <v>90</v>
      </c>
      <c r="P21" s="6" t="s">
        <v>29</v>
      </c>
      <c r="Q21" s="14" t="str">
        <f t="shared" si="2"/>
        <v>Pending</v>
      </c>
    </row>
    <row r="22" spans="1:17" ht="24.9" customHeight="1" thickBot="1" x14ac:dyDescent="0.35">
      <c r="A22" s="9">
        <v>20</v>
      </c>
      <c r="B22" s="6" t="s">
        <v>86</v>
      </c>
      <c r="C22" s="15" t="s">
        <v>91</v>
      </c>
      <c r="D22" s="15" t="s">
        <v>57</v>
      </c>
      <c r="E22" s="6" t="s">
        <v>58</v>
      </c>
      <c r="F22" s="14" t="s">
        <v>92</v>
      </c>
      <c r="G22" s="6" t="s">
        <v>25</v>
      </c>
      <c r="H22" s="6" t="s">
        <v>26</v>
      </c>
      <c r="I22" s="6" t="s">
        <v>70</v>
      </c>
      <c r="J22" s="6" t="s">
        <v>85</v>
      </c>
      <c r="K22" s="6">
        <v>1000</v>
      </c>
      <c r="L22" s="6">
        <v>1000</v>
      </c>
      <c r="M22" s="14">
        <f t="shared" si="0"/>
        <v>0</v>
      </c>
      <c r="N22" s="14">
        <f t="shared" si="1"/>
        <v>1000</v>
      </c>
      <c r="O22" s="6" t="s">
        <v>90</v>
      </c>
      <c r="P22" s="6" t="s">
        <v>37</v>
      </c>
      <c r="Q22" s="14" t="str">
        <f t="shared" si="2"/>
        <v>Pending</v>
      </c>
    </row>
    <row r="23" spans="1:17" ht="24.9" customHeight="1" thickBot="1" x14ac:dyDescent="0.35">
      <c r="A23" s="9">
        <v>21</v>
      </c>
      <c r="B23" s="6" t="s">
        <v>78</v>
      </c>
      <c r="C23" s="16" t="s">
        <v>93</v>
      </c>
      <c r="D23" s="16" t="s">
        <v>57</v>
      </c>
      <c r="E23" s="6" t="s">
        <v>58</v>
      </c>
      <c r="F23" s="14" t="s">
        <v>89</v>
      </c>
      <c r="G23" s="6" t="s">
        <v>25</v>
      </c>
      <c r="H23" s="6" t="s">
        <v>34</v>
      </c>
      <c r="I23" s="6" t="s">
        <v>27</v>
      </c>
      <c r="J23" s="6" t="s">
        <v>85</v>
      </c>
      <c r="K23" s="6">
        <v>0</v>
      </c>
      <c r="L23" s="6">
        <v>0</v>
      </c>
      <c r="M23" s="14">
        <f t="shared" si="0"/>
        <v>0</v>
      </c>
      <c r="N23" s="14">
        <f t="shared" si="1"/>
        <v>0</v>
      </c>
      <c r="O23" s="6" t="s">
        <v>90</v>
      </c>
      <c r="P23" s="6" t="s">
        <v>43</v>
      </c>
      <c r="Q23" s="14" t="str">
        <f t="shared" si="2"/>
        <v>Paid</v>
      </c>
    </row>
    <row r="24" spans="1:17" ht="24.9" customHeight="1" thickBot="1" x14ac:dyDescent="0.35">
      <c r="A24" s="9">
        <v>22</v>
      </c>
      <c r="B24" s="6" t="s">
        <v>78</v>
      </c>
      <c r="C24" s="16" t="s">
        <v>94</v>
      </c>
      <c r="D24" s="16" t="s">
        <v>39</v>
      </c>
      <c r="E24" s="6" t="s">
        <v>45</v>
      </c>
      <c r="F24" s="14" t="s">
        <v>80</v>
      </c>
      <c r="G24" s="6" t="s">
        <v>25</v>
      </c>
      <c r="H24" s="6" t="s">
        <v>26</v>
      </c>
      <c r="I24" s="6" t="s">
        <v>35</v>
      </c>
      <c r="J24" s="6" t="s">
        <v>85</v>
      </c>
      <c r="K24" s="6">
        <v>0</v>
      </c>
      <c r="L24" s="6">
        <v>0</v>
      </c>
      <c r="M24" s="14">
        <f t="shared" si="0"/>
        <v>0</v>
      </c>
      <c r="N24" s="14">
        <f t="shared" si="1"/>
        <v>0</v>
      </c>
      <c r="O24" s="6" t="s">
        <v>95</v>
      </c>
      <c r="P24" s="6" t="s">
        <v>49</v>
      </c>
      <c r="Q24" s="14" t="str">
        <f t="shared" si="2"/>
        <v>Paid</v>
      </c>
    </row>
    <row r="25" spans="1:17" ht="24.9" customHeight="1" thickBot="1" x14ac:dyDescent="0.35">
      <c r="A25" s="9">
        <v>23</v>
      </c>
      <c r="B25" s="6" t="s">
        <v>78</v>
      </c>
      <c r="C25" s="16" t="s">
        <v>96</v>
      </c>
      <c r="D25" s="12" t="s">
        <v>22</v>
      </c>
      <c r="E25" s="13" t="s">
        <v>23</v>
      </c>
      <c r="F25" s="14" t="s">
        <v>97</v>
      </c>
      <c r="G25" s="6" t="s">
        <v>47</v>
      </c>
      <c r="H25" s="6" t="s">
        <v>26</v>
      </c>
      <c r="I25" s="6" t="s">
        <v>42</v>
      </c>
      <c r="J25" s="6" t="s">
        <v>85</v>
      </c>
      <c r="K25" s="6">
        <v>1000</v>
      </c>
      <c r="L25" s="6">
        <v>500</v>
      </c>
      <c r="M25" s="14">
        <f t="shared" si="0"/>
        <v>500</v>
      </c>
      <c r="N25" s="14">
        <f t="shared" si="1"/>
        <v>1000</v>
      </c>
      <c r="O25" s="6" t="s">
        <v>95</v>
      </c>
      <c r="P25" s="6" t="s">
        <v>29</v>
      </c>
      <c r="Q25" s="14" t="str">
        <f t="shared" si="2"/>
        <v>Pending</v>
      </c>
    </row>
    <row r="26" spans="1:17" ht="24.9" customHeight="1" thickBot="1" x14ac:dyDescent="0.35">
      <c r="A26" s="9">
        <v>24</v>
      </c>
      <c r="B26" s="6" t="s">
        <v>85</v>
      </c>
      <c r="C26" s="11" t="s">
        <v>98</v>
      </c>
      <c r="D26" s="12" t="s">
        <v>31</v>
      </c>
      <c r="E26" s="13" t="s">
        <v>32</v>
      </c>
      <c r="F26" s="14" t="s">
        <v>64</v>
      </c>
      <c r="G26" s="6" t="s">
        <v>47</v>
      </c>
      <c r="H26" s="6" t="s">
        <v>34</v>
      </c>
      <c r="I26" s="6" t="s">
        <v>48</v>
      </c>
      <c r="J26" s="6" t="s">
        <v>99</v>
      </c>
      <c r="K26" s="6">
        <v>2000</v>
      </c>
      <c r="L26" s="6">
        <v>1500</v>
      </c>
      <c r="M26" s="14">
        <f t="shared" si="0"/>
        <v>500</v>
      </c>
      <c r="N26" s="14">
        <f t="shared" si="1"/>
        <v>2000</v>
      </c>
      <c r="O26" s="6" t="s">
        <v>36</v>
      </c>
      <c r="P26" s="6" t="s">
        <v>29</v>
      </c>
      <c r="Q26" s="14" t="str">
        <f t="shared" si="2"/>
        <v>Pending</v>
      </c>
    </row>
    <row r="27" spans="1:17" ht="24.9" customHeight="1" thickBot="1" x14ac:dyDescent="0.35">
      <c r="A27" s="9">
        <v>25</v>
      </c>
      <c r="B27" s="6" t="s">
        <v>85</v>
      </c>
      <c r="C27" s="11" t="s">
        <v>100</v>
      </c>
      <c r="D27" s="12" t="s">
        <v>39</v>
      </c>
      <c r="E27" s="13" t="s">
        <v>40</v>
      </c>
      <c r="F27" s="14" t="s">
        <v>33</v>
      </c>
      <c r="G27" s="6" t="s">
        <v>47</v>
      </c>
      <c r="H27" s="6" t="s">
        <v>34</v>
      </c>
      <c r="I27" s="6" t="s">
        <v>54</v>
      </c>
      <c r="J27" s="6" t="s">
        <v>99</v>
      </c>
      <c r="K27" s="6">
        <v>4000</v>
      </c>
      <c r="L27" s="6">
        <v>500</v>
      </c>
      <c r="M27" s="14">
        <f t="shared" si="0"/>
        <v>3500</v>
      </c>
      <c r="N27" s="14">
        <f t="shared" si="1"/>
        <v>4000</v>
      </c>
      <c r="O27" s="6" t="s">
        <v>36</v>
      </c>
      <c r="P27" s="6" t="s">
        <v>37</v>
      </c>
      <c r="Q27" s="14" t="str">
        <f t="shared" si="2"/>
        <v>Pending</v>
      </c>
    </row>
    <row r="28" spans="1:17" ht="24.9" customHeight="1" thickBot="1" x14ac:dyDescent="0.35">
      <c r="A28" s="9">
        <v>26</v>
      </c>
      <c r="B28" s="6" t="s">
        <v>101</v>
      </c>
      <c r="C28" s="16" t="s">
        <v>102</v>
      </c>
      <c r="D28" s="12" t="s">
        <v>39</v>
      </c>
      <c r="E28" s="6" t="s">
        <v>45</v>
      </c>
      <c r="F28" s="14" t="s">
        <v>46</v>
      </c>
      <c r="G28" s="6" t="s">
        <v>25</v>
      </c>
      <c r="H28" s="6" t="s">
        <v>34</v>
      </c>
      <c r="I28" s="6" t="s">
        <v>60</v>
      </c>
      <c r="J28" s="6" t="s">
        <v>99</v>
      </c>
      <c r="K28" s="6">
        <v>3000</v>
      </c>
      <c r="L28" s="6">
        <v>3000</v>
      </c>
      <c r="M28" s="14">
        <f t="shared" si="0"/>
        <v>0</v>
      </c>
      <c r="N28" s="14">
        <f t="shared" si="1"/>
        <v>3000</v>
      </c>
      <c r="O28" s="6" t="s">
        <v>95</v>
      </c>
      <c r="P28" s="6" t="s">
        <v>37</v>
      </c>
      <c r="Q28" s="14" t="str">
        <f t="shared" si="2"/>
        <v>Pending</v>
      </c>
    </row>
    <row r="29" spans="1:17" ht="24.9" customHeight="1" thickBot="1" x14ac:dyDescent="0.35">
      <c r="A29" s="9">
        <v>27</v>
      </c>
      <c r="B29" s="6" t="s">
        <v>101</v>
      </c>
      <c r="C29" s="16" t="s">
        <v>103</v>
      </c>
      <c r="D29" s="12" t="s">
        <v>51</v>
      </c>
      <c r="E29" s="13" t="s">
        <v>52</v>
      </c>
      <c r="F29" s="14" t="s">
        <v>104</v>
      </c>
      <c r="G29" s="6" t="s">
        <v>47</v>
      </c>
      <c r="H29" s="6" t="s">
        <v>34</v>
      </c>
      <c r="I29" s="6" t="s">
        <v>27</v>
      </c>
      <c r="J29" s="6" t="s">
        <v>99</v>
      </c>
      <c r="K29" s="6">
        <v>3000</v>
      </c>
      <c r="L29" s="6">
        <v>3000</v>
      </c>
      <c r="M29" s="14">
        <f t="shared" si="0"/>
        <v>0</v>
      </c>
      <c r="N29" s="14">
        <f t="shared" si="1"/>
        <v>3000</v>
      </c>
      <c r="O29" s="6" t="s">
        <v>36</v>
      </c>
      <c r="P29" s="6" t="s">
        <v>37</v>
      </c>
      <c r="Q29" s="14" t="str">
        <f t="shared" si="2"/>
        <v>Pending</v>
      </c>
    </row>
    <row r="30" spans="1:17" ht="24.9" customHeight="1" thickBot="1" x14ac:dyDescent="0.35">
      <c r="A30" s="9">
        <v>28</v>
      </c>
      <c r="B30" s="6" t="s">
        <v>101</v>
      </c>
      <c r="C30" s="16" t="s">
        <v>105</v>
      </c>
      <c r="D30" s="12" t="s">
        <v>57</v>
      </c>
      <c r="E30" s="6" t="s">
        <v>58</v>
      </c>
      <c r="F30" s="14" t="s">
        <v>92</v>
      </c>
      <c r="G30" s="6" t="s">
        <v>25</v>
      </c>
      <c r="H30" s="6" t="s">
        <v>26</v>
      </c>
      <c r="I30" s="6" t="s">
        <v>48</v>
      </c>
      <c r="J30" s="6" t="s">
        <v>99</v>
      </c>
      <c r="K30" s="6">
        <v>2000</v>
      </c>
      <c r="L30" s="6">
        <v>500</v>
      </c>
      <c r="M30" s="14">
        <f t="shared" si="0"/>
        <v>1500</v>
      </c>
      <c r="N30" s="14">
        <f t="shared" si="1"/>
        <v>2000</v>
      </c>
      <c r="O30" s="6" t="s">
        <v>28</v>
      </c>
      <c r="P30" s="6" t="s">
        <v>29</v>
      </c>
      <c r="Q30" s="14" t="str">
        <f t="shared" si="2"/>
        <v>Pending</v>
      </c>
    </row>
    <row r="31" spans="1:17" ht="24.9" customHeight="1" thickBot="1" x14ac:dyDescent="0.35">
      <c r="A31" s="9">
        <v>29</v>
      </c>
      <c r="B31" s="6" t="s">
        <v>99</v>
      </c>
      <c r="C31" s="16" t="s">
        <v>106</v>
      </c>
      <c r="D31" s="12" t="s">
        <v>57</v>
      </c>
      <c r="E31" s="6" t="s">
        <v>58</v>
      </c>
      <c r="F31" s="14" t="s">
        <v>89</v>
      </c>
      <c r="G31" s="6" t="s">
        <v>25</v>
      </c>
      <c r="H31" s="6" t="s">
        <v>26</v>
      </c>
      <c r="I31" s="6" t="s">
        <v>66</v>
      </c>
      <c r="J31" s="6" t="s">
        <v>107</v>
      </c>
      <c r="K31" s="6">
        <v>1000</v>
      </c>
      <c r="L31" s="6">
        <v>500</v>
      </c>
      <c r="M31" s="14">
        <f t="shared" si="0"/>
        <v>500</v>
      </c>
      <c r="N31" s="14">
        <f t="shared" si="1"/>
        <v>1000</v>
      </c>
      <c r="O31" s="6" t="s">
        <v>90</v>
      </c>
      <c r="P31" s="6" t="s">
        <v>37</v>
      </c>
      <c r="Q31" s="14" t="str">
        <f t="shared" si="2"/>
        <v>Pending</v>
      </c>
    </row>
    <row r="32" spans="1:17" ht="24.9" customHeight="1" thickBot="1" x14ac:dyDescent="0.35">
      <c r="A32" s="9">
        <v>30</v>
      </c>
      <c r="B32" s="6" t="s">
        <v>99</v>
      </c>
      <c r="C32" s="16" t="s">
        <v>108</v>
      </c>
      <c r="D32" s="12" t="s">
        <v>39</v>
      </c>
      <c r="E32" s="13" t="s">
        <v>40</v>
      </c>
      <c r="F32" s="14" t="s">
        <v>64</v>
      </c>
      <c r="G32" s="6" t="s">
        <v>47</v>
      </c>
      <c r="H32" s="6" t="s">
        <v>26</v>
      </c>
      <c r="I32" s="6" t="s">
        <v>48</v>
      </c>
      <c r="J32" s="6" t="s">
        <v>107</v>
      </c>
      <c r="K32" s="6">
        <v>0</v>
      </c>
      <c r="L32" s="6">
        <v>0</v>
      </c>
      <c r="M32" s="14">
        <f t="shared" si="0"/>
        <v>0</v>
      </c>
      <c r="N32" s="14">
        <f t="shared" si="1"/>
        <v>0</v>
      </c>
      <c r="O32" s="6" t="s">
        <v>28</v>
      </c>
      <c r="P32" s="6" t="s">
        <v>43</v>
      </c>
      <c r="Q32" s="14" t="str">
        <f t="shared" si="2"/>
        <v>Paid</v>
      </c>
    </row>
    <row r="33" spans="1:17" ht="24.9" customHeight="1" thickBot="1" x14ac:dyDescent="0.35">
      <c r="A33" s="9">
        <v>31</v>
      </c>
      <c r="B33" s="6" t="s">
        <v>107</v>
      </c>
      <c r="C33" s="16" t="s">
        <v>109</v>
      </c>
      <c r="D33" s="12" t="s">
        <v>39</v>
      </c>
      <c r="E33" s="13" t="s">
        <v>40</v>
      </c>
      <c r="F33" s="14" t="s">
        <v>33</v>
      </c>
      <c r="G33" s="6" t="s">
        <v>47</v>
      </c>
      <c r="H33" s="6" t="s">
        <v>26</v>
      </c>
      <c r="I33" s="6" t="s">
        <v>70</v>
      </c>
      <c r="J33" s="6" t="s">
        <v>107</v>
      </c>
      <c r="K33" s="6">
        <v>1000</v>
      </c>
      <c r="L33" s="6">
        <v>500</v>
      </c>
      <c r="M33" s="14">
        <f t="shared" si="0"/>
        <v>500</v>
      </c>
      <c r="N33" s="14">
        <f t="shared" si="1"/>
        <v>1000</v>
      </c>
      <c r="O33" s="6" t="s">
        <v>28</v>
      </c>
      <c r="P33" s="6" t="s">
        <v>49</v>
      </c>
      <c r="Q33" s="14" t="str">
        <f t="shared" si="2"/>
        <v>Pending</v>
      </c>
    </row>
    <row r="34" spans="1:17" ht="24.9" customHeight="1" thickBot="1" x14ac:dyDescent="0.35">
      <c r="A34" s="9">
        <v>32</v>
      </c>
      <c r="B34" s="6" t="s">
        <v>107</v>
      </c>
      <c r="C34" s="16" t="s">
        <v>110</v>
      </c>
      <c r="D34" s="12" t="s">
        <v>31</v>
      </c>
      <c r="E34" s="13" t="s">
        <v>32</v>
      </c>
      <c r="F34" s="14" t="s">
        <v>111</v>
      </c>
      <c r="G34" s="6" t="s">
        <v>47</v>
      </c>
      <c r="H34" s="6" t="s">
        <v>26</v>
      </c>
      <c r="I34" s="6" t="s">
        <v>82</v>
      </c>
      <c r="J34" s="6" t="s">
        <v>107</v>
      </c>
      <c r="K34" s="6">
        <v>0</v>
      </c>
      <c r="L34" s="6">
        <v>0</v>
      </c>
      <c r="M34" s="14">
        <f t="shared" si="0"/>
        <v>0</v>
      </c>
      <c r="N34" s="14">
        <f t="shared" si="1"/>
        <v>0</v>
      </c>
      <c r="O34" s="6" t="s">
        <v>36</v>
      </c>
      <c r="P34" s="6" t="s">
        <v>55</v>
      </c>
      <c r="Q34" s="14" t="str">
        <f t="shared" si="2"/>
        <v>Paid</v>
      </c>
    </row>
    <row r="35" spans="1:17" ht="24.9" customHeight="1" thickBot="1" x14ac:dyDescent="0.35">
      <c r="A35" s="9">
        <v>33</v>
      </c>
      <c r="B35" s="6" t="s">
        <v>107</v>
      </c>
      <c r="C35" s="16" t="s">
        <v>112</v>
      </c>
      <c r="D35" s="12" t="s">
        <v>39</v>
      </c>
      <c r="E35" s="13" t="s">
        <v>40</v>
      </c>
      <c r="F35" s="14" t="s">
        <v>111</v>
      </c>
      <c r="G35" s="6" t="s">
        <v>25</v>
      </c>
      <c r="H35" s="6" t="s">
        <v>26</v>
      </c>
      <c r="I35" s="6" t="s">
        <v>27</v>
      </c>
      <c r="J35" s="6" t="s">
        <v>107</v>
      </c>
      <c r="K35" s="6">
        <v>0</v>
      </c>
      <c r="L35" s="6">
        <v>0</v>
      </c>
      <c r="M35" s="14">
        <f t="shared" si="0"/>
        <v>0</v>
      </c>
      <c r="N35" s="14">
        <f t="shared" si="1"/>
        <v>0</v>
      </c>
      <c r="O35" s="6" t="s">
        <v>28</v>
      </c>
      <c r="P35" s="6" t="s">
        <v>55</v>
      </c>
      <c r="Q35" s="14" t="str">
        <f t="shared" si="2"/>
        <v>Paid</v>
      </c>
    </row>
    <row r="36" spans="1:17" ht="24.9" customHeight="1" thickBot="1" x14ac:dyDescent="0.35">
      <c r="A36" s="9">
        <v>34</v>
      </c>
      <c r="B36" s="6" t="s">
        <v>113</v>
      </c>
      <c r="C36" s="16" t="s">
        <v>114</v>
      </c>
      <c r="D36" s="12" t="s">
        <v>39</v>
      </c>
      <c r="E36" s="13" t="s">
        <v>40</v>
      </c>
      <c r="F36" s="14" t="s">
        <v>111</v>
      </c>
      <c r="G36" s="6" t="s">
        <v>25</v>
      </c>
      <c r="H36" s="6" t="s">
        <v>26</v>
      </c>
      <c r="I36" s="6" t="s">
        <v>35</v>
      </c>
      <c r="J36" s="6" t="s">
        <v>115</v>
      </c>
      <c r="K36" s="6">
        <v>0</v>
      </c>
      <c r="L36" s="6">
        <v>0</v>
      </c>
      <c r="M36" s="14">
        <f t="shared" si="0"/>
        <v>0</v>
      </c>
      <c r="N36" s="14">
        <f t="shared" si="1"/>
        <v>0</v>
      </c>
      <c r="O36" s="6" t="s">
        <v>28</v>
      </c>
      <c r="P36" s="6" t="s">
        <v>55</v>
      </c>
      <c r="Q36" s="14" t="str">
        <f t="shared" si="2"/>
        <v>Paid</v>
      </c>
    </row>
    <row r="37" spans="1:17" ht="24.9" customHeight="1" thickBot="1" x14ac:dyDescent="0.35">
      <c r="A37" s="9">
        <v>35</v>
      </c>
      <c r="B37" s="6" t="s">
        <v>113</v>
      </c>
      <c r="C37" s="16" t="s">
        <v>116</v>
      </c>
      <c r="D37" s="12" t="s">
        <v>31</v>
      </c>
      <c r="E37" s="13" t="s">
        <v>32</v>
      </c>
      <c r="F37" s="14" t="s">
        <v>111</v>
      </c>
      <c r="G37" s="6" t="s">
        <v>47</v>
      </c>
      <c r="H37" s="6" t="s">
        <v>26</v>
      </c>
      <c r="I37" s="6" t="s">
        <v>42</v>
      </c>
      <c r="J37" s="6" t="s">
        <v>115</v>
      </c>
      <c r="K37" s="6">
        <v>0</v>
      </c>
      <c r="L37" s="6">
        <v>0</v>
      </c>
      <c r="M37" s="14">
        <f t="shared" si="0"/>
        <v>0</v>
      </c>
      <c r="N37" s="14">
        <f t="shared" si="1"/>
        <v>0</v>
      </c>
      <c r="O37" s="6" t="s">
        <v>36</v>
      </c>
      <c r="P37" s="6" t="s">
        <v>43</v>
      </c>
      <c r="Q37" s="14" t="str">
        <f t="shared" si="2"/>
        <v>Paid</v>
      </c>
    </row>
    <row r="38" spans="1:17" ht="24.9" customHeight="1" thickBot="1" x14ac:dyDescent="0.35">
      <c r="A38" s="9">
        <v>36</v>
      </c>
      <c r="B38" s="6" t="s">
        <v>113</v>
      </c>
      <c r="C38" s="16" t="s">
        <v>117</v>
      </c>
      <c r="D38" s="12" t="s">
        <v>57</v>
      </c>
      <c r="E38" s="6" t="s">
        <v>58</v>
      </c>
      <c r="F38" s="14" t="s">
        <v>72</v>
      </c>
      <c r="G38" s="6" t="s">
        <v>25</v>
      </c>
      <c r="H38" s="6" t="s">
        <v>34</v>
      </c>
      <c r="I38" s="6" t="s">
        <v>48</v>
      </c>
      <c r="J38" s="6" t="s">
        <v>115</v>
      </c>
      <c r="K38" s="6">
        <v>1000</v>
      </c>
      <c r="L38" s="6">
        <v>500</v>
      </c>
      <c r="M38" s="14">
        <f t="shared" si="0"/>
        <v>500</v>
      </c>
      <c r="N38" s="14">
        <f t="shared" si="1"/>
        <v>1000</v>
      </c>
      <c r="O38" s="6" t="s">
        <v>28</v>
      </c>
      <c r="P38" s="6" t="s">
        <v>43</v>
      </c>
      <c r="Q38" s="14" t="str">
        <f t="shared" si="2"/>
        <v>Pending</v>
      </c>
    </row>
    <row r="39" spans="1:17" ht="24.9" customHeight="1" thickBot="1" x14ac:dyDescent="0.35">
      <c r="A39" s="9">
        <v>37</v>
      </c>
      <c r="B39" s="6" t="s">
        <v>115</v>
      </c>
      <c r="C39" s="16" t="s">
        <v>118</v>
      </c>
      <c r="D39" s="12" t="s">
        <v>57</v>
      </c>
      <c r="E39" s="6" t="s">
        <v>58</v>
      </c>
      <c r="F39" s="14" t="s">
        <v>72</v>
      </c>
      <c r="G39" s="6" t="s">
        <v>47</v>
      </c>
      <c r="H39" s="6" t="s">
        <v>34</v>
      </c>
      <c r="I39" s="6" t="s">
        <v>54</v>
      </c>
      <c r="J39" s="6" t="s">
        <v>115</v>
      </c>
      <c r="K39" s="6">
        <v>1000</v>
      </c>
      <c r="L39" s="6">
        <v>500</v>
      </c>
      <c r="M39" s="14">
        <f t="shared" si="0"/>
        <v>500</v>
      </c>
      <c r="N39" s="14">
        <f t="shared" si="1"/>
        <v>1000</v>
      </c>
      <c r="O39" s="6" t="s">
        <v>28</v>
      </c>
      <c r="P39" s="6" t="s">
        <v>49</v>
      </c>
      <c r="Q39" s="14" t="str">
        <f t="shared" si="2"/>
        <v>Pending</v>
      </c>
    </row>
    <row r="40" spans="1:17" ht="24.9" customHeight="1" thickBot="1" x14ac:dyDescent="0.35">
      <c r="A40" s="9">
        <v>38</v>
      </c>
      <c r="B40" s="6" t="s">
        <v>119</v>
      </c>
      <c r="C40" s="16" t="s">
        <v>120</v>
      </c>
      <c r="D40" s="12" t="s">
        <v>39</v>
      </c>
      <c r="E40" s="6" t="s">
        <v>45</v>
      </c>
      <c r="F40" s="14" t="s">
        <v>121</v>
      </c>
      <c r="G40" s="6" t="s">
        <v>25</v>
      </c>
      <c r="H40" s="6" t="s">
        <v>26</v>
      </c>
      <c r="I40" s="6" t="s">
        <v>60</v>
      </c>
      <c r="J40" s="6" t="s">
        <v>115</v>
      </c>
      <c r="K40" s="6">
        <v>2000</v>
      </c>
      <c r="L40" s="6">
        <v>500</v>
      </c>
      <c r="M40" s="14">
        <f t="shared" si="0"/>
        <v>1500</v>
      </c>
      <c r="N40" s="14">
        <f t="shared" si="1"/>
        <v>2000</v>
      </c>
      <c r="O40" s="6" t="s">
        <v>28</v>
      </c>
      <c r="P40" s="6" t="s">
        <v>49</v>
      </c>
      <c r="Q40" s="14" t="str">
        <f t="shared" si="2"/>
        <v>Pending</v>
      </c>
    </row>
    <row r="41" spans="1:17" ht="24.9" customHeight="1" thickBot="1" x14ac:dyDescent="0.35">
      <c r="A41" s="9">
        <v>39</v>
      </c>
      <c r="B41" s="6" t="s">
        <v>122</v>
      </c>
      <c r="C41" s="16" t="s">
        <v>123</v>
      </c>
      <c r="D41" s="12" t="s">
        <v>39</v>
      </c>
      <c r="E41" s="6" t="s">
        <v>45</v>
      </c>
      <c r="F41" s="14" t="s">
        <v>121</v>
      </c>
      <c r="G41" s="6" t="s">
        <v>47</v>
      </c>
      <c r="H41" s="6" t="s">
        <v>26</v>
      </c>
      <c r="I41" s="6" t="s">
        <v>27</v>
      </c>
      <c r="J41" s="6" t="s">
        <v>119</v>
      </c>
      <c r="K41" s="6">
        <v>2000</v>
      </c>
      <c r="L41" s="6">
        <v>1000</v>
      </c>
      <c r="M41" s="14">
        <f t="shared" si="0"/>
        <v>1000</v>
      </c>
      <c r="N41" s="14">
        <f t="shared" si="1"/>
        <v>2000</v>
      </c>
      <c r="O41" s="6" t="s">
        <v>28</v>
      </c>
      <c r="P41" s="6" t="s">
        <v>43</v>
      </c>
      <c r="Q41" s="14" t="str">
        <f t="shared" si="2"/>
        <v>Pending</v>
      </c>
    </row>
    <row r="42" spans="1:17" ht="24.9" customHeight="1" thickBot="1" x14ac:dyDescent="0.35">
      <c r="A42" s="9">
        <v>40</v>
      </c>
      <c r="B42" s="6" t="s">
        <v>122</v>
      </c>
      <c r="C42" s="16" t="s">
        <v>124</v>
      </c>
      <c r="D42" s="12" t="s">
        <v>39</v>
      </c>
      <c r="E42" s="6" t="s">
        <v>45</v>
      </c>
      <c r="F42" s="14" t="s">
        <v>121</v>
      </c>
      <c r="G42" s="6" t="s">
        <v>25</v>
      </c>
      <c r="H42" s="6" t="s">
        <v>34</v>
      </c>
      <c r="I42" s="6" t="s">
        <v>48</v>
      </c>
      <c r="J42" s="6" t="s">
        <v>115</v>
      </c>
      <c r="K42" s="6">
        <v>3000</v>
      </c>
      <c r="L42" s="6">
        <v>1000</v>
      </c>
      <c r="M42" s="14">
        <f t="shared" si="0"/>
        <v>2000</v>
      </c>
      <c r="N42" s="14">
        <f t="shared" si="1"/>
        <v>3000</v>
      </c>
      <c r="O42" s="6" t="s">
        <v>36</v>
      </c>
      <c r="P42" s="6" t="s">
        <v>55</v>
      </c>
      <c r="Q42" s="14" t="str">
        <f t="shared" si="2"/>
        <v>Pending</v>
      </c>
    </row>
    <row r="43" spans="1:17" ht="15" thickBot="1" x14ac:dyDescent="0.35">
      <c r="A43" s="1"/>
      <c r="B43" s="1"/>
      <c r="C43" s="1"/>
      <c r="D43" s="17"/>
      <c r="E43" s="1"/>
      <c r="F43" s="1"/>
      <c r="G43" s="1"/>
      <c r="H43" s="1"/>
      <c r="I43" s="1"/>
      <c r="J43" s="1"/>
      <c r="K43" s="1"/>
      <c r="L43" s="1"/>
      <c r="M43" s="1" t="s">
        <v>17</v>
      </c>
      <c r="N43" s="14" t="e">
        <f t="shared" si="1"/>
        <v>#VALUE!</v>
      </c>
      <c r="O43" s="1"/>
      <c r="P43" s="1"/>
      <c r="Q43" s="14" t="str">
        <f t="shared" si="2"/>
        <v>Paid</v>
      </c>
    </row>
  </sheetData>
  <conditionalFormatting sqref="O3:O42">
    <cfRule type="cellIs" dxfId="6" priority="1" operator="equal">
      <formula>"Completed"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1"/>
  <sheetViews>
    <sheetView topLeftCell="F1" workbookViewId="0">
      <selection activeCell="H52" sqref="H52"/>
    </sheetView>
  </sheetViews>
  <sheetFormatPr defaultRowHeight="14.4" x14ac:dyDescent="0.3"/>
  <cols>
    <col min="2" max="2" width="20.5546875" customWidth="1"/>
    <col min="3" max="3" width="15.6640625" customWidth="1"/>
    <col min="4" max="4" width="14.33203125" customWidth="1"/>
    <col min="5" max="5" width="14.88671875" customWidth="1"/>
    <col min="6" max="6" width="16.5546875" customWidth="1"/>
    <col min="7" max="7" width="14.88671875" customWidth="1"/>
    <col min="8" max="8" width="8.88671875" customWidth="1"/>
    <col min="9" max="9" width="13.5546875" customWidth="1"/>
    <col min="10" max="10" width="10.5546875" customWidth="1"/>
    <col min="11" max="11" width="13" customWidth="1"/>
    <col min="12" max="12" width="12.6640625" customWidth="1"/>
    <col min="13" max="13" width="13" customWidth="1"/>
    <col min="14" max="14" width="15.5546875" customWidth="1"/>
    <col min="15" max="15" width="12.88671875" customWidth="1"/>
  </cols>
  <sheetData>
    <row r="1" spans="1:15" ht="15" thickBot="1" x14ac:dyDescent="0.35">
      <c r="A1" s="18"/>
      <c r="B1" s="20" t="s">
        <v>125</v>
      </c>
      <c r="C1" s="20" t="s">
        <v>126</v>
      </c>
      <c r="D1" s="20" t="s">
        <v>12</v>
      </c>
      <c r="E1" s="20" t="s">
        <v>127</v>
      </c>
      <c r="F1" s="20" t="s">
        <v>128</v>
      </c>
      <c r="G1" s="20" t="s">
        <v>129</v>
      </c>
      <c r="H1" s="20" t="s">
        <v>130</v>
      </c>
      <c r="I1" s="20" t="s">
        <v>131</v>
      </c>
      <c r="J1" s="20" t="s">
        <v>132</v>
      </c>
      <c r="K1" s="20" t="s">
        <v>133</v>
      </c>
      <c r="L1" s="20" t="s">
        <v>134</v>
      </c>
      <c r="M1" s="20" t="s">
        <v>13</v>
      </c>
      <c r="N1" s="20" t="s">
        <v>135</v>
      </c>
      <c r="O1" s="20" t="s">
        <v>136</v>
      </c>
    </row>
    <row r="2" spans="1:15" ht="24.9" customHeight="1" thickBot="1" x14ac:dyDescent="0.35">
      <c r="A2" s="21">
        <v>1</v>
      </c>
      <c r="B2" s="22" t="s">
        <v>137</v>
      </c>
      <c r="C2" s="22" t="s">
        <v>138</v>
      </c>
      <c r="D2" s="22" t="s">
        <v>139</v>
      </c>
      <c r="E2" s="22" t="s">
        <v>140</v>
      </c>
      <c r="F2" s="23">
        <v>44228</v>
      </c>
      <c r="G2" s="22" t="s">
        <v>141</v>
      </c>
      <c r="H2" s="22" t="s">
        <v>142</v>
      </c>
      <c r="I2" s="22" t="s">
        <v>143</v>
      </c>
      <c r="J2" s="22">
        <v>2</v>
      </c>
      <c r="K2" s="22">
        <v>559</v>
      </c>
      <c r="L2" s="22">
        <f>J2*K2</f>
        <v>1118</v>
      </c>
      <c r="M2" s="22" t="s">
        <v>144</v>
      </c>
      <c r="N2" s="22" t="s">
        <v>145</v>
      </c>
      <c r="O2" s="22" t="s">
        <v>28</v>
      </c>
    </row>
    <row r="3" spans="1:15" ht="24.9" customHeight="1" thickBot="1" x14ac:dyDescent="0.35">
      <c r="A3" s="21">
        <v>2</v>
      </c>
      <c r="B3" s="22" t="s">
        <v>146</v>
      </c>
      <c r="C3" s="22" t="s">
        <v>147</v>
      </c>
      <c r="D3" s="22" t="s">
        <v>148</v>
      </c>
      <c r="E3" s="22" t="s">
        <v>149</v>
      </c>
      <c r="F3" s="23">
        <v>44229</v>
      </c>
      <c r="G3" s="22" t="s">
        <v>150</v>
      </c>
      <c r="H3" s="22" t="s">
        <v>151</v>
      </c>
      <c r="I3" s="22" t="s">
        <v>152</v>
      </c>
      <c r="J3" s="22">
        <v>1</v>
      </c>
      <c r="K3" s="22">
        <v>3399</v>
      </c>
      <c r="L3" s="22">
        <f>J3*K3</f>
        <v>3399</v>
      </c>
      <c r="M3" s="22" t="s">
        <v>153</v>
      </c>
      <c r="N3" s="22" t="s">
        <v>154</v>
      </c>
      <c r="O3" s="22" t="s">
        <v>155</v>
      </c>
    </row>
    <row r="4" spans="1:15" ht="24.9" customHeight="1" thickBot="1" x14ac:dyDescent="0.35">
      <c r="A4" s="21">
        <v>3</v>
      </c>
      <c r="B4" s="22" t="s">
        <v>156</v>
      </c>
      <c r="C4" s="22" t="s">
        <v>157</v>
      </c>
      <c r="D4" s="22" t="s">
        <v>158</v>
      </c>
      <c r="E4" s="22" t="s">
        <v>159</v>
      </c>
      <c r="F4" s="23">
        <v>44230</v>
      </c>
      <c r="G4" s="22" t="s">
        <v>160</v>
      </c>
      <c r="H4" s="22" t="s">
        <v>161</v>
      </c>
      <c r="I4" s="22" t="s">
        <v>162</v>
      </c>
      <c r="J4" s="22">
        <v>2</v>
      </c>
      <c r="K4" s="22">
        <v>789</v>
      </c>
      <c r="L4" s="22">
        <f t="shared" ref="L4:L51" si="0">J4*K4</f>
        <v>1578</v>
      </c>
      <c r="M4" s="22" t="s">
        <v>163</v>
      </c>
      <c r="N4" s="22" t="s">
        <v>164</v>
      </c>
      <c r="O4" s="22" t="s">
        <v>28</v>
      </c>
    </row>
    <row r="5" spans="1:15" ht="24.9" customHeight="1" thickBot="1" x14ac:dyDescent="0.35">
      <c r="A5" s="21">
        <v>4</v>
      </c>
      <c r="B5" s="22" t="s">
        <v>165</v>
      </c>
      <c r="C5" s="22" t="s">
        <v>166</v>
      </c>
      <c r="D5" s="22" t="s">
        <v>158</v>
      </c>
      <c r="E5" s="22" t="s">
        <v>167</v>
      </c>
      <c r="F5" s="23">
        <v>44231</v>
      </c>
      <c r="G5" s="22" t="s">
        <v>168</v>
      </c>
      <c r="H5" s="22" t="s">
        <v>169</v>
      </c>
      <c r="I5" s="22" t="s">
        <v>170</v>
      </c>
      <c r="J5" s="22">
        <v>3</v>
      </c>
      <c r="K5" s="22">
        <v>499</v>
      </c>
      <c r="L5" s="22">
        <f t="shared" si="0"/>
        <v>1497</v>
      </c>
      <c r="M5" s="22" t="s">
        <v>171</v>
      </c>
      <c r="N5" s="22" t="s">
        <v>172</v>
      </c>
      <c r="O5" s="22" t="s">
        <v>28</v>
      </c>
    </row>
    <row r="6" spans="1:15" ht="24.9" customHeight="1" thickBot="1" x14ac:dyDescent="0.35">
      <c r="A6" s="21">
        <v>5</v>
      </c>
      <c r="B6" s="22" t="s">
        <v>173</v>
      </c>
      <c r="C6" s="22" t="s">
        <v>174</v>
      </c>
      <c r="D6" s="22" t="s">
        <v>175</v>
      </c>
      <c r="E6" s="22" t="s">
        <v>176</v>
      </c>
      <c r="F6" s="23">
        <v>44232</v>
      </c>
      <c r="G6" s="22" t="s">
        <v>177</v>
      </c>
      <c r="H6" s="22" t="s">
        <v>178</v>
      </c>
      <c r="I6" s="22" t="s">
        <v>179</v>
      </c>
      <c r="J6" s="22">
        <v>2</v>
      </c>
      <c r="K6" s="22">
        <v>1999</v>
      </c>
      <c r="L6" s="22">
        <f t="shared" si="0"/>
        <v>3998</v>
      </c>
      <c r="M6" s="22" t="s">
        <v>180</v>
      </c>
      <c r="N6" s="22" t="s">
        <v>181</v>
      </c>
      <c r="O6" s="22" t="s">
        <v>28</v>
      </c>
    </row>
    <row r="7" spans="1:15" ht="24.9" customHeight="1" thickBot="1" x14ac:dyDescent="0.35">
      <c r="A7" s="21">
        <v>6</v>
      </c>
      <c r="B7" s="22" t="s">
        <v>182</v>
      </c>
      <c r="C7" s="22" t="s">
        <v>183</v>
      </c>
      <c r="D7" s="22" t="s">
        <v>184</v>
      </c>
      <c r="E7" s="22" t="s">
        <v>185</v>
      </c>
      <c r="F7" s="23">
        <v>44233</v>
      </c>
      <c r="G7" s="22" t="s">
        <v>186</v>
      </c>
      <c r="H7" s="22" t="s">
        <v>187</v>
      </c>
      <c r="I7" s="22" t="s">
        <v>188</v>
      </c>
      <c r="J7" s="22">
        <v>1</v>
      </c>
      <c r="K7" s="22">
        <v>2999</v>
      </c>
      <c r="L7" s="22">
        <f t="shared" si="0"/>
        <v>2999</v>
      </c>
      <c r="M7" s="22" t="s">
        <v>189</v>
      </c>
      <c r="N7" s="22" t="s">
        <v>190</v>
      </c>
      <c r="O7" s="22" t="s">
        <v>28</v>
      </c>
    </row>
    <row r="8" spans="1:15" ht="24.9" customHeight="1" thickBot="1" x14ac:dyDescent="0.35">
      <c r="A8" s="21">
        <v>7</v>
      </c>
      <c r="B8" s="22" t="s">
        <v>191</v>
      </c>
      <c r="C8" s="22" t="s">
        <v>192</v>
      </c>
      <c r="D8" s="22" t="s">
        <v>193</v>
      </c>
      <c r="E8" s="22" t="s">
        <v>159</v>
      </c>
      <c r="F8" s="23">
        <v>44234</v>
      </c>
      <c r="G8" s="22" t="s">
        <v>194</v>
      </c>
      <c r="H8" s="22" t="s">
        <v>195</v>
      </c>
      <c r="I8" s="22" t="s">
        <v>196</v>
      </c>
      <c r="J8" s="22">
        <v>2</v>
      </c>
      <c r="K8" s="22">
        <v>2599</v>
      </c>
      <c r="L8" s="22">
        <f t="shared" si="0"/>
        <v>5198</v>
      </c>
      <c r="M8" s="22" t="s">
        <v>197</v>
      </c>
      <c r="N8" s="22" t="s">
        <v>141</v>
      </c>
      <c r="O8" s="22" t="s">
        <v>28</v>
      </c>
    </row>
    <row r="9" spans="1:15" ht="24.9" customHeight="1" thickBot="1" x14ac:dyDescent="0.35">
      <c r="A9" s="21">
        <v>8</v>
      </c>
      <c r="B9" s="22" t="s">
        <v>198</v>
      </c>
      <c r="C9" s="22" t="s">
        <v>199</v>
      </c>
      <c r="D9" s="22" t="s">
        <v>139</v>
      </c>
      <c r="E9" s="22" t="s">
        <v>200</v>
      </c>
      <c r="F9" s="23">
        <v>44235</v>
      </c>
      <c r="G9" s="22" t="s">
        <v>172</v>
      </c>
      <c r="H9" s="22" t="s">
        <v>201</v>
      </c>
      <c r="I9" s="22" t="s">
        <v>202</v>
      </c>
      <c r="J9" s="22">
        <v>2</v>
      </c>
      <c r="K9" s="22">
        <v>2899</v>
      </c>
      <c r="L9" s="22">
        <f t="shared" si="0"/>
        <v>5798</v>
      </c>
      <c r="M9" s="22" t="s">
        <v>203</v>
      </c>
      <c r="N9" s="22" t="s">
        <v>150</v>
      </c>
      <c r="O9" s="22" t="s">
        <v>28</v>
      </c>
    </row>
    <row r="10" spans="1:15" ht="24.9" customHeight="1" thickBot="1" x14ac:dyDescent="0.35">
      <c r="A10" s="21">
        <v>9</v>
      </c>
      <c r="B10" s="22" t="s">
        <v>204</v>
      </c>
      <c r="C10" s="22" t="s">
        <v>205</v>
      </c>
      <c r="D10" s="22" t="s">
        <v>139</v>
      </c>
      <c r="E10" s="22" t="s">
        <v>206</v>
      </c>
      <c r="F10" s="23">
        <v>44236</v>
      </c>
      <c r="G10" s="22" t="s">
        <v>181</v>
      </c>
      <c r="H10" s="22" t="s">
        <v>207</v>
      </c>
      <c r="I10" s="22" t="s">
        <v>208</v>
      </c>
      <c r="J10" s="22">
        <v>1</v>
      </c>
      <c r="K10" s="22">
        <v>4999</v>
      </c>
      <c r="L10" s="22">
        <f t="shared" si="0"/>
        <v>4999</v>
      </c>
      <c r="M10" s="22" t="s">
        <v>209</v>
      </c>
      <c r="N10" s="22" t="s">
        <v>160</v>
      </c>
      <c r="O10" s="22" t="s">
        <v>28</v>
      </c>
    </row>
    <row r="11" spans="1:15" ht="24.9" customHeight="1" thickBot="1" x14ac:dyDescent="0.35">
      <c r="A11" s="21">
        <v>10</v>
      </c>
      <c r="B11" s="22" t="s">
        <v>210</v>
      </c>
      <c r="C11" s="22" t="s">
        <v>211</v>
      </c>
      <c r="D11" s="22" t="s">
        <v>212</v>
      </c>
      <c r="E11" s="22" t="s">
        <v>213</v>
      </c>
      <c r="F11" s="23">
        <v>44237</v>
      </c>
      <c r="G11" s="22" t="s">
        <v>190</v>
      </c>
      <c r="H11" s="22" t="s">
        <v>161</v>
      </c>
      <c r="I11" s="22" t="s">
        <v>214</v>
      </c>
      <c r="J11" s="22">
        <v>1</v>
      </c>
      <c r="K11" s="22">
        <v>789</v>
      </c>
      <c r="L11" s="22">
        <f t="shared" si="0"/>
        <v>789</v>
      </c>
      <c r="M11" s="22" t="s">
        <v>215</v>
      </c>
      <c r="N11" s="22" t="s">
        <v>168</v>
      </c>
      <c r="O11" s="22" t="s">
        <v>28</v>
      </c>
    </row>
    <row r="12" spans="1:15" ht="24.9" customHeight="1" thickBot="1" x14ac:dyDescent="0.35">
      <c r="A12" s="21">
        <v>11</v>
      </c>
      <c r="B12" s="22" t="s">
        <v>216</v>
      </c>
      <c r="C12" s="22" t="s">
        <v>217</v>
      </c>
      <c r="D12" s="22" t="s">
        <v>184</v>
      </c>
      <c r="E12" s="22" t="s">
        <v>218</v>
      </c>
      <c r="F12" s="23">
        <v>44238</v>
      </c>
      <c r="G12" s="22" t="s">
        <v>219</v>
      </c>
      <c r="H12" s="22" t="s">
        <v>220</v>
      </c>
      <c r="I12" s="22" t="s">
        <v>221</v>
      </c>
      <c r="J12" s="22">
        <v>1</v>
      </c>
      <c r="K12" s="22">
        <v>2999</v>
      </c>
      <c r="L12" s="22">
        <f t="shared" si="0"/>
        <v>2999</v>
      </c>
      <c r="M12" s="22" t="s">
        <v>222</v>
      </c>
      <c r="N12" s="22" t="s">
        <v>177</v>
      </c>
      <c r="O12" s="22" t="s">
        <v>28</v>
      </c>
    </row>
    <row r="13" spans="1:15" ht="24.9" customHeight="1" thickBot="1" x14ac:dyDescent="0.35">
      <c r="A13" s="21">
        <v>12</v>
      </c>
      <c r="B13" s="22" t="s">
        <v>223</v>
      </c>
      <c r="C13" s="22" t="s">
        <v>224</v>
      </c>
      <c r="D13" s="22" t="s">
        <v>148</v>
      </c>
      <c r="E13" s="22" t="s">
        <v>225</v>
      </c>
      <c r="F13" s="23">
        <v>44239</v>
      </c>
      <c r="G13" s="22" t="s">
        <v>145</v>
      </c>
      <c r="H13" s="22" t="s">
        <v>226</v>
      </c>
      <c r="I13" s="22" t="s">
        <v>227</v>
      </c>
      <c r="J13" s="22">
        <v>2</v>
      </c>
      <c r="K13" s="22">
        <v>2299</v>
      </c>
      <c r="L13" s="22">
        <f t="shared" si="0"/>
        <v>4598</v>
      </c>
      <c r="M13" s="22" t="s">
        <v>228</v>
      </c>
      <c r="N13" s="22" t="s">
        <v>186</v>
      </c>
      <c r="O13" s="22" t="s">
        <v>28</v>
      </c>
    </row>
    <row r="14" spans="1:15" ht="24.9" customHeight="1" thickBot="1" x14ac:dyDescent="0.35">
      <c r="A14" s="21">
        <v>13</v>
      </c>
      <c r="B14" s="22" t="s">
        <v>229</v>
      </c>
      <c r="C14" s="22" t="s">
        <v>230</v>
      </c>
      <c r="D14" s="22" t="s">
        <v>231</v>
      </c>
      <c r="E14" s="22" t="s">
        <v>232</v>
      </c>
      <c r="F14" s="22" t="s">
        <v>233</v>
      </c>
      <c r="G14" s="22" t="s">
        <v>154</v>
      </c>
      <c r="H14" s="22" t="s">
        <v>234</v>
      </c>
      <c r="I14" s="22" t="s">
        <v>235</v>
      </c>
      <c r="J14" s="22">
        <v>1</v>
      </c>
      <c r="K14" s="22">
        <v>3299</v>
      </c>
      <c r="L14" s="22">
        <f t="shared" si="0"/>
        <v>3299</v>
      </c>
      <c r="M14" s="22" t="s">
        <v>236</v>
      </c>
      <c r="N14" s="22" t="s">
        <v>194</v>
      </c>
      <c r="O14" s="22" t="s">
        <v>28</v>
      </c>
    </row>
    <row r="15" spans="1:15" ht="24.9" customHeight="1" thickBot="1" x14ac:dyDescent="0.35">
      <c r="A15" s="21">
        <v>14</v>
      </c>
      <c r="B15" s="22" t="s">
        <v>237</v>
      </c>
      <c r="C15" s="22" t="s">
        <v>238</v>
      </c>
      <c r="D15" s="22" t="s">
        <v>184</v>
      </c>
      <c r="E15" s="22" t="s">
        <v>239</v>
      </c>
      <c r="F15" s="22" t="s">
        <v>240</v>
      </c>
      <c r="G15" s="22" t="s">
        <v>164</v>
      </c>
      <c r="H15" s="22" t="s">
        <v>151</v>
      </c>
      <c r="I15" s="22" t="s">
        <v>241</v>
      </c>
      <c r="J15" s="22">
        <v>1</v>
      </c>
      <c r="K15" s="22">
        <v>3399</v>
      </c>
      <c r="L15" s="22">
        <f t="shared" si="0"/>
        <v>3399</v>
      </c>
      <c r="M15" s="22" t="s">
        <v>242</v>
      </c>
      <c r="N15" s="22" t="s">
        <v>172</v>
      </c>
      <c r="O15" s="22" t="s">
        <v>28</v>
      </c>
    </row>
    <row r="16" spans="1:15" ht="24.9" customHeight="1" thickBot="1" x14ac:dyDescent="0.35">
      <c r="A16" s="21">
        <v>15</v>
      </c>
      <c r="B16" s="22" t="s">
        <v>243</v>
      </c>
      <c r="C16" s="22" t="s">
        <v>244</v>
      </c>
      <c r="D16" s="22" t="s">
        <v>245</v>
      </c>
      <c r="E16" s="22" t="s">
        <v>246</v>
      </c>
      <c r="F16" s="22" t="s">
        <v>144</v>
      </c>
      <c r="G16" s="22" t="s">
        <v>172</v>
      </c>
      <c r="H16" s="22" t="s">
        <v>151</v>
      </c>
      <c r="I16" s="22" t="s">
        <v>247</v>
      </c>
      <c r="J16" s="22">
        <v>1</v>
      </c>
      <c r="K16" s="22">
        <v>3399</v>
      </c>
      <c r="L16" s="22">
        <f t="shared" si="0"/>
        <v>3399</v>
      </c>
      <c r="M16" s="23">
        <v>44256</v>
      </c>
      <c r="N16" s="22" t="s">
        <v>181</v>
      </c>
      <c r="O16" s="22" t="s">
        <v>28</v>
      </c>
    </row>
    <row r="17" spans="1:15" ht="24.9" customHeight="1" thickBot="1" x14ac:dyDescent="0.35">
      <c r="A17" s="21">
        <v>16</v>
      </c>
      <c r="B17" s="22" t="s">
        <v>248</v>
      </c>
      <c r="C17" s="22" t="s">
        <v>249</v>
      </c>
      <c r="D17" s="22" t="s">
        <v>148</v>
      </c>
      <c r="E17" s="22" t="s">
        <v>250</v>
      </c>
      <c r="F17" s="22" t="s">
        <v>153</v>
      </c>
      <c r="G17" s="22" t="s">
        <v>181</v>
      </c>
      <c r="H17" s="22" t="s">
        <v>251</v>
      </c>
      <c r="I17" s="22" t="s">
        <v>252</v>
      </c>
      <c r="J17" s="22">
        <v>1</v>
      </c>
      <c r="K17" s="22">
        <v>3299</v>
      </c>
      <c r="L17" s="22">
        <f t="shared" si="0"/>
        <v>3299</v>
      </c>
      <c r="M17" s="23">
        <v>44257</v>
      </c>
      <c r="N17" s="22" t="s">
        <v>190</v>
      </c>
      <c r="O17" s="22" t="s">
        <v>28</v>
      </c>
    </row>
    <row r="18" spans="1:15" ht="24.9" customHeight="1" thickBot="1" x14ac:dyDescent="0.35">
      <c r="A18" s="21">
        <v>17</v>
      </c>
      <c r="B18" s="22" t="s">
        <v>253</v>
      </c>
      <c r="C18" s="22" t="s">
        <v>254</v>
      </c>
      <c r="D18" s="22" t="s">
        <v>184</v>
      </c>
      <c r="E18" s="22" t="s">
        <v>255</v>
      </c>
      <c r="F18" s="22" t="s">
        <v>163</v>
      </c>
      <c r="G18" s="22" t="s">
        <v>190</v>
      </c>
      <c r="H18" s="22" t="s">
        <v>256</v>
      </c>
      <c r="I18" s="22" t="s">
        <v>257</v>
      </c>
      <c r="J18" s="22">
        <v>4</v>
      </c>
      <c r="K18" s="22">
        <v>599</v>
      </c>
      <c r="L18" s="22">
        <f t="shared" si="0"/>
        <v>2396</v>
      </c>
      <c r="M18" s="23">
        <v>44258</v>
      </c>
      <c r="N18" s="22" t="s">
        <v>219</v>
      </c>
      <c r="O18" s="22" t="s">
        <v>28</v>
      </c>
    </row>
    <row r="19" spans="1:15" ht="24.9" customHeight="1" thickBot="1" x14ac:dyDescent="0.35">
      <c r="A19" s="21">
        <v>18</v>
      </c>
      <c r="B19" s="22" t="s">
        <v>258</v>
      </c>
      <c r="C19" s="22" t="s">
        <v>259</v>
      </c>
      <c r="D19" s="22" t="s">
        <v>260</v>
      </c>
      <c r="E19" s="22" t="s">
        <v>261</v>
      </c>
      <c r="F19" s="22" t="s">
        <v>171</v>
      </c>
      <c r="G19" s="22" t="s">
        <v>262</v>
      </c>
      <c r="H19" s="22" t="s">
        <v>201</v>
      </c>
      <c r="I19" s="22" t="s">
        <v>263</v>
      </c>
      <c r="J19" s="22">
        <v>2</v>
      </c>
      <c r="K19" s="22">
        <v>2899</v>
      </c>
      <c r="L19" s="22">
        <f t="shared" si="0"/>
        <v>5798</v>
      </c>
      <c r="M19" s="23">
        <v>44259</v>
      </c>
      <c r="N19" s="22" t="s">
        <v>141</v>
      </c>
      <c r="O19" s="22" t="s">
        <v>28</v>
      </c>
    </row>
    <row r="20" spans="1:15" ht="24.9" customHeight="1" thickBot="1" x14ac:dyDescent="0.35">
      <c r="A20" s="21">
        <v>19</v>
      </c>
      <c r="B20" s="22" t="s">
        <v>264</v>
      </c>
      <c r="C20" s="22" t="s">
        <v>265</v>
      </c>
      <c r="D20" s="22" t="s">
        <v>193</v>
      </c>
      <c r="E20" s="22" t="s">
        <v>266</v>
      </c>
      <c r="F20" s="22" t="s">
        <v>180</v>
      </c>
      <c r="G20" s="22" t="s">
        <v>150</v>
      </c>
      <c r="H20" s="22" t="s">
        <v>226</v>
      </c>
      <c r="I20" s="22" t="s">
        <v>267</v>
      </c>
      <c r="J20" s="22">
        <v>2</v>
      </c>
      <c r="K20" s="22">
        <v>2299</v>
      </c>
      <c r="L20" s="22">
        <f t="shared" si="0"/>
        <v>4598</v>
      </c>
      <c r="M20" s="23">
        <v>44260</v>
      </c>
      <c r="N20" s="22" t="s">
        <v>150</v>
      </c>
      <c r="O20" s="22" t="s">
        <v>28</v>
      </c>
    </row>
    <row r="21" spans="1:15" ht="24.9" customHeight="1" thickBot="1" x14ac:dyDescent="0.35">
      <c r="A21" s="21">
        <v>20</v>
      </c>
      <c r="B21" s="22" t="s">
        <v>268</v>
      </c>
      <c r="C21" s="22" t="s">
        <v>269</v>
      </c>
      <c r="D21" s="22" t="s">
        <v>148</v>
      </c>
      <c r="E21" s="22" t="s">
        <v>270</v>
      </c>
      <c r="F21" s="22" t="s">
        <v>189</v>
      </c>
      <c r="G21" s="22" t="s">
        <v>160</v>
      </c>
      <c r="H21" s="22" t="s">
        <v>271</v>
      </c>
      <c r="I21" s="22" t="s">
        <v>272</v>
      </c>
      <c r="J21" s="22">
        <v>1</v>
      </c>
      <c r="K21" s="22">
        <v>2889</v>
      </c>
      <c r="L21" s="22">
        <f t="shared" si="0"/>
        <v>2889</v>
      </c>
      <c r="M21" s="23">
        <v>44261</v>
      </c>
      <c r="N21" s="22" t="s">
        <v>160</v>
      </c>
      <c r="O21" s="22" t="s">
        <v>28</v>
      </c>
    </row>
    <row r="22" spans="1:15" ht="24.9" customHeight="1" thickBot="1" x14ac:dyDescent="0.35">
      <c r="A22" s="21">
        <v>21</v>
      </c>
      <c r="B22" s="22" t="s">
        <v>273</v>
      </c>
      <c r="C22" s="22" t="s">
        <v>274</v>
      </c>
      <c r="D22" s="22" t="s">
        <v>139</v>
      </c>
      <c r="E22" s="22" t="s">
        <v>275</v>
      </c>
      <c r="F22" s="22" t="s">
        <v>197</v>
      </c>
      <c r="G22" s="22" t="s">
        <v>168</v>
      </c>
      <c r="H22" s="22" t="s">
        <v>207</v>
      </c>
      <c r="I22" s="22" t="s">
        <v>276</v>
      </c>
      <c r="J22" s="22">
        <v>1</v>
      </c>
      <c r="K22" s="22">
        <v>4999</v>
      </c>
      <c r="L22" s="22">
        <f t="shared" si="0"/>
        <v>4999</v>
      </c>
      <c r="M22" s="23">
        <v>44262</v>
      </c>
      <c r="N22" s="22" t="s">
        <v>168</v>
      </c>
      <c r="O22" s="22" t="s">
        <v>28</v>
      </c>
    </row>
    <row r="23" spans="1:15" ht="24.9" customHeight="1" thickBot="1" x14ac:dyDescent="0.35">
      <c r="A23" s="21">
        <v>22</v>
      </c>
      <c r="B23" s="22" t="s">
        <v>277</v>
      </c>
      <c r="C23" s="22" t="s">
        <v>278</v>
      </c>
      <c r="D23" s="22" t="s">
        <v>279</v>
      </c>
      <c r="E23" s="22" t="s">
        <v>200</v>
      </c>
      <c r="F23" s="22" t="s">
        <v>203</v>
      </c>
      <c r="G23" s="22" t="s">
        <v>177</v>
      </c>
      <c r="H23" s="22" t="s">
        <v>280</v>
      </c>
      <c r="I23" s="22" t="s">
        <v>281</v>
      </c>
      <c r="J23" s="22">
        <v>1</v>
      </c>
      <c r="K23" s="22">
        <v>1599</v>
      </c>
      <c r="L23" s="22">
        <f t="shared" si="0"/>
        <v>1599</v>
      </c>
      <c r="M23" s="23">
        <v>44263</v>
      </c>
      <c r="N23" s="22" t="s">
        <v>177</v>
      </c>
      <c r="O23" s="22" t="s">
        <v>28</v>
      </c>
    </row>
    <row r="24" spans="1:15" ht="24.9" customHeight="1" thickBot="1" x14ac:dyDescent="0.35">
      <c r="A24" s="21">
        <v>23</v>
      </c>
      <c r="B24" s="22" t="s">
        <v>282</v>
      </c>
      <c r="C24" s="22" t="s">
        <v>283</v>
      </c>
      <c r="D24" s="22" t="s">
        <v>184</v>
      </c>
      <c r="E24" s="22" t="s">
        <v>284</v>
      </c>
      <c r="F24" s="22" t="s">
        <v>209</v>
      </c>
      <c r="G24" s="22" t="s">
        <v>285</v>
      </c>
      <c r="H24" s="22" t="s">
        <v>151</v>
      </c>
      <c r="I24" s="22" t="s">
        <v>286</v>
      </c>
      <c r="J24" s="22">
        <v>1</v>
      </c>
      <c r="K24" s="22">
        <v>3399</v>
      </c>
      <c r="L24" s="22">
        <f t="shared" si="0"/>
        <v>3399</v>
      </c>
      <c r="M24" s="23">
        <v>44264</v>
      </c>
      <c r="N24" s="22" t="s">
        <v>285</v>
      </c>
      <c r="O24" s="22" t="s">
        <v>28</v>
      </c>
    </row>
    <row r="25" spans="1:15" ht="24.9" customHeight="1" thickBot="1" x14ac:dyDescent="0.35">
      <c r="A25" s="21">
        <v>24</v>
      </c>
      <c r="B25" s="22" t="s">
        <v>287</v>
      </c>
      <c r="C25" s="22" t="s">
        <v>259</v>
      </c>
      <c r="D25" s="22" t="s">
        <v>148</v>
      </c>
      <c r="E25" s="22" t="s">
        <v>288</v>
      </c>
      <c r="F25" s="22" t="s">
        <v>215</v>
      </c>
      <c r="G25" s="22" t="s">
        <v>289</v>
      </c>
      <c r="H25" s="22" t="s">
        <v>195</v>
      </c>
      <c r="I25" s="22" t="s">
        <v>290</v>
      </c>
      <c r="J25" s="22">
        <v>3</v>
      </c>
      <c r="K25" s="22">
        <v>2599</v>
      </c>
      <c r="L25" s="22">
        <f t="shared" si="0"/>
        <v>7797</v>
      </c>
      <c r="M25" s="23">
        <v>44265</v>
      </c>
      <c r="N25" s="22" t="s">
        <v>289</v>
      </c>
      <c r="O25" s="22" t="s">
        <v>28</v>
      </c>
    </row>
    <row r="26" spans="1:15" ht="24.9" customHeight="1" thickBot="1" x14ac:dyDescent="0.35">
      <c r="A26" s="21">
        <v>25</v>
      </c>
      <c r="B26" s="22" t="s">
        <v>291</v>
      </c>
      <c r="C26" s="22" t="s">
        <v>292</v>
      </c>
      <c r="D26" s="22" t="s">
        <v>231</v>
      </c>
      <c r="E26" s="22" t="s">
        <v>293</v>
      </c>
      <c r="F26" s="22" t="s">
        <v>222</v>
      </c>
      <c r="G26" s="22" t="s">
        <v>294</v>
      </c>
      <c r="H26" s="22" t="s">
        <v>280</v>
      </c>
      <c r="I26" s="22" t="s">
        <v>295</v>
      </c>
      <c r="J26" s="22">
        <v>1</v>
      </c>
      <c r="K26" s="22">
        <v>1599</v>
      </c>
      <c r="L26" s="22">
        <f t="shared" si="0"/>
        <v>1599</v>
      </c>
      <c r="M26" s="23">
        <v>44266</v>
      </c>
      <c r="N26" s="22" t="s">
        <v>294</v>
      </c>
      <c r="O26" s="22" t="s">
        <v>28</v>
      </c>
    </row>
    <row r="27" spans="1:15" ht="24.9" customHeight="1" thickBot="1" x14ac:dyDescent="0.35">
      <c r="A27" s="21">
        <v>26</v>
      </c>
      <c r="B27" s="22" t="s">
        <v>296</v>
      </c>
      <c r="C27" s="22" t="s">
        <v>297</v>
      </c>
      <c r="D27" s="22" t="s">
        <v>184</v>
      </c>
      <c r="E27" s="22" t="s">
        <v>298</v>
      </c>
      <c r="F27" s="22" t="s">
        <v>228</v>
      </c>
      <c r="G27" s="22" t="s">
        <v>177</v>
      </c>
      <c r="H27" s="22" t="s">
        <v>299</v>
      </c>
      <c r="I27" s="22" t="s">
        <v>300</v>
      </c>
      <c r="J27" s="22">
        <v>1</v>
      </c>
      <c r="K27" s="22">
        <v>2599</v>
      </c>
      <c r="L27" s="22">
        <f t="shared" si="0"/>
        <v>2599</v>
      </c>
      <c r="M27" s="23">
        <v>44267</v>
      </c>
      <c r="N27" s="22" t="s">
        <v>177</v>
      </c>
      <c r="O27" s="22" t="s">
        <v>155</v>
      </c>
    </row>
    <row r="28" spans="1:15" ht="24.9" customHeight="1" thickBot="1" x14ac:dyDescent="0.35">
      <c r="A28" s="21">
        <v>27</v>
      </c>
      <c r="B28" s="22" t="s">
        <v>301</v>
      </c>
      <c r="C28" s="22" t="s">
        <v>302</v>
      </c>
      <c r="D28" s="22" t="s">
        <v>245</v>
      </c>
      <c r="E28" s="22" t="s">
        <v>303</v>
      </c>
      <c r="F28" s="22" t="s">
        <v>236</v>
      </c>
      <c r="G28" s="22" t="s">
        <v>304</v>
      </c>
      <c r="H28" s="22" t="s">
        <v>151</v>
      </c>
      <c r="I28" s="22" t="s">
        <v>305</v>
      </c>
      <c r="J28" s="22">
        <v>1</v>
      </c>
      <c r="K28" s="22">
        <v>3399</v>
      </c>
      <c r="L28" s="22">
        <f t="shared" si="0"/>
        <v>3399</v>
      </c>
      <c r="M28" s="22" t="s">
        <v>306</v>
      </c>
      <c r="N28" s="22" t="s">
        <v>304</v>
      </c>
      <c r="O28" s="22" t="s">
        <v>155</v>
      </c>
    </row>
    <row r="29" spans="1:15" ht="24.9" customHeight="1" thickBot="1" x14ac:dyDescent="0.35">
      <c r="A29" s="21">
        <v>28</v>
      </c>
      <c r="B29" s="22" t="s">
        <v>307</v>
      </c>
      <c r="C29" s="22" t="s">
        <v>308</v>
      </c>
      <c r="D29" s="22" t="s">
        <v>148</v>
      </c>
      <c r="E29" s="22" t="s">
        <v>149</v>
      </c>
      <c r="F29" s="22" t="s">
        <v>242</v>
      </c>
      <c r="G29" s="22" t="s">
        <v>194</v>
      </c>
      <c r="H29" s="22" t="s">
        <v>169</v>
      </c>
      <c r="I29" s="22" t="s">
        <v>309</v>
      </c>
      <c r="J29" s="22">
        <v>3</v>
      </c>
      <c r="K29" s="22">
        <v>499</v>
      </c>
      <c r="L29" s="22">
        <f t="shared" si="0"/>
        <v>1497</v>
      </c>
      <c r="M29" s="22" t="s">
        <v>310</v>
      </c>
      <c r="N29" s="22" t="s">
        <v>194</v>
      </c>
      <c r="O29" s="22" t="s">
        <v>155</v>
      </c>
    </row>
    <row r="30" spans="1:15" ht="24.9" customHeight="1" thickBot="1" x14ac:dyDescent="0.35">
      <c r="A30" s="21">
        <v>29</v>
      </c>
      <c r="B30" s="22" t="s">
        <v>311</v>
      </c>
      <c r="C30" s="22" t="s">
        <v>312</v>
      </c>
      <c r="D30" s="22" t="s">
        <v>184</v>
      </c>
      <c r="E30" s="22" t="s">
        <v>313</v>
      </c>
      <c r="F30" s="23">
        <v>44256</v>
      </c>
      <c r="G30" s="22" t="s">
        <v>172</v>
      </c>
      <c r="H30" s="22" t="s">
        <v>256</v>
      </c>
      <c r="I30" s="22" t="s">
        <v>314</v>
      </c>
      <c r="J30" s="22">
        <v>3</v>
      </c>
      <c r="K30" s="22">
        <v>599</v>
      </c>
      <c r="L30" s="22">
        <f t="shared" si="0"/>
        <v>1797</v>
      </c>
      <c r="M30" s="22" t="s">
        <v>315</v>
      </c>
      <c r="N30" s="22" t="s">
        <v>172</v>
      </c>
      <c r="O30" s="22" t="s">
        <v>155</v>
      </c>
    </row>
    <row r="31" spans="1:15" ht="24.9" customHeight="1" thickBot="1" x14ac:dyDescent="0.35">
      <c r="A31" s="21">
        <v>30</v>
      </c>
      <c r="B31" s="22" t="s">
        <v>316</v>
      </c>
      <c r="C31" s="22" t="s">
        <v>317</v>
      </c>
      <c r="D31" s="22" t="s">
        <v>260</v>
      </c>
      <c r="E31" s="22" t="s">
        <v>318</v>
      </c>
      <c r="F31" s="23">
        <v>44257</v>
      </c>
      <c r="G31" s="22" t="s">
        <v>319</v>
      </c>
      <c r="H31" s="22" t="s">
        <v>201</v>
      </c>
      <c r="I31" s="22" t="s">
        <v>320</v>
      </c>
      <c r="J31" s="22">
        <v>1</v>
      </c>
      <c r="K31" s="22">
        <v>2899</v>
      </c>
      <c r="L31" s="22">
        <f t="shared" si="0"/>
        <v>2899</v>
      </c>
      <c r="M31" s="22" t="s">
        <v>321</v>
      </c>
      <c r="N31" s="22" t="s">
        <v>150</v>
      </c>
      <c r="O31" s="22" t="s">
        <v>155</v>
      </c>
    </row>
    <row r="32" spans="1:15" ht="24.9" customHeight="1" thickBot="1" x14ac:dyDescent="0.35">
      <c r="A32" s="21">
        <v>31</v>
      </c>
      <c r="B32" s="22" t="s">
        <v>322</v>
      </c>
      <c r="C32" s="22" t="s">
        <v>323</v>
      </c>
      <c r="D32" s="22" t="s">
        <v>193</v>
      </c>
      <c r="E32" s="22" t="s">
        <v>324</v>
      </c>
      <c r="F32" s="23">
        <v>44258</v>
      </c>
      <c r="G32" s="22" t="s">
        <v>262</v>
      </c>
      <c r="H32" s="22" t="s">
        <v>299</v>
      </c>
      <c r="I32" s="22" t="s">
        <v>325</v>
      </c>
      <c r="J32" s="22">
        <v>2</v>
      </c>
      <c r="K32" s="22">
        <v>2599</v>
      </c>
      <c r="L32" s="22">
        <f t="shared" si="0"/>
        <v>5198</v>
      </c>
      <c r="M32" s="22" t="s">
        <v>326</v>
      </c>
      <c r="N32" s="22" t="s">
        <v>160</v>
      </c>
      <c r="O32" s="22" t="s">
        <v>155</v>
      </c>
    </row>
    <row r="33" spans="1:15" ht="24.9" customHeight="1" thickBot="1" x14ac:dyDescent="0.35">
      <c r="A33" s="21">
        <v>32</v>
      </c>
      <c r="B33" s="22" t="s">
        <v>327</v>
      </c>
      <c r="C33" s="22" t="s">
        <v>328</v>
      </c>
      <c r="D33" s="22" t="s">
        <v>148</v>
      </c>
      <c r="E33" s="22" t="s">
        <v>329</v>
      </c>
      <c r="F33" s="23">
        <v>44259</v>
      </c>
      <c r="G33" s="22" t="s">
        <v>150</v>
      </c>
      <c r="H33" s="22" t="s">
        <v>187</v>
      </c>
      <c r="I33" s="22" t="s">
        <v>330</v>
      </c>
      <c r="J33" s="22">
        <v>1</v>
      </c>
      <c r="K33" s="22">
        <v>2999</v>
      </c>
      <c r="L33" s="22">
        <f t="shared" si="0"/>
        <v>2999</v>
      </c>
      <c r="M33" s="22" t="s">
        <v>331</v>
      </c>
      <c r="N33" s="22" t="s">
        <v>168</v>
      </c>
      <c r="O33" s="22" t="s">
        <v>155</v>
      </c>
    </row>
    <row r="34" spans="1:15" ht="24.9" customHeight="1" thickBot="1" x14ac:dyDescent="0.35">
      <c r="A34" s="21">
        <v>33</v>
      </c>
      <c r="B34" s="22" t="s">
        <v>332</v>
      </c>
      <c r="C34" s="22" t="s">
        <v>333</v>
      </c>
      <c r="D34" s="22" t="s">
        <v>175</v>
      </c>
      <c r="E34" s="22" t="s">
        <v>334</v>
      </c>
      <c r="F34" s="23">
        <v>44260</v>
      </c>
      <c r="G34" s="22" t="s">
        <v>160</v>
      </c>
      <c r="H34" s="22" t="s">
        <v>226</v>
      </c>
      <c r="I34" s="22" t="s">
        <v>335</v>
      </c>
      <c r="J34" s="22">
        <v>1</v>
      </c>
      <c r="K34" s="22">
        <v>2299</v>
      </c>
      <c r="L34" s="22">
        <f t="shared" si="0"/>
        <v>2299</v>
      </c>
      <c r="M34" s="22" t="s">
        <v>336</v>
      </c>
      <c r="N34" s="22" t="s">
        <v>177</v>
      </c>
      <c r="O34" s="22" t="s">
        <v>155</v>
      </c>
    </row>
    <row r="35" spans="1:15" ht="24.9" customHeight="1" thickBot="1" x14ac:dyDescent="0.35">
      <c r="A35" s="21">
        <v>34</v>
      </c>
      <c r="B35" s="22" t="s">
        <v>337</v>
      </c>
      <c r="C35" s="22" t="s">
        <v>338</v>
      </c>
      <c r="D35" s="22" t="s">
        <v>260</v>
      </c>
      <c r="E35" s="22" t="s">
        <v>239</v>
      </c>
      <c r="F35" s="23">
        <v>44261</v>
      </c>
      <c r="G35" s="22" t="s">
        <v>168</v>
      </c>
      <c r="H35" s="22" t="s">
        <v>195</v>
      </c>
      <c r="I35" s="22" t="s">
        <v>339</v>
      </c>
      <c r="J35" s="22">
        <v>2</v>
      </c>
      <c r="K35" s="22">
        <v>2599</v>
      </c>
      <c r="L35" s="22">
        <f t="shared" si="0"/>
        <v>5198</v>
      </c>
      <c r="M35" s="22" t="s">
        <v>340</v>
      </c>
      <c r="N35" s="22" t="s">
        <v>285</v>
      </c>
      <c r="O35" s="22" t="s">
        <v>155</v>
      </c>
    </row>
    <row r="36" spans="1:15" ht="24.9" customHeight="1" thickBot="1" x14ac:dyDescent="0.35">
      <c r="A36" s="21">
        <v>35</v>
      </c>
      <c r="B36" s="22" t="s">
        <v>341</v>
      </c>
      <c r="C36" s="22" t="s">
        <v>297</v>
      </c>
      <c r="D36" s="22" t="s">
        <v>212</v>
      </c>
      <c r="E36" s="22" t="s">
        <v>275</v>
      </c>
      <c r="F36" s="23">
        <v>44262</v>
      </c>
      <c r="G36" s="22" t="s">
        <v>177</v>
      </c>
      <c r="H36" s="22" t="s">
        <v>142</v>
      </c>
      <c r="I36" s="22" t="s">
        <v>342</v>
      </c>
      <c r="J36" s="22">
        <v>2</v>
      </c>
      <c r="K36" s="22">
        <v>559</v>
      </c>
      <c r="L36" s="22">
        <f t="shared" si="0"/>
        <v>1118</v>
      </c>
      <c r="M36" s="22" t="s">
        <v>343</v>
      </c>
      <c r="N36" s="22" t="s">
        <v>289</v>
      </c>
      <c r="O36" s="22" t="s">
        <v>155</v>
      </c>
    </row>
    <row r="37" spans="1:15" ht="24.9" customHeight="1" thickBot="1" x14ac:dyDescent="0.35">
      <c r="A37" s="21">
        <v>36</v>
      </c>
      <c r="B37" s="22" t="s">
        <v>344</v>
      </c>
      <c r="C37" s="22" t="s">
        <v>345</v>
      </c>
      <c r="D37" s="22" t="s">
        <v>245</v>
      </c>
      <c r="E37" s="22" t="s">
        <v>303</v>
      </c>
      <c r="F37" s="23">
        <v>44263</v>
      </c>
      <c r="G37" s="22" t="s">
        <v>304</v>
      </c>
      <c r="H37" s="22" t="s">
        <v>151</v>
      </c>
      <c r="I37" s="22" t="s">
        <v>346</v>
      </c>
      <c r="J37" s="22">
        <v>1</v>
      </c>
      <c r="K37" s="22">
        <v>3399</v>
      </c>
      <c r="L37" s="22">
        <f t="shared" si="0"/>
        <v>3399</v>
      </c>
      <c r="M37" s="22" t="s">
        <v>347</v>
      </c>
      <c r="N37" s="22" t="s">
        <v>294</v>
      </c>
      <c r="O37" s="22" t="s">
        <v>155</v>
      </c>
    </row>
    <row r="38" spans="1:15" ht="24.9" customHeight="1" thickBot="1" x14ac:dyDescent="0.35">
      <c r="A38" s="21">
        <v>37</v>
      </c>
      <c r="B38" s="22" t="s">
        <v>348</v>
      </c>
      <c r="C38" s="22" t="s">
        <v>349</v>
      </c>
      <c r="D38" s="22" t="s">
        <v>193</v>
      </c>
      <c r="E38" s="22" t="s">
        <v>350</v>
      </c>
      <c r="F38" s="23">
        <v>44264</v>
      </c>
      <c r="G38" s="22" t="s">
        <v>194</v>
      </c>
      <c r="H38" s="22" t="s">
        <v>220</v>
      </c>
      <c r="I38" s="22" t="s">
        <v>351</v>
      </c>
      <c r="J38" s="22">
        <v>1</v>
      </c>
      <c r="K38" s="22">
        <v>2999</v>
      </c>
      <c r="L38" s="22">
        <f t="shared" si="0"/>
        <v>2999</v>
      </c>
      <c r="M38" s="22" t="s">
        <v>352</v>
      </c>
      <c r="N38" s="22" t="s">
        <v>177</v>
      </c>
      <c r="O38" s="22" t="s">
        <v>155</v>
      </c>
    </row>
    <row r="39" spans="1:15" ht="24.9" customHeight="1" thickBot="1" x14ac:dyDescent="0.35">
      <c r="A39" s="21">
        <v>38</v>
      </c>
      <c r="B39" s="22" t="s">
        <v>353</v>
      </c>
      <c r="C39" s="22" t="s">
        <v>354</v>
      </c>
      <c r="D39" s="22" t="s">
        <v>245</v>
      </c>
      <c r="E39" s="22" t="s">
        <v>355</v>
      </c>
      <c r="F39" s="23">
        <v>44265</v>
      </c>
      <c r="G39" s="22" t="s">
        <v>172</v>
      </c>
      <c r="H39" s="22" t="s">
        <v>271</v>
      </c>
      <c r="I39" s="22" t="s">
        <v>356</v>
      </c>
      <c r="J39" s="22">
        <v>1</v>
      </c>
      <c r="K39" s="22">
        <v>2889</v>
      </c>
      <c r="L39" s="22">
        <f t="shared" si="0"/>
        <v>2889</v>
      </c>
      <c r="M39" s="22" t="s">
        <v>357</v>
      </c>
      <c r="N39" s="22" t="s">
        <v>304</v>
      </c>
      <c r="O39" s="22" t="s">
        <v>155</v>
      </c>
    </row>
    <row r="40" spans="1:15" ht="24.9" customHeight="1" thickBot="1" x14ac:dyDescent="0.35">
      <c r="A40" s="21">
        <v>39</v>
      </c>
      <c r="B40" s="22" t="s">
        <v>358</v>
      </c>
      <c r="C40" s="22" t="s">
        <v>359</v>
      </c>
      <c r="D40" s="22" t="s">
        <v>245</v>
      </c>
      <c r="E40" s="22" t="s">
        <v>360</v>
      </c>
      <c r="F40" s="23">
        <v>44266</v>
      </c>
      <c r="G40" s="22" t="s">
        <v>181</v>
      </c>
      <c r="H40" s="22" t="s">
        <v>256</v>
      </c>
      <c r="I40" s="22" t="s">
        <v>361</v>
      </c>
      <c r="J40" s="22">
        <v>3</v>
      </c>
      <c r="K40" s="22">
        <v>599</v>
      </c>
      <c r="L40" s="22">
        <f t="shared" si="0"/>
        <v>1797</v>
      </c>
      <c r="M40" s="22" t="s">
        <v>362</v>
      </c>
      <c r="N40" s="22" t="s">
        <v>194</v>
      </c>
      <c r="O40" s="22" t="s">
        <v>155</v>
      </c>
    </row>
    <row r="41" spans="1:15" ht="24.9" customHeight="1" thickBot="1" x14ac:dyDescent="0.35">
      <c r="A41" s="21">
        <v>40</v>
      </c>
      <c r="B41" s="22" t="s">
        <v>363</v>
      </c>
      <c r="C41" s="22" t="s">
        <v>364</v>
      </c>
      <c r="D41" s="22" t="s">
        <v>148</v>
      </c>
      <c r="E41" s="22" t="s">
        <v>365</v>
      </c>
      <c r="F41" s="23">
        <v>44267</v>
      </c>
      <c r="G41" s="22" t="s">
        <v>190</v>
      </c>
      <c r="H41" s="22" t="s">
        <v>187</v>
      </c>
      <c r="I41" s="22" t="s">
        <v>366</v>
      </c>
      <c r="J41" s="22">
        <v>1</v>
      </c>
      <c r="K41" s="22">
        <v>2999</v>
      </c>
      <c r="L41" s="22">
        <f t="shared" si="0"/>
        <v>2999</v>
      </c>
      <c r="M41" s="22" t="s">
        <v>367</v>
      </c>
      <c r="N41" s="22" t="s">
        <v>150</v>
      </c>
      <c r="O41" s="22" t="s">
        <v>155</v>
      </c>
    </row>
    <row r="42" spans="1:15" ht="24.9" customHeight="1" thickBot="1" x14ac:dyDescent="0.35">
      <c r="A42" s="21">
        <v>41</v>
      </c>
      <c r="B42" s="22" t="s">
        <v>368</v>
      </c>
      <c r="C42" s="22" t="s">
        <v>369</v>
      </c>
      <c r="D42" s="22" t="s">
        <v>193</v>
      </c>
      <c r="E42" s="22" t="s">
        <v>370</v>
      </c>
      <c r="F42" s="22" t="s">
        <v>306</v>
      </c>
      <c r="G42" s="22" t="s">
        <v>219</v>
      </c>
      <c r="H42" s="22" t="s">
        <v>207</v>
      </c>
      <c r="I42" s="22" t="s">
        <v>371</v>
      </c>
      <c r="J42" s="22">
        <v>1</v>
      </c>
      <c r="K42" s="22">
        <v>4999</v>
      </c>
      <c r="L42" s="22">
        <f t="shared" si="0"/>
        <v>4999</v>
      </c>
      <c r="M42" s="22" t="s">
        <v>372</v>
      </c>
      <c r="N42" s="22" t="s">
        <v>160</v>
      </c>
      <c r="O42" s="22" t="s">
        <v>155</v>
      </c>
    </row>
    <row r="43" spans="1:15" ht="24.9" customHeight="1" thickBot="1" x14ac:dyDescent="0.35">
      <c r="A43" s="21">
        <v>42</v>
      </c>
      <c r="B43" s="22" t="s">
        <v>373</v>
      </c>
      <c r="C43" s="22" t="s">
        <v>374</v>
      </c>
      <c r="D43" s="22" t="s">
        <v>148</v>
      </c>
      <c r="E43" s="22" t="s">
        <v>375</v>
      </c>
      <c r="F43" s="22" t="s">
        <v>310</v>
      </c>
      <c r="G43" s="22" t="s">
        <v>172</v>
      </c>
      <c r="H43" s="22" t="s">
        <v>271</v>
      </c>
      <c r="I43" s="22" t="s">
        <v>376</v>
      </c>
      <c r="J43" s="22">
        <v>1</v>
      </c>
      <c r="K43" s="22">
        <v>2889</v>
      </c>
      <c r="L43" s="22">
        <f t="shared" si="0"/>
        <v>2889</v>
      </c>
      <c r="M43" s="22" t="s">
        <v>377</v>
      </c>
      <c r="N43" s="22" t="s">
        <v>168</v>
      </c>
      <c r="O43" s="22" t="s">
        <v>155</v>
      </c>
    </row>
    <row r="44" spans="1:15" ht="24.9" customHeight="1" thickBot="1" x14ac:dyDescent="0.35">
      <c r="A44" s="21">
        <v>43</v>
      </c>
      <c r="B44" s="22" t="s">
        <v>378</v>
      </c>
      <c r="C44" s="22" t="s">
        <v>379</v>
      </c>
      <c r="D44" s="22" t="s">
        <v>175</v>
      </c>
      <c r="E44" s="22" t="s">
        <v>380</v>
      </c>
      <c r="F44" s="22" t="s">
        <v>315</v>
      </c>
      <c r="G44" s="22" t="s">
        <v>181</v>
      </c>
      <c r="H44" s="22" t="s">
        <v>151</v>
      </c>
      <c r="I44" s="22" t="s">
        <v>381</v>
      </c>
      <c r="J44" s="22">
        <v>1</v>
      </c>
      <c r="K44" s="22">
        <v>3399</v>
      </c>
      <c r="L44" s="22">
        <f t="shared" si="0"/>
        <v>3399</v>
      </c>
      <c r="M44" s="22" t="s">
        <v>382</v>
      </c>
      <c r="N44" s="22" t="s">
        <v>177</v>
      </c>
      <c r="O44" s="22" t="s">
        <v>155</v>
      </c>
    </row>
    <row r="45" spans="1:15" ht="24.9" customHeight="1" thickBot="1" x14ac:dyDescent="0.35">
      <c r="A45" s="21">
        <v>44</v>
      </c>
      <c r="B45" s="22" t="s">
        <v>383</v>
      </c>
      <c r="C45" s="22" t="s">
        <v>384</v>
      </c>
      <c r="D45" s="22" t="s">
        <v>260</v>
      </c>
      <c r="E45" s="22" t="s">
        <v>239</v>
      </c>
      <c r="F45" s="22" t="s">
        <v>321</v>
      </c>
      <c r="G45" s="22" t="s">
        <v>190</v>
      </c>
      <c r="H45" s="22" t="s">
        <v>299</v>
      </c>
      <c r="I45" s="22" t="s">
        <v>385</v>
      </c>
      <c r="J45" s="22">
        <v>1</v>
      </c>
      <c r="K45" s="22">
        <v>2599</v>
      </c>
      <c r="L45" s="22">
        <f t="shared" si="0"/>
        <v>2599</v>
      </c>
      <c r="M45" s="22" t="s">
        <v>386</v>
      </c>
      <c r="N45" s="22" t="s">
        <v>285</v>
      </c>
      <c r="O45" s="22" t="s">
        <v>155</v>
      </c>
    </row>
    <row r="46" spans="1:15" ht="24.9" customHeight="1" thickBot="1" x14ac:dyDescent="0.35">
      <c r="A46" s="21">
        <v>45</v>
      </c>
      <c r="B46" s="22" t="s">
        <v>387</v>
      </c>
      <c r="C46" s="22" t="s">
        <v>388</v>
      </c>
      <c r="D46" s="22" t="s">
        <v>245</v>
      </c>
      <c r="E46" s="22" t="s">
        <v>389</v>
      </c>
      <c r="F46" s="22" t="s">
        <v>326</v>
      </c>
      <c r="G46" s="22" t="s">
        <v>262</v>
      </c>
      <c r="H46" s="22" t="s">
        <v>142</v>
      </c>
      <c r="I46" s="22" t="s">
        <v>390</v>
      </c>
      <c r="J46" s="22">
        <v>2</v>
      </c>
      <c r="K46" s="22">
        <v>559</v>
      </c>
      <c r="L46" s="22">
        <f t="shared" si="0"/>
        <v>1118</v>
      </c>
      <c r="M46" s="22" t="s">
        <v>391</v>
      </c>
      <c r="N46" s="22" t="s">
        <v>289</v>
      </c>
      <c r="O46" s="22" t="s">
        <v>155</v>
      </c>
    </row>
    <row r="47" spans="1:15" ht="24.9" customHeight="1" thickBot="1" x14ac:dyDescent="0.35">
      <c r="A47" s="21">
        <v>46</v>
      </c>
      <c r="B47" s="22" t="s">
        <v>392</v>
      </c>
      <c r="C47" s="22" t="s">
        <v>393</v>
      </c>
      <c r="D47" s="22" t="s">
        <v>279</v>
      </c>
      <c r="E47" s="22" t="s">
        <v>394</v>
      </c>
      <c r="F47" s="22" t="s">
        <v>331</v>
      </c>
      <c r="G47" s="22" t="s">
        <v>150</v>
      </c>
      <c r="H47" s="22" t="s">
        <v>201</v>
      </c>
      <c r="I47" s="22" t="s">
        <v>395</v>
      </c>
      <c r="J47" s="22">
        <v>3</v>
      </c>
      <c r="K47" s="22">
        <v>2899</v>
      </c>
      <c r="L47" s="22">
        <f t="shared" si="0"/>
        <v>8697</v>
      </c>
      <c r="M47" s="23">
        <v>44287</v>
      </c>
      <c r="N47" s="22" t="s">
        <v>294</v>
      </c>
      <c r="O47" s="22" t="s">
        <v>155</v>
      </c>
    </row>
    <row r="48" spans="1:15" ht="24.9" customHeight="1" thickBot="1" x14ac:dyDescent="0.35">
      <c r="A48" s="21">
        <v>47</v>
      </c>
      <c r="B48" s="22" t="s">
        <v>396</v>
      </c>
      <c r="C48" s="22" t="s">
        <v>397</v>
      </c>
      <c r="D48" s="22" t="s">
        <v>212</v>
      </c>
      <c r="E48" s="22" t="s">
        <v>350</v>
      </c>
      <c r="F48" s="22" t="s">
        <v>336</v>
      </c>
      <c r="G48" s="22" t="s">
        <v>160</v>
      </c>
      <c r="H48" s="22" t="s">
        <v>201</v>
      </c>
      <c r="I48" s="22" t="s">
        <v>398</v>
      </c>
      <c r="J48" s="22">
        <v>2</v>
      </c>
      <c r="K48" s="22">
        <v>2899</v>
      </c>
      <c r="L48" s="22">
        <f t="shared" si="0"/>
        <v>5798</v>
      </c>
      <c r="M48" s="23">
        <v>44288</v>
      </c>
      <c r="N48" s="22" t="s">
        <v>177</v>
      </c>
      <c r="O48" s="22" t="s">
        <v>155</v>
      </c>
    </row>
    <row r="49" spans="1:15" ht="24.9" customHeight="1" thickBot="1" x14ac:dyDescent="0.35">
      <c r="A49" s="21">
        <v>48</v>
      </c>
      <c r="B49" s="22" t="s">
        <v>399</v>
      </c>
      <c r="C49" s="22" t="s">
        <v>259</v>
      </c>
      <c r="D49" s="22" t="s">
        <v>260</v>
      </c>
      <c r="E49" s="22" t="s">
        <v>400</v>
      </c>
      <c r="F49" s="22" t="s">
        <v>340</v>
      </c>
      <c r="G49" s="22" t="s">
        <v>168</v>
      </c>
      <c r="H49" s="22" t="s">
        <v>178</v>
      </c>
      <c r="I49" s="22" t="s">
        <v>401</v>
      </c>
      <c r="J49" s="22">
        <v>1</v>
      </c>
      <c r="K49" s="22">
        <v>1999</v>
      </c>
      <c r="L49" s="22">
        <f t="shared" si="0"/>
        <v>1999</v>
      </c>
      <c r="M49" s="23">
        <v>44289</v>
      </c>
      <c r="N49" s="22" t="s">
        <v>304</v>
      </c>
      <c r="O49" s="22" t="s">
        <v>155</v>
      </c>
    </row>
    <row r="50" spans="1:15" ht="24.9" customHeight="1" thickBot="1" x14ac:dyDescent="0.35">
      <c r="A50" s="21">
        <v>49</v>
      </c>
      <c r="B50" s="22" t="s">
        <v>402</v>
      </c>
      <c r="C50" s="22" t="s">
        <v>403</v>
      </c>
      <c r="D50" s="22" t="s">
        <v>148</v>
      </c>
      <c r="E50" s="22" t="s">
        <v>213</v>
      </c>
      <c r="F50" s="22" t="s">
        <v>343</v>
      </c>
      <c r="G50" s="22" t="s">
        <v>177</v>
      </c>
      <c r="H50" s="22" t="s">
        <v>280</v>
      </c>
      <c r="I50" s="22" t="s">
        <v>404</v>
      </c>
      <c r="J50" s="22">
        <v>1</v>
      </c>
      <c r="K50" s="22">
        <v>1599</v>
      </c>
      <c r="L50" s="22">
        <f t="shared" si="0"/>
        <v>1599</v>
      </c>
      <c r="M50" s="23">
        <v>44290</v>
      </c>
      <c r="N50" s="22" t="s">
        <v>194</v>
      </c>
      <c r="O50" s="22" t="s">
        <v>155</v>
      </c>
    </row>
    <row r="51" spans="1:15" ht="24.9" customHeight="1" thickBot="1" x14ac:dyDescent="0.35">
      <c r="A51" s="21">
        <v>50</v>
      </c>
      <c r="B51" s="22" t="s">
        <v>405</v>
      </c>
      <c r="C51" s="22" t="s">
        <v>406</v>
      </c>
      <c r="D51" s="22" t="s">
        <v>245</v>
      </c>
      <c r="E51" s="22" t="s">
        <v>407</v>
      </c>
      <c r="F51" s="22" t="s">
        <v>347</v>
      </c>
      <c r="G51" s="22" t="s">
        <v>408</v>
      </c>
      <c r="H51" s="22" t="s">
        <v>256</v>
      </c>
      <c r="I51" s="22" t="s">
        <v>409</v>
      </c>
      <c r="J51" s="22">
        <v>4</v>
      </c>
      <c r="K51" s="22">
        <v>599</v>
      </c>
      <c r="L51" s="22">
        <f t="shared" si="0"/>
        <v>2396</v>
      </c>
      <c r="M51" s="23">
        <v>44291</v>
      </c>
      <c r="N51" s="22" t="s">
        <v>172</v>
      </c>
      <c r="O51" s="22" t="s">
        <v>155</v>
      </c>
    </row>
  </sheetData>
  <conditionalFormatting sqref="B2:B51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E1" workbookViewId="0">
      <selection activeCell="G5" sqref="G5"/>
    </sheetView>
  </sheetViews>
  <sheetFormatPr defaultRowHeight="14.4" x14ac:dyDescent="0.3"/>
  <cols>
    <col min="2" max="2" width="29.109375" customWidth="1"/>
    <col min="3" max="3" width="15.44140625" customWidth="1"/>
    <col min="4" max="4" width="10.5546875" customWidth="1"/>
    <col min="5" max="5" width="8.88671875" customWidth="1"/>
    <col min="6" max="6" width="15.44140625" customWidth="1"/>
  </cols>
  <sheetData>
    <row r="1" spans="1:26" ht="15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thickBo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thickBot="1" x14ac:dyDescent="0.35">
      <c r="A3" s="1"/>
      <c r="B3" s="2"/>
      <c r="C3" s="2"/>
      <c r="D3" s="2"/>
      <c r="E3" s="2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6" thickBot="1" x14ac:dyDescent="0.35">
      <c r="A4" s="1"/>
      <c r="B4" s="24" t="s">
        <v>125</v>
      </c>
      <c r="C4" s="24" t="s">
        <v>136</v>
      </c>
      <c r="D4" s="24" t="s">
        <v>130</v>
      </c>
      <c r="E4" s="24" t="s">
        <v>134</v>
      </c>
      <c r="F4" s="24" t="s">
        <v>13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9.4" thickBot="1" x14ac:dyDescent="0.35">
      <c r="A5" s="3"/>
      <c r="B5" s="22" t="s">
        <v>198</v>
      </c>
      <c r="C5" s="7" t="str">
        <f>VLOOKUP(B5,CHOOSE({1,2,3,4,5},'Sales Report'!$B:$B,'Sales Report'!$O:$O,'Sales Report'!$H:$H,'Sales Report'!$L:$L,'Sales Report'!$M:$M),2,0)</f>
        <v>Completed</v>
      </c>
      <c r="D5" s="7" t="str">
        <f>VLOOKUP(B5,CHOOSE({1,2,3,4,5},'Sales Report'!$B:$B,'Sales Report'!$O:$O,'Sales Report'!$H:$H,'Sales Report'!$L:$L,'Sales Report'!$M:$M),3,0)</f>
        <v>Banarasi Saree</v>
      </c>
      <c r="E5" s="7">
        <f>VLOOKUP(B5,CHOOSE({1,2,3,4,5},'Sales Report'!$B:$B,'Sales Report'!$O:$O,'Sales Report'!$H:$H,'Sales Report'!$L:$L,'Sales Report'!$M:$M),4,0)</f>
        <v>5798</v>
      </c>
      <c r="F5" s="27" t="str">
        <f>VLOOKUP(B5,CHOOSE({1,2,3,4,5},'Sales Report'!$B:$B,'Sales Report'!$O:$O,'Sales Report'!$H:$H,'Sales Report'!$L:$L,'Sales Report'!$M:$M),5,0)</f>
        <v>22/2/2021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9.4" thickBot="1" x14ac:dyDescent="0.35">
      <c r="A6" s="3"/>
      <c r="B6" s="22" t="s">
        <v>248</v>
      </c>
      <c r="C6" s="7" t="str">
        <f>VLOOKUP(B6,CHOOSE({1,2,3,4,5},'Sales Report'!$B:$B,'Sales Report'!$O:$O,'Sales Report'!$H:$H,'Sales Report'!$L:$L,'Sales Report'!$M:$M),2,0)</f>
        <v>Completed</v>
      </c>
      <c r="D6" s="7" t="str">
        <f>VLOOKUP(B6,CHOOSE({1,2,3,4,5},'Sales Report'!$B:$B,'Sales Report'!$O:$O,'Sales Report'!$H:$H,'Sales Report'!$L:$L,'Sales Report'!$M:$M),3,0)</f>
        <v>Silk Kurtas Set</v>
      </c>
      <c r="E6" s="7">
        <f>VLOOKUP(B6,CHOOSE({1,2,3,4,5},'Sales Report'!$B:$B,'Sales Report'!$O:$O,'Sales Report'!$H:$H,'Sales Report'!$L:$L,'Sales Report'!$M:$M),4,0)</f>
        <v>3299</v>
      </c>
      <c r="F6" s="28">
        <f>VLOOKUP(B6,CHOOSE({1,2,3,4,5},'Sales Report'!$B:$B,'Sales Report'!$O:$O,'Sales Report'!$H:$H,'Sales Report'!$L:$L,'Sales Report'!$M:$M),5,0)</f>
        <v>44257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 x14ac:dyDescent="0.35">
      <c r="A7" s="3"/>
      <c r="B7" s="22" t="s">
        <v>296</v>
      </c>
      <c r="C7" s="7" t="str">
        <f>VLOOKUP(B7,CHOOSE({1,2,3,4,5},'Sales Report'!$B:$B,'Sales Report'!$O:$O,'Sales Report'!$H:$H,'Sales Report'!$L:$L,'Sales Report'!$M:$M),2,0)</f>
        <v>In Process</v>
      </c>
      <c r="D7" s="7" t="str">
        <f>VLOOKUP(B7,CHOOSE({1,2,3,4,5},'Sales Report'!$B:$B,'Sales Report'!$O:$O,'Sales Report'!$H:$H,'Sales Report'!$L:$L,'Sales Report'!$M:$M),3,0)</f>
        <v>Anarkali set</v>
      </c>
      <c r="E7" s="7">
        <f>VLOOKUP(B7,CHOOSE({1,2,3,4,5},'Sales Report'!$B:$B,'Sales Report'!$O:$O,'Sales Report'!$H:$H,'Sales Report'!$L:$L,'Sales Report'!$M:$M),4,0)</f>
        <v>2599</v>
      </c>
      <c r="F7" s="28">
        <f>VLOOKUP(B7,CHOOSE({1,2,3,4,5},'Sales Report'!$B:$B,'Sales Report'!$O:$O,'Sales Report'!$H:$H,'Sales Report'!$L:$L,'Sales Report'!$M:$M),5,0)</f>
        <v>44267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thickBot="1" x14ac:dyDescent="0.35">
      <c r="A8" s="3"/>
      <c r="B8" s="22" t="s">
        <v>341</v>
      </c>
      <c r="C8" s="7" t="str">
        <f>VLOOKUP(B8,CHOOSE({1,2,3,4,5},'Sales Report'!$B:$B,'Sales Report'!$O:$O,'Sales Report'!$H:$H,'Sales Report'!$L:$L,'Sales Report'!$M:$M),2,0)</f>
        <v>In Process</v>
      </c>
      <c r="D8" s="7" t="str">
        <f>VLOOKUP(B8,CHOOSE({1,2,3,4,5},'Sales Report'!$B:$B,'Sales Report'!$O:$O,'Sales Report'!$H:$H,'Sales Report'!$L:$L,'Sales Report'!$M:$M),3,0)</f>
        <v>White Shirt</v>
      </c>
      <c r="E8" s="7">
        <f>VLOOKUP(B8,CHOOSE({1,2,3,4,5},'Sales Report'!$B:$B,'Sales Report'!$O:$O,'Sales Report'!$H:$H,'Sales Report'!$L:$L,'Sales Report'!$M:$M),4,0)</f>
        <v>1118</v>
      </c>
      <c r="F8" s="27" t="str">
        <f>VLOOKUP(B8,CHOOSE({1,2,3,4,5},'Sales Report'!$B:$B,'Sales Report'!$O:$O,'Sales Report'!$H:$H,'Sales Report'!$L:$L,'Sales Report'!$M:$M),5,0)</f>
        <v>21/3/2021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9.4" thickBot="1" x14ac:dyDescent="0.35">
      <c r="A9" s="3"/>
      <c r="B9" s="22" t="s">
        <v>358</v>
      </c>
      <c r="C9" s="7" t="str">
        <f>VLOOKUP(B9,CHOOSE({1,2,3,4,5},'Sales Report'!$B:$B,'Sales Report'!$O:$O,'Sales Report'!$H:$H,'Sales Report'!$L:$L,'Sales Report'!$M:$M),2,0)</f>
        <v>In Process</v>
      </c>
      <c r="D9" s="7" t="str">
        <f>VLOOKUP(B9,CHOOSE({1,2,3,4,5},'Sales Report'!$B:$B,'Sales Report'!$O:$O,'Sales Report'!$H:$H,'Sales Report'!$L:$L,'Sales Report'!$M:$M),3,0)</f>
        <v>Chikankari Kurti</v>
      </c>
      <c r="E9" s="7">
        <f>VLOOKUP(B9,CHOOSE({1,2,3,4,5},'Sales Report'!$B:$B,'Sales Report'!$O:$O,'Sales Report'!$H:$H,'Sales Report'!$L:$L,'Sales Report'!$M:$M),4,0)</f>
        <v>1797</v>
      </c>
      <c r="F9" s="28">
        <f>VLOOKUP(B6,CHOOSE({1,2,3,4,5},'Sales Report'!$B:$B,'Sales Report'!$O:$O,'Sales Report'!$H:$H,'Sales Report'!$L:$L,'Sales Report'!$M:$M),5,0)</f>
        <v>44257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9.4" thickBot="1" x14ac:dyDescent="0.35">
      <c r="A10" s="3"/>
      <c r="B10" s="22" t="s">
        <v>402</v>
      </c>
      <c r="C10" s="7" t="str">
        <f>VLOOKUP(B10,CHOOSE({1,2,3,4,5},'Sales Report'!$B:$B,'Sales Report'!$O:$O,'Sales Report'!$H:$H,'Sales Report'!$L:$L,'Sales Report'!$M:$M),2,0)</f>
        <v>In Process</v>
      </c>
      <c r="D10" s="7" t="str">
        <f>VLOOKUP(B10,CHOOSE({1,2,3,4,5},'Sales Report'!$B:$B,'Sales Report'!$O:$O,'Sales Report'!$H:$H,'Sales Report'!$L:$L,'Sales Report'!$M:$M),3,0)</f>
        <v>Denim jacket</v>
      </c>
      <c r="E10" s="7">
        <f>VLOOKUP(B10,CHOOSE({1,2,3,4,5},'Sales Report'!$B:$B,'Sales Report'!$O:$O,'Sales Report'!$H:$H,'Sales Report'!$L:$L,'Sales Report'!$M:$M),4,0)</f>
        <v>1599</v>
      </c>
      <c r="F10" s="28">
        <f>VLOOKUP(B7,CHOOSE({1,2,3,4,5},'Sales Report'!$B:$B,'Sales Report'!$O:$O,'Sales Report'!$H:$H,'Sales Report'!$L:$L,'Sales Report'!$M:$M),5,0)</f>
        <v>44267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thickBo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thickBo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thickBo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D5" sqref="D5"/>
    </sheetView>
  </sheetViews>
  <sheetFormatPr defaultRowHeight="14.4" x14ac:dyDescent="0.3"/>
  <cols>
    <col min="2" max="2" width="23.5546875" customWidth="1"/>
    <col min="3" max="3" width="27.109375" customWidth="1"/>
  </cols>
  <sheetData>
    <row r="1" spans="1:26" ht="15" thickBot="1" x14ac:dyDescent="0.35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thickBot="1" x14ac:dyDescent="0.35">
      <c r="A2" s="3"/>
      <c r="B2" s="24" t="s">
        <v>12</v>
      </c>
      <c r="C2" s="25" t="s">
        <v>410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thickBot="1" x14ac:dyDescent="0.35">
      <c r="A3" s="3"/>
      <c r="B3" s="22" t="s">
        <v>139</v>
      </c>
      <c r="C3" s="7">
        <f>COUNTIF('Sales Report'!$D:$D,COUNTIF!B3)</f>
        <v>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thickBot="1" x14ac:dyDescent="0.35">
      <c r="A4" s="3"/>
      <c r="B4" s="22" t="s">
        <v>148</v>
      </c>
      <c r="C4" s="7">
        <f>COUNTIF('Sales Report'!$D:$D,COUNTIF!B4)</f>
        <v>10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thickBot="1" x14ac:dyDescent="0.35">
      <c r="A5" s="3"/>
      <c r="B5" s="22" t="s">
        <v>158</v>
      </c>
      <c r="C5" s="7">
        <f>COUNTIF('Sales Report'!$D:$D,COUNTIF!B5)</f>
        <v>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thickBot="1" x14ac:dyDescent="0.35">
      <c r="A6" s="3"/>
      <c r="B6" s="22" t="s">
        <v>175</v>
      </c>
      <c r="C6" s="7">
        <f>COUNTIF('Sales Report'!$D:$D,COUNTIF!B6)</f>
        <v>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 x14ac:dyDescent="0.35">
      <c r="A7" s="3"/>
      <c r="B7" s="22" t="s">
        <v>184</v>
      </c>
      <c r="C7" s="7">
        <f>COUNTIF('Sales Report'!$D:$D,COUNTIF!B7)</f>
        <v>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thickBot="1" x14ac:dyDescent="0.35">
      <c r="A8" s="3"/>
      <c r="B8" s="22" t="s">
        <v>193</v>
      </c>
      <c r="C8" s="7">
        <f>COUNTIF('Sales Report'!$D:$D,COUNTIF!B8)</f>
        <v>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Bot="1" x14ac:dyDescent="0.35">
      <c r="A9" s="3"/>
      <c r="B9" s="22" t="s">
        <v>212</v>
      </c>
      <c r="C9" s="7">
        <f>COUNTIF('Sales Report'!$D:$D,COUNTIF!B9)</f>
        <v>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thickBo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thickBo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thickBo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thickBo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1"/>
  <sheetViews>
    <sheetView workbookViewId="0">
      <selection activeCell="G18" sqref="G17:G18"/>
    </sheetView>
  </sheetViews>
  <sheetFormatPr defaultRowHeight="14.4" x14ac:dyDescent="0.3"/>
  <cols>
    <col min="2" max="2" width="28.44140625" customWidth="1"/>
    <col min="3" max="3" width="33" customWidth="1"/>
  </cols>
  <sheetData>
    <row r="1" spans="1:3" ht="15" thickBot="1" x14ac:dyDescent="0.35">
      <c r="A1" s="1"/>
      <c r="B1" s="19" t="s">
        <v>6</v>
      </c>
      <c r="C1" s="20" t="s">
        <v>125</v>
      </c>
    </row>
    <row r="2" spans="1:3" ht="15" thickBot="1" x14ac:dyDescent="0.35">
      <c r="A2" s="1"/>
      <c r="B2" s="12" t="s">
        <v>21</v>
      </c>
      <c r="C2" s="22" t="s">
        <v>137</v>
      </c>
    </row>
    <row r="3" spans="1:3" ht="15" thickBot="1" x14ac:dyDescent="0.35">
      <c r="A3" s="1"/>
      <c r="B3" s="12" t="s">
        <v>30</v>
      </c>
      <c r="C3" s="22" t="s">
        <v>146</v>
      </c>
    </row>
    <row r="4" spans="1:3" ht="15" thickBot="1" x14ac:dyDescent="0.35">
      <c r="A4" s="1"/>
      <c r="B4" s="12" t="s">
        <v>38</v>
      </c>
      <c r="C4" s="22" t="s">
        <v>156</v>
      </c>
    </row>
    <row r="5" spans="1:3" ht="15" thickBot="1" x14ac:dyDescent="0.35">
      <c r="A5" s="1"/>
      <c r="B5" s="12" t="s">
        <v>44</v>
      </c>
      <c r="C5" s="22" t="s">
        <v>165</v>
      </c>
    </row>
    <row r="6" spans="1:3" ht="15" thickBot="1" x14ac:dyDescent="0.35">
      <c r="A6" s="1"/>
      <c r="B6" s="12" t="s">
        <v>50</v>
      </c>
      <c r="C6" s="22" t="s">
        <v>173</v>
      </c>
    </row>
    <row r="7" spans="1:3" ht="15" thickBot="1" x14ac:dyDescent="0.35">
      <c r="A7" s="1"/>
      <c r="B7" s="12" t="s">
        <v>56</v>
      </c>
      <c r="C7" s="22" t="s">
        <v>182</v>
      </c>
    </row>
    <row r="8" spans="1:3" ht="15" thickBot="1" x14ac:dyDescent="0.35">
      <c r="A8" s="1"/>
      <c r="B8" s="12" t="s">
        <v>62</v>
      </c>
      <c r="C8" s="22" t="s">
        <v>191</v>
      </c>
    </row>
    <row r="9" spans="1:3" ht="15" thickBot="1" x14ac:dyDescent="0.35">
      <c r="A9" s="1"/>
      <c r="B9" s="12" t="s">
        <v>63</v>
      </c>
      <c r="C9" s="22" t="s">
        <v>198</v>
      </c>
    </row>
    <row r="10" spans="1:3" ht="15" thickBot="1" x14ac:dyDescent="0.35">
      <c r="A10" s="1"/>
      <c r="B10" s="12" t="s">
        <v>65</v>
      </c>
      <c r="C10" s="22" t="s">
        <v>204</v>
      </c>
    </row>
    <row r="11" spans="1:3" ht="15" thickBot="1" x14ac:dyDescent="0.35">
      <c r="A11" s="1"/>
      <c r="B11" s="12" t="s">
        <v>67</v>
      </c>
      <c r="C11" s="22" t="s">
        <v>210</v>
      </c>
    </row>
    <row r="12" spans="1:3" ht="15" thickBot="1" x14ac:dyDescent="0.35">
      <c r="A12" s="1"/>
      <c r="B12" s="12" t="s">
        <v>68</v>
      </c>
      <c r="C12" s="22" t="s">
        <v>216</v>
      </c>
    </row>
    <row r="13" spans="1:3" ht="15" thickBot="1" x14ac:dyDescent="0.35">
      <c r="A13" s="1"/>
      <c r="B13" s="12" t="s">
        <v>71</v>
      </c>
      <c r="C13" s="22" t="s">
        <v>223</v>
      </c>
    </row>
    <row r="14" spans="1:3" ht="15" thickBot="1" x14ac:dyDescent="0.35">
      <c r="A14" s="1"/>
      <c r="B14" s="12" t="s">
        <v>74</v>
      </c>
      <c r="C14" s="22" t="s">
        <v>229</v>
      </c>
    </row>
    <row r="15" spans="1:3" ht="15" thickBot="1" x14ac:dyDescent="0.35">
      <c r="A15" s="1"/>
      <c r="B15" s="12" t="s">
        <v>76</v>
      </c>
      <c r="C15" s="12" t="s">
        <v>76</v>
      </c>
    </row>
    <row r="16" spans="1:3" ht="15" thickBot="1" x14ac:dyDescent="0.35">
      <c r="A16" s="1"/>
      <c r="B16" s="12" t="s">
        <v>79</v>
      </c>
      <c r="C16" s="22" t="s">
        <v>243</v>
      </c>
    </row>
    <row r="17" spans="1:3" ht="15" thickBot="1" x14ac:dyDescent="0.35">
      <c r="A17" s="1"/>
      <c r="B17" s="12" t="s">
        <v>81</v>
      </c>
      <c r="C17" s="12" t="s">
        <v>87</v>
      </c>
    </row>
    <row r="18" spans="1:3" ht="15" thickBot="1" x14ac:dyDescent="0.35">
      <c r="A18" s="1"/>
      <c r="B18" s="12" t="s">
        <v>83</v>
      </c>
      <c r="C18" s="22" t="s">
        <v>253</v>
      </c>
    </row>
    <row r="19" spans="1:3" ht="15" thickBot="1" x14ac:dyDescent="0.35">
      <c r="A19" s="1"/>
      <c r="B19" s="12" t="s">
        <v>87</v>
      </c>
      <c r="C19" s="22" t="s">
        <v>258</v>
      </c>
    </row>
    <row r="20" spans="1:3" ht="15" thickBot="1" x14ac:dyDescent="0.35">
      <c r="A20" s="1"/>
      <c r="B20" s="12" t="s">
        <v>88</v>
      </c>
      <c r="C20" s="22" t="s">
        <v>264</v>
      </c>
    </row>
    <row r="21" spans="1:3" ht="15" thickBot="1" x14ac:dyDescent="0.35">
      <c r="A21" s="1"/>
      <c r="B21" s="15" t="s">
        <v>91</v>
      </c>
      <c r="C21" s="22" t="s">
        <v>268</v>
      </c>
    </row>
    <row r="22" spans="1:3" ht="15" thickBot="1" x14ac:dyDescent="0.35">
      <c r="A22" s="1"/>
      <c r="B22" s="16" t="s">
        <v>93</v>
      </c>
      <c r="C22" s="22" t="s">
        <v>273</v>
      </c>
    </row>
    <row r="23" spans="1:3" ht="15" thickBot="1" x14ac:dyDescent="0.35">
      <c r="A23" s="1"/>
      <c r="B23" s="16" t="s">
        <v>94</v>
      </c>
      <c r="C23" s="22" t="s">
        <v>277</v>
      </c>
    </row>
    <row r="24" spans="1:3" ht="15" thickBot="1" x14ac:dyDescent="0.35">
      <c r="A24" s="1"/>
      <c r="B24" s="16" t="s">
        <v>96</v>
      </c>
      <c r="C24" s="22" t="s">
        <v>282</v>
      </c>
    </row>
    <row r="25" spans="1:3" ht="15" thickBot="1" x14ac:dyDescent="0.35">
      <c r="A25" s="1"/>
      <c r="B25" s="11" t="s">
        <v>98</v>
      </c>
      <c r="C25" s="22" t="s">
        <v>287</v>
      </c>
    </row>
    <row r="26" spans="1:3" ht="15" thickBot="1" x14ac:dyDescent="0.35">
      <c r="A26" s="1"/>
      <c r="B26" s="11" t="s">
        <v>100</v>
      </c>
      <c r="C26" s="22" t="s">
        <v>291</v>
      </c>
    </row>
    <row r="27" spans="1:3" ht="15" thickBot="1" x14ac:dyDescent="0.35">
      <c r="A27" s="1"/>
      <c r="B27" s="16" t="s">
        <v>102</v>
      </c>
      <c r="C27" s="22" t="s">
        <v>296</v>
      </c>
    </row>
    <row r="28" spans="1:3" ht="15" thickBot="1" x14ac:dyDescent="0.35">
      <c r="A28" s="1"/>
      <c r="B28" s="16" t="s">
        <v>103</v>
      </c>
      <c r="C28" s="22" t="s">
        <v>301</v>
      </c>
    </row>
    <row r="29" spans="1:3" ht="15" thickBot="1" x14ac:dyDescent="0.35">
      <c r="A29" s="1"/>
      <c r="B29" s="16" t="s">
        <v>105</v>
      </c>
      <c r="C29" s="22" t="s">
        <v>307</v>
      </c>
    </row>
    <row r="30" spans="1:3" ht="15" thickBot="1" x14ac:dyDescent="0.35">
      <c r="A30" s="1"/>
      <c r="B30" s="16" t="s">
        <v>106</v>
      </c>
      <c r="C30" s="16" t="s">
        <v>96</v>
      </c>
    </row>
    <row r="31" spans="1:3" ht="15" thickBot="1" x14ac:dyDescent="0.35">
      <c r="A31" s="1"/>
      <c r="B31" s="16" t="s">
        <v>108</v>
      </c>
      <c r="C31" s="11" t="s">
        <v>98</v>
      </c>
    </row>
    <row r="32" spans="1:3" ht="15" thickBot="1" x14ac:dyDescent="0.35">
      <c r="A32" s="1"/>
      <c r="B32" s="16" t="s">
        <v>109</v>
      </c>
      <c r="C32" s="11" t="s">
        <v>100</v>
      </c>
    </row>
    <row r="33" spans="1:3" ht="15" thickBot="1" x14ac:dyDescent="0.35">
      <c r="A33" s="1"/>
      <c r="B33" s="16" t="s">
        <v>110</v>
      </c>
      <c r="C33" s="16" t="s">
        <v>102</v>
      </c>
    </row>
    <row r="34" spans="1:3" ht="15" thickBot="1" x14ac:dyDescent="0.35">
      <c r="A34" s="1"/>
      <c r="B34" s="16" t="s">
        <v>112</v>
      </c>
      <c r="C34" s="22" t="s">
        <v>332</v>
      </c>
    </row>
    <row r="35" spans="1:3" ht="15" thickBot="1" x14ac:dyDescent="0.35">
      <c r="A35" s="1"/>
      <c r="B35" s="16" t="s">
        <v>114</v>
      </c>
      <c r="C35" s="22" t="s">
        <v>337</v>
      </c>
    </row>
    <row r="36" spans="1:3" ht="15" thickBot="1" x14ac:dyDescent="0.35">
      <c r="A36" s="1"/>
      <c r="B36" s="16" t="s">
        <v>116</v>
      </c>
      <c r="C36" s="22" t="s">
        <v>341</v>
      </c>
    </row>
    <row r="37" spans="1:3" ht="15" thickBot="1" x14ac:dyDescent="0.35">
      <c r="A37" s="1"/>
      <c r="B37" s="16" t="s">
        <v>117</v>
      </c>
      <c r="C37" s="22" t="s">
        <v>344</v>
      </c>
    </row>
    <row r="38" spans="1:3" ht="15" thickBot="1" x14ac:dyDescent="0.35">
      <c r="A38" s="1"/>
      <c r="B38" s="16" t="s">
        <v>118</v>
      </c>
      <c r="C38" s="22" t="s">
        <v>348</v>
      </c>
    </row>
    <row r="39" spans="1:3" ht="15" thickBot="1" x14ac:dyDescent="0.35">
      <c r="A39" s="1"/>
      <c r="B39" s="16" t="s">
        <v>120</v>
      </c>
      <c r="C39" s="22" t="s">
        <v>353</v>
      </c>
    </row>
    <row r="40" spans="1:3" ht="15" thickBot="1" x14ac:dyDescent="0.35">
      <c r="A40" s="1"/>
      <c r="B40" s="16" t="s">
        <v>123</v>
      </c>
      <c r="C40" s="22" t="s">
        <v>358</v>
      </c>
    </row>
    <row r="41" spans="1:3" ht="15" thickBot="1" x14ac:dyDescent="0.35">
      <c r="A41" s="1"/>
      <c r="B41" s="16" t="s">
        <v>124</v>
      </c>
      <c r="C41" s="22" t="s">
        <v>363</v>
      </c>
    </row>
    <row r="42" spans="1:3" ht="15" thickBot="1" x14ac:dyDescent="0.35">
      <c r="A42" s="1"/>
      <c r="B42" s="1"/>
      <c r="C42" s="22" t="s">
        <v>368</v>
      </c>
    </row>
    <row r="43" spans="1:3" ht="15" thickBot="1" x14ac:dyDescent="0.35">
      <c r="A43" s="1"/>
      <c r="B43" s="1"/>
      <c r="C43" s="22" t="s">
        <v>373</v>
      </c>
    </row>
    <row r="44" spans="1:3" ht="15" thickBot="1" x14ac:dyDescent="0.35">
      <c r="A44" s="1"/>
      <c r="B44" s="1"/>
      <c r="C44" s="22" t="s">
        <v>378</v>
      </c>
    </row>
    <row r="45" spans="1:3" ht="15" thickBot="1" x14ac:dyDescent="0.35">
      <c r="A45" s="1"/>
      <c r="B45" s="1"/>
      <c r="C45" s="22" t="s">
        <v>383</v>
      </c>
    </row>
    <row r="46" spans="1:3" ht="15" thickBot="1" x14ac:dyDescent="0.35">
      <c r="A46" s="1"/>
      <c r="B46" s="1"/>
      <c r="C46" s="22" t="s">
        <v>387</v>
      </c>
    </row>
    <row r="47" spans="1:3" ht="15" thickBot="1" x14ac:dyDescent="0.35">
      <c r="A47" s="1"/>
      <c r="B47" s="1"/>
      <c r="C47" s="16" t="s">
        <v>118</v>
      </c>
    </row>
    <row r="48" spans="1:3" ht="15" thickBot="1" x14ac:dyDescent="0.35">
      <c r="A48" s="1"/>
      <c r="B48" s="1"/>
      <c r="C48" s="22" t="s">
        <v>396</v>
      </c>
    </row>
    <row r="49" spans="1:3" ht="15" thickBot="1" x14ac:dyDescent="0.35">
      <c r="A49" s="1"/>
      <c r="B49" s="1"/>
      <c r="C49" s="22" t="s">
        <v>399</v>
      </c>
    </row>
    <row r="50" spans="1:3" ht="15" thickBot="1" x14ac:dyDescent="0.35">
      <c r="A50" s="1"/>
      <c r="B50" s="1"/>
      <c r="C50" s="22" t="s">
        <v>402</v>
      </c>
    </row>
    <row r="51" spans="1:3" ht="15" thickBot="1" x14ac:dyDescent="0.35">
      <c r="A51" s="1"/>
      <c r="B51" s="1"/>
      <c r="C51" s="22" t="s">
        <v>405</v>
      </c>
    </row>
  </sheetData>
  <conditionalFormatting sqref="B2:B41">
    <cfRule type="duplicateValues" dxfId="4" priority="2"/>
    <cfRule type="duplicateValues" dxfId="3" priority="4"/>
  </conditionalFormatting>
  <conditionalFormatting sqref="B1:C41">
    <cfRule type="duplicateValues" dxfId="2" priority="5"/>
  </conditionalFormatting>
  <conditionalFormatting sqref="B1:C51">
    <cfRule type="duplicateValues" dxfId="1" priority="1"/>
  </conditionalFormatting>
  <conditionalFormatting sqref="B1:C52">
    <cfRule type="duplicateValues" dxfId="0" priority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99"/>
  <sheetViews>
    <sheetView tabSelected="1" workbookViewId="0">
      <selection activeCell="C7" sqref="C7"/>
    </sheetView>
  </sheetViews>
  <sheetFormatPr defaultRowHeight="14.4" x14ac:dyDescent="0.3"/>
  <cols>
    <col min="2" max="2" width="74.6640625" customWidth="1"/>
    <col min="3" max="3" width="27.44140625" customWidth="1"/>
  </cols>
  <sheetData>
    <row r="1" spans="1:26" ht="20.100000000000001" customHeight="1" thickBot="1" x14ac:dyDescent="0.35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4.5" customHeight="1" thickBot="1" x14ac:dyDescent="0.35">
      <c r="A2" s="3"/>
      <c r="B2" s="26" t="s">
        <v>411</v>
      </c>
      <c r="C2" s="4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.100000000000001" customHeight="1" thickBot="1" x14ac:dyDescent="0.35">
      <c r="A3" s="3"/>
      <c r="B3" s="5" t="s">
        <v>412</v>
      </c>
      <c r="C3" s="6" t="s">
        <v>423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0.100000000000001" customHeight="1" thickBot="1" x14ac:dyDescent="0.35">
      <c r="A4" s="3"/>
      <c r="B4" s="5" t="s">
        <v>413</v>
      </c>
      <c r="C4" s="6" t="s">
        <v>423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0.100000000000001" customHeight="1" thickBot="1" x14ac:dyDescent="0.35">
      <c r="A5" s="3"/>
      <c r="B5" s="5" t="s">
        <v>414</v>
      </c>
      <c r="C5" s="6" t="s">
        <v>423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3.75" customHeight="1" thickBot="1" x14ac:dyDescent="0.35">
      <c r="A6" s="3"/>
      <c r="B6" s="5" t="s">
        <v>415</v>
      </c>
      <c r="C6" s="6" t="s">
        <v>423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6.75" customHeight="1" thickBot="1" x14ac:dyDescent="0.35">
      <c r="A7" s="3"/>
      <c r="B7" s="5" t="s">
        <v>416</v>
      </c>
      <c r="C7" s="6" t="s">
        <v>423</v>
      </c>
      <c r="D7" s="1"/>
      <c r="E7" s="1">
        <f>COUNTIF('Sales Report'!D2:D51,'Sales Report'!D2)</f>
        <v>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6.75" customHeight="1" thickBot="1" x14ac:dyDescent="0.35">
      <c r="A8" s="3"/>
      <c r="B8" s="5" t="s">
        <v>417</v>
      </c>
      <c r="C8" s="6" t="s">
        <v>423</v>
      </c>
      <c r="D8" s="1">
        <f>MAX('Sales Report'!K2:K51)</f>
        <v>4999</v>
      </c>
      <c r="E8" s="1" t="str" cm="1">
        <f t="array" ref="E8:E10">_xlfn._xlws.FILTER('Sales Report'!D2:D51,'Sales Report'!K2:K51=MAX('Sales Report'!K2:K51))</f>
        <v>Bengaluru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5.25" customHeight="1" thickBot="1" x14ac:dyDescent="0.35">
      <c r="A9" s="3"/>
      <c r="B9" s="5" t="s">
        <v>418</v>
      </c>
      <c r="C9" s="6" t="str">
        <f>INDEX('Sales Report'!H:H,MATCH(MAX('Sales Report'!L:L),'Sales Report'!L:L,0))</f>
        <v>Banarasi Saree</v>
      </c>
      <c r="D9" s="1"/>
      <c r="E9" s="1" t="str">
        <v>Bengaluru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.100000000000001" customHeight="1" thickBot="1" x14ac:dyDescent="0.35">
      <c r="A10" s="3"/>
      <c r="B10" s="5" t="s">
        <v>419</v>
      </c>
      <c r="C10" s="6">
        <f>SUMIF('Sales Report'!O:O,"Completed",'Sales Report'!L:L)</f>
        <v>84041</v>
      </c>
      <c r="D10" s="1"/>
      <c r="E10" s="1" t="str">
        <v>Kolkata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9" customHeight="1" thickBot="1" x14ac:dyDescent="0.35">
      <c r="A11" s="3"/>
      <c r="B11" s="5" t="s">
        <v>420</v>
      </c>
      <c r="C11" s="6" t="s">
        <v>423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.100000000000001" customHeight="1" thickBot="1" x14ac:dyDescent="0.35">
      <c r="A12" s="3"/>
      <c r="B12" s="5" t="s">
        <v>421</v>
      </c>
      <c r="C12" s="6" t="s">
        <v>423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1.5" customHeight="1" thickBot="1" x14ac:dyDescent="0.35">
      <c r="A13" s="3"/>
      <c r="B13" s="5" t="s">
        <v>422</v>
      </c>
      <c r="C13" s="6" t="s">
        <v>423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.100000000000001" customHeight="1" thickBo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0.100000000000001" customHeight="1" thickBo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.100000000000001" customHeight="1" thickBo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0.100000000000001" customHeight="1" thickBo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.100000000000001" customHeight="1" thickBo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0.100000000000001" customHeight="1" thickBo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.100000000000001" customHeight="1" thickBo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0.100000000000001" customHeight="1" thickBo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.100000000000001" customHeight="1" thickBo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0.100000000000001" customHeight="1" thickBo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.100000000000001" customHeight="1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0.100000000000001" customHeight="1" thickBo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.100000000000001" customHeight="1" thickBo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0.100000000000001" customHeight="1" thickBo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.100000000000001" customHeight="1" thickBo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0.100000000000001" customHeight="1" thickBo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.100000000000001" customHeight="1" thickBo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0.100000000000001" customHeight="1" thickBo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0.100000000000001" customHeight="1" thickBo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0.100000000000001" customHeight="1" thickBo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0.100000000000001" customHeight="1" thickBo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0.100000000000001" customHeight="1" thickBo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0.100000000000001" customHeight="1" thickBo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0.100000000000001" customHeight="1" thickBo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0.100000000000001" customHeight="1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0.100000000000001" customHeight="1" thickBo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0.100000000000001" customHeight="1" thickBo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0.100000000000001" customHeight="1" thickBo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0.100000000000001" customHeight="1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0.100000000000001" customHeight="1" thickBo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0.100000000000001" customHeight="1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0.100000000000001" customHeight="1" thickBo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0.100000000000001" customHeight="1" thickBo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0.100000000000001" customHeight="1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0.100000000000001" customHeight="1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0.100000000000001" customHeight="1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0.100000000000001" customHeight="1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0.100000000000001" customHeight="1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0.100000000000001" customHeight="1" thickBo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0.100000000000001" customHeight="1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0.100000000000001" customHeight="1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0.100000000000001" customHeight="1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0.100000000000001" customHeight="1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0.100000000000001" customHeight="1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0.100000000000001" customHeight="1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0.100000000000001" customHeight="1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0.100000000000001" customHeight="1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0.100000000000001" customHeight="1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0.100000000000001" customHeight="1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0.100000000000001" customHeight="1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0.100000000000001" customHeight="1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0.100000000000001" customHeight="1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0.100000000000001" customHeight="1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0.100000000000001" customHeight="1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0.100000000000001" customHeight="1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0.100000000000001" customHeight="1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0.100000000000001" customHeight="1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0.100000000000001" customHeight="1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0.100000000000001" customHeight="1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0.100000000000001" customHeight="1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0.100000000000001" customHeight="1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0.100000000000001" customHeight="1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0.100000000000001" customHeight="1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0.100000000000001" customHeight="1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0.100000000000001" customHeight="1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0.100000000000001" customHeight="1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0.100000000000001" customHeight="1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0.100000000000001" customHeight="1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0.100000000000001" customHeight="1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0.100000000000001" customHeight="1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0.100000000000001" customHeight="1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0.100000000000001" customHeight="1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0.100000000000001" customHeight="1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0.100000000000001" customHeight="1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0.100000000000001" customHeight="1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0.100000000000001" customHeight="1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0.100000000000001" customHeight="1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0.100000000000001" customHeight="1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0.100000000000001" customHeight="1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0.100000000000001" customHeight="1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0.100000000000001" customHeight="1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0.100000000000001" customHeight="1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0.100000000000001" customHeight="1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0.100000000000001" customHeight="1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0.100000000000001" customHeight="1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0.100000000000001" customHeight="1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0.100000000000001" customHeight="1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0.100000000000001" customHeight="1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0.100000000000001" customHeight="1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0.100000000000001" customHeight="1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0.100000000000001" customHeight="1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0.100000000000001" customHeight="1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0.100000000000001" customHeight="1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0.100000000000001" customHeight="1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0.100000000000001" customHeight="1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0.100000000000001" customHeight="1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0.100000000000001" customHeight="1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0.100000000000001" customHeight="1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0.100000000000001" customHeight="1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0.100000000000001" customHeight="1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0.100000000000001" customHeight="1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0.100000000000001" customHeight="1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0.100000000000001" customHeight="1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0.100000000000001" customHeight="1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0.100000000000001" customHeight="1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0.100000000000001" customHeight="1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0.100000000000001" customHeight="1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0.100000000000001" customHeight="1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0.100000000000001" customHeight="1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0.100000000000001" customHeight="1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0.100000000000001" customHeight="1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0.100000000000001" customHeight="1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0.100000000000001" customHeight="1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0.100000000000001" customHeight="1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0.100000000000001" customHeight="1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0.100000000000001" customHeight="1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0.100000000000001" customHeight="1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0.100000000000001" customHeight="1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0.100000000000001" customHeight="1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0.100000000000001" customHeight="1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0.100000000000001" customHeight="1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0.100000000000001" customHeight="1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0.100000000000001" customHeight="1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0.100000000000001" customHeight="1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0.100000000000001" customHeight="1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0.100000000000001" customHeight="1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0.100000000000001" customHeight="1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0.100000000000001" customHeight="1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0.100000000000001" customHeight="1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0.100000000000001" customHeight="1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0.100000000000001" customHeight="1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0.100000000000001" customHeight="1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0.100000000000001" customHeight="1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0.100000000000001" customHeight="1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0.100000000000001" customHeight="1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0.100000000000001" customHeight="1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0.100000000000001" customHeight="1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0.100000000000001" customHeight="1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0.100000000000001" customHeight="1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0.100000000000001" customHeight="1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0.100000000000001" customHeight="1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0.100000000000001" customHeight="1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0.100000000000001" customHeight="1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0.100000000000001" customHeight="1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0.100000000000001" customHeight="1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0.100000000000001" customHeight="1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0.100000000000001" customHeight="1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0.100000000000001" customHeight="1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0.100000000000001" customHeight="1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0.100000000000001" customHeight="1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0.100000000000001" customHeight="1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0.100000000000001" customHeight="1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0.100000000000001" customHeight="1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0.100000000000001" customHeight="1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0.100000000000001" customHeight="1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0.100000000000001" customHeight="1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0.100000000000001" customHeight="1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0.100000000000001" customHeight="1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0.100000000000001" customHeight="1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0.100000000000001" customHeight="1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0.100000000000001" customHeight="1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0.100000000000001" customHeight="1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0.100000000000001" customHeight="1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0.100000000000001" customHeight="1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0.100000000000001" customHeight="1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0.100000000000001" customHeight="1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0.100000000000001" customHeight="1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0.100000000000001" customHeight="1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0.100000000000001" customHeight="1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0.100000000000001" customHeight="1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0.100000000000001" customHeight="1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0.100000000000001" customHeight="1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0.100000000000001" customHeight="1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0.100000000000001" customHeight="1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0.100000000000001" customHeight="1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0.100000000000001" customHeight="1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0.100000000000001" customHeight="1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0.100000000000001" customHeight="1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0.100000000000001" customHeight="1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0.100000000000001" customHeight="1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0.100000000000001" customHeight="1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0.100000000000001" customHeight="1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0.100000000000001" customHeight="1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0.100000000000001" customHeight="1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0.100000000000001" customHeight="1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0.100000000000001" customHeight="1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0.100000000000001" customHeight="1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0.100000000000001" customHeight="1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0.100000000000001" customHeight="1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0.100000000000001" customHeight="1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0.100000000000001" customHeight="1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0.100000000000001" customHeight="1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0.100000000000001" customHeight="1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0.100000000000001" customHeight="1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0.100000000000001" customHeight="1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0.100000000000001" customHeight="1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0.100000000000001" customHeight="1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0.100000000000001" customHeight="1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0.100000000000001" customHeight="1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0.100000000000001" customHeight="1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0.100000000000001" customHeight="1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0.100000000000001" customHeight="1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0.100000000000001" customHeight="1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0.100000000000001" customHeight="1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0.100000000000001" customHeight="1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0.100000000000001" customHeight="1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0.100000000000001" customHeight="1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0.100000000000001" customHeight="1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0.100000000000001" customHeight="1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0.100000000000001" customHeight="1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0.100000000000001" customHeight="1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0.100000000000001" customHeight="1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0.100000000000001" customHeight="1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0.100000000000001" customHeight="1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0.100000000000001" customHeight="1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0.100000000000001" customHeight="1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0.100000000000001" customHeight="1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0.100000000000001" customHeight="1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0.100000000000001" customHeight="1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0.100000000000001" customHeight="1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0.100000000000001" customHeight="1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0.100000000000001" customHeight="1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0.100000000000001" customHeight="1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0.100000000000001" customHeight="1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0.100000000000001" customHeight="1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0.100000000000001" customHeight="1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0.100000000000001" customHeight="1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0.100000000000001" customHeight="1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0.100000000000001" customHeight="1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0.100000000000001" customHeight="1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0.100000000000001" customHeight="1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0.100000000000001" customHeight="1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0.100000000000001" customHeight="1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0.100000000000001" customHeight="1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0.100000000000001" customHeight="1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0.100000000000001" customHeight="1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0.100000000000001" customHeight="1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0.100000000000001" customHeight="1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0.100000000000001" customHeight="1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0.100000000000001" customHeight="1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0.100000000000001" customHeight="1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0.100000000000001" customHeight="1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0.100000000000001" customHeight="1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0.100000000000001" customHeight="1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0.100000000000001" customHeight="1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0.100000000000001" customHeight="1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0.100000000000001" customHeight="1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0.100000000000001" customHeight="1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0.100000000000001" customHeight="1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0.100000000000001" customHeight="1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0.100000000000001" customHeight="1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0.100000000000001" customHeight="1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0.100000000000001" customHeight="1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0.100000000000001" customHeight="1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0.100000000000001" customHeight="1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0.100000000000001" customHeight="1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0.100000000000001" customHeight="1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0.100000000000001" customHeight="1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0.100000000000001" customHeight="1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0.100000000000001" customHeight="1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0.100000000000001" customHeight="1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0.100000000000001" customHeight="1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0.100000000000001" customHeight="1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0.100000000000001" customHeight="1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0.100000000000001" customHeight="1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0.100000000000001" customHeight="1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0.100000000000001" customHeight="1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0.100000000000001" customHeight="1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0.100000000000001" customHeight="1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0.100000000000001" customHeight="1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0.100000000000001" customHeight="1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0.100000000000001" customHeight="1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0.100000000000001" customHeight="1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0.100000000000001" customHeight="1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0.100000000000001" customHeight="1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0.100000000000001" customHeight="1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0.100000000000001" customHeight="1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0.100000000000001" customHeight="1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0.100000000000001" customHeight="1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0.100000000000001" customHeight="1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0.100000000000001" customHeight="1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0.100000000000001" customHeight="1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0.100000000000001" customHeight="1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0.100000000000001" customHeight="1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0.100000000000001" customHeight="1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0.100000000000001" customHeight="1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0.100000000000001" customHeight="1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0.100000000000001" customHeight="1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0.100000000000001" customHeight="1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0.100000000000001" customHeight="1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0.100000000000001" customHeight="1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0.100000000000001" customHeight="1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0.100000000000001" customHeight="1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0.100000000000001" customHeight="1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0.100000000000001" customHeight="1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0.100000000000001" customHeight="1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0.100000000000001" customHeight="1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0.100000000000001" customHeight="1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0.100000000000001" customHeight="1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0.100000000000001" customHeight="1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0.100000000000001" customHeight="1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0.100000000000001" customHeight="1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0.100000000000001" customHeight="1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0.100000000000001" customHeight="1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0.100000000000001" customHeight="1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0.100000000000001" customHeight="1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0.100000000000001" customHeight="1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0.100000000000001" customHeight="1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0.100000000000001" customHeight="1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0.100000000000001" customHeight="1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0.100000000000001" customHeight="1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0.100000000000001" customHeight="1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0.100000000000001" customHeight="1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0.100000000000001" customHeight="1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0.100000000000001" customHeight="1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0.100000000000001" customHeight="1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0.100000000000001" customHeight="1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0.100000000000001" customHeight="1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0.100000000000001" customHeight="1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0.100000000000001" customHeight="1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0.100000000000001" customHeight="1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0.100000000000001" customHeight="1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0.100000000000001" customHeight="1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0.100000000000001" customHeight="1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0.100000000000001" customHeight="1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0.100000000000001" customHeight="1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0.100000000000001" customHeight="1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0.100000000000001" customHeight="1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0.100000000000001" customHeight="1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0.100000000000001" customHeight="1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0.100000000000001" customHeight="1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0.100000000000001" customHeight="1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0.100000000000001" customHeight="1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0.100000000000001" customHeight="1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0.100000000000001" customHeight="1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0.100000000000001" customHeight="1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0.100000000000001" customHeight="1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0.100000000000001" customHeight="1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0.100000000000001" customHeight="1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0.100000000000001" customHeight="1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0.100000000000001" customHeight="1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0.100000000000001" customHeight="1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0.100000000000001" customHeight="1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0.100000000000001" customHeight="1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0.100000000000001" customHeight="1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0.100000000000001" customHeight="1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0.100000000000001" customHeight="1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0.100000000000001" customHeight="1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0.100000000000001" customHeight="1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0.100000000000001" customHeight="1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0.100000000000001" customHeight="1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0.100000000000001" customHeight="1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0.100000000000001" customHeight="1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0.100000000000001" customHeight="1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0.100000000000001" customHeight="1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0.100000000000001" customHeight="1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0.100000000000001" customHeight="1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0.100000000000001" customHeight="1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0.100000000000001" customHeight="1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0.100000000000001" customHeight="1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0.100000000000001" customHeight="1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0.100000000000001" customHeight="1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0.100000000000001" customHeight="1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0.100000000000001" customHeight="1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0.100000000000001" customHeight="1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0.100000000000001" customHeight="1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0.100000000000001" customHeight="1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0.100000000000001" customHeight="1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0.100000000000001" customHeight="1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0.100000000000001" customHeight="1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0.100000000000001" customHeight="1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0.100000000000001" customHeight="1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0.100000000000001" customHeight="1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0.100000000000001" customHeight="1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0.100000000000001" customHeight="1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0.100000000000001" customHeight="1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0.100000000000001" customHeight="1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0.100000000000001" customHeight="1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0.100000000000001" customHeight="1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0.100000000000001" customHeight="1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0.100000000000001" customHeight="1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0.100000000000001" customHeight="1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0.100000000000001" customHeight="1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0.100000000000001" customHeight="1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0.100000000000001" customHeight="1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0.100000000000001" customHeight="1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0.100000000000001" customHeight="1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0.100000000000001" customHeight="1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0.100000000000001" customHeight="1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0.100000000000001" customHeight="1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0.100000000000001" customHeight="1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0.100000000000001" customHeight="1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0.100000000000001" customHeight="1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0.100000000000001" customHeight="1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0.100000000000001" customHeight="1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0.100000000000001" customHeight="1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0.100000000000001" customHeight="1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0.100000000000001" customHeight="1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0.100000000000001" customHeight="1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0.100000000000001" customHeight="1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0.100000000000001" customHeight="1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0.100000000000001" customHeight="1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0.100000000000001" customHeight="1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0.100000000000001" customHeight="1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0.100000000000001" customHeight="1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0.100000000000001" customHeight="1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0.100000000000001" customHeight="1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0.100000000000001" customHeight="1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0.100000000000001" customHeight="1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0.100000000000001" customHeight="1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0.100000000000001" customHeight="1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0.100000000000001" customHeight="1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0.100000000000001" customHeight="1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0.100000000000001" customHeight="1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0.100000000000001" customHeight="1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0.100000000000001" customHeight="1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0.100000000000001" customHeight="1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0.100000000000001" customHeight="1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0.100000000000001" customHeight="1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0.100000000000001" customHeight="1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0.100000000000001" customHeight="1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0.100000000000001" customHeight="1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0.100000000000001" customHeight="1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0.100000000000001" customHeight="1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0.100000000000001" customHeight="1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0.100000000000001" customHeight="1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0.100000000000001" customHeight="1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0.100000000000001" customHeight="1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0.100000000000001" customHeight="1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0.100000000000001" customHeight="1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0.100000000000001" customHeight="1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0.100000000000001" customHeight="1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0.100000000000001" customHeight="1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0.100000000000001" customHeight="1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0.100000000000001" customHeight="1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0.100000000000001" customHeight="1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0.100000000000001" customHeight="1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0.100000000000001" customHeight="1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0.100000000000001" customHeight="1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0.100000000000001" customHeight="1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0.100000000000001" customHeight="1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0.100000000000001" customHeight="1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0.100000000000001" customHeight="1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0.100000000000001" customHeight="1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0.100000000000001" customHeight="1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0.100000000000001" customHeight="1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0.100000000000001" customHeight="1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0.100000000000001" customHeight="1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0.100000000000001" customHeight="1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0.100000000000001" customHeight="1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0.100000000000001" customHeight="1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0.100000000000001" customHeight="1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0.100000000000001" customHeight="1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0.100000000000001" customHeight="1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0.100000000000001" customHeight="1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0.100000000000001" customHeight="1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0.100000000000001" customHeight="1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0.100000000000001" customHeight="1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0.100000000000001" customHeight="1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0.100000000000001" customHeight="1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0.100000000000001" customHeight="1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0.100000000000001" customHeight="1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0.100000000000001" customHeight="1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0.100000000000001" customHeight="1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0.100000000000001" customHeight="1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0.100000000000001" customHeight="1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0.100000000000001" customHeight="1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0.100000000000001" customHeight="1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0.100000000000001" customHeight="1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0.100000000000001" customHeight="1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0.100000000000001" customHeight="1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0.100000000000001" customHeight="1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0.100000000000001" customHeight="1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0.100000000000001" customHeight="1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0.100000000000001" customHeight="1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0.100000000000001" customHeight="1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0.100000000000001" customHeight="1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0.100000000000001" customHeight="1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0.100000000000001" customHeight="1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0.100000000000001" customHeight="1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0.100000000000001" customHeight="1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0.100000000000001" customHeight="1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0.100000000000001" customHeight="1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0.100000000000001" customHeight="1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0.100000000000001" customHeight="1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0.100000000000001" customHeight="1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0.100000000000001" customHeight="1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0.100000000000001" customHeight="1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0.100000000000001" customHeight="1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0.100000000000001" customHeight="1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0.100000000000001" customHeight="1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0.100000000000001" customHeight="1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0.100000000000001" customHeight="1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0.100000000000001" customHeight="1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0.100000000000001" customHeight="1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0.100000000000001" customHeight="1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0.100000000000001" customHeight="1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0.100000000000001" customHeight="1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0.100000000000001" customHeight="1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0.100000000000001" customHeight="1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0.100000000000001" customHeight="1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0.100000000000001" customHeight="1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0.100000000000001" customHeight="1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0.100000000000001" customHeight="1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0.100000000000001" customHeight="1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0.100000000000001" customHeight="1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0.100000000000001" customHeight="1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0.100000000000001" customHeight="1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0.100000000000001" customHeight="1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0.100000000000001" customHeight="1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0.100000000000001" customHeight="1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0.100000000000001" customHeight="1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0.100000000000001" customHeight="1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0.100000000000001" customHeight="1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0.100000000000001" customHeight="1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0.100000000000001" customHeight="1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0.100000000000001" customHeight="1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0.100000000000001" customHeight="1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0.100000000000001" customHeight="1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0.100000000000001" customHeight="1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0.100000000000001" customHeight="1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0.100000000000001" customHeight="1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0.100000000000001" customHeight="1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0.100000000000001" customHeight="1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0.100000000000001" customHeight="1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0.100000000000001" customHeight="1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0.100000000000001" customHeight="1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0.100000000000001" customHeight="1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0.100000000000001" customHeight="1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0.100000000000001" customHeight="1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0.100000000000001" customHeight="1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0.100000000000001" customHeight="1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0.100000000000001" customHeight="1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0.100000000000001" customHeight="1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0.100000000000001" customHeight="1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0.100000000000001" customHeight="1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0.100000000000001" customHeight="1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0.100000000000001" customHeight="1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0.100000000000001" customHeight="1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0.100000000000001" customHeight="1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0.100000000000001" customHeight="1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0.100000000000001" customHeight="1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0.100000000000001" customHeight="1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0.100000000000001" customHeight="1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0.100000000000001" customHeight="1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0.100000000000001" customHeight="1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0.100000000000001" customHeight="1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0.100000000000001" customHeight="1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0.100000000000001" customHeight="1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0.100000000000001" customHeight="1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0.100000000000001" customHeight="1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0.100000000000001" customHeight="1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0.100000000000001" customHeight="1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0.100000000000001" customHeight="1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0.100000000000001" customHeight="1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0.100000000000001" customHeight="1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0.100000000000001" customHeight="1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0.100000000000001" customHeight="1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0.100000000000001" customHeight="1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0.100000000000001" customHeight="1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0.100000000000001" customHeight="1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0.100000000000001" customHeight="1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0.100000000000001" customHeight="1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0.100000000000001" customHeight="1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0.100000000000001" customHeight="1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0.100000000000001" customHeight="1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0.100000000000001" customHeight="1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0.100000000000001" customHeight="1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0.100000000000001" customHeight="1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0.100000000000001" customHeight="1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0.100000000000001" customHeight="1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0.100000000000001" customHeight="1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0.100000000000001" customHeight="1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0.100000000000001" customHeight="1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0.100000000000001" customHeight="1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0.100000000000001" customHeight="1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0.100000000000001" customHeight="1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0.100000000000001" customHeight="1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0.100000000000001" customHeight="1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0.100000000000001" customHeight="1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0.100000000000001" customHeight="1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0.100000000000001" customHeight="1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0.100000000000001" customHeight="1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0.100000000000001" customHeight="1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0.100000000000001" customHeight="1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0.100000000000001" customHeight="1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0.100000000000001" customHeight="1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0.100000000000001" customHeight="1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0.100000000000001" customHeight="1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0.100000000000001" customHeight="1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0.100000000000001" customHeight="1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0.100000000000001" customHeight="1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0.100000000000001" customHeight="1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0.100000000000001" customHeight="1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0.100000000000001" customHeight="1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0.100000000000001" customHeight="1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0.100000000000001" customHeight="1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0.100000000000001" customHeight="1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0.100000000000001" customHeight="1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0.100000000000001" customHeight="1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0.100000000000001" customHeight="1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0.100000000000001" customHeight="1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0.100000000000001" customHeight="1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0.100000000000001" customHeight="1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0.100000000000001" customHeight="1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0.100000000000001" customHeight="1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0.100000000000001" customHeight="1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0.100000000000001" customHeight="1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0.100000000000001" customHeight="1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0.100000000000001" customHeight="1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0.100000000000001" customHeight="1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0.100000000000001" customHeight="1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0.100000000000001" customHeight="1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0.100000000000001" customHeight="1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0.100000000000001" customHeight="1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0.100000000000001" customHeight="1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0.100000000000001" customHeight="1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0.100000000000001" customHeight="1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0.100000000000001" customHeight="1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0.100000000000001" customHeight="1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0.100000000000001" customHeight="1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0.100000000000001" customHeight="1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0.100000000000001" customHeight="1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0.100000000000001" customHeight="1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0.100000000000001" customHeight="1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0.100000000000001" customHeight="1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0.100000000000001" customHeight="1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0.100000000000001" customHeight="1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0.100000000000001" customHeight="1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0.100000000000001" customHeight="1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0.100000000000001" customHeight="1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0.100000000000001" customHeight="1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0.100000000000001" customHeight="1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0.100000000000001" customHeight="1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0.100000000000001" customHeight="1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0.100000000000001" customHeight="1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0.100000000000001" customHeight="1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0.100000000000001" customHeight="1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0.100000000000001" customHeight="1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0.100000000000001" customHeight="1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0.100000000000001" customHeight="1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0.100000000000001" customHeight="1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0.100000000000001" customHeight="1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0.100000000000001" customHeight="1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0.100000000000001" customHeight="1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0.100000000000001" customHeight="1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0.100000000000001" customHeight="1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0.100000000000001" customHeight="1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0.100000000000001" customHeight="1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0.100000000000001" customHeight="1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0.100000000000001" customHeight="1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0.100000000000001" customHeight="1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0.100000000000001" customHeight="1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0.100000000000001" customHeight="1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0.100000000000001" customHeight="1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0.100000000000001" customHeight="1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0.100000000000001" customHeight="1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0.100000000000001" customHeight="1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0.100000000000001" customHeight="1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0.100000000000001" customHeight="1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0.100000000000001" customHeight="1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0.100000000000001" customHeight="1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0.100000000000001" customHeight="1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0.100000000000001" customHeight="1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0.100000000000001" customHeight="1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0.100000000000001" customHeight="1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0.100000000000001" customHeight="1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0.100000000000001" customHeight="1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0.100000000000001" customHeight="1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0.100000000000001" customHeight="1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0.100000000000001" customHeight="1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0.100000000000001" customHeight="1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0.100000000000001" customHeight="1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0.100000000000001" customHeight="1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0.100000000000001" customHeight="1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0.100000000000001" customHeight="1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0.100000000000001" customHeight="1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0.100000000000001" customHeight="1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0.100000000000001" customHeight="1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0.100000000000001" customHeight="1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0.100000000000001" customHeight="1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0.100000000000001" customHeight="1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0.100000000000001" customHeight="1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0.100000000000001" customHeight="1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0.100000000000001" customHeight="1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0.100000000000001" customHeight="1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0.100000000000001" customHeight="1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0.100000000000001" customHeight="1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0.100000000000001" customHeight="1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0.100000000000001" customHeight="1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0.100000000000001" customHeight="1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0.100000000000001" customHeight="1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0.100000000000001" customHeight="1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0.100000000000001" customHeight="1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0.100000000000001" customHeight="1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0.100000000000001" customHeight="1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0.100000000000001" customHeight="1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0.100000000000001" customHeight="1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0.100000000000001" customHeight="1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0.100000000000001" customHeight="1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0.100000000000001" customHeight="1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0.100000000000001" customHeight="1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0.100000000000001" customHeight="1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0.100000000000001" customHeight="1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0.100000000000001" customHeight="1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0.100000000000001" customHeight="1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0.100000000000001" customHeight="1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0.100000000000001" customHeight="1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0.100000000000001" customHeight="1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0.100000000000001" customHeight="1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0.100000000000001" customHeight="1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0.100000000000001" customHeight="1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0.100000000000001" customHeight="1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0.100000000000001" customHeight="1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0.100000000000001" customHeight="1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0.100000000000001" customHeight="1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0.100000000000001" customHeight="1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0.100000000000001" customHeight="1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0.100000000000001" customHeight="1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0.100000000000001" customHeight="1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0.100000000000001" customHeight="1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0.100000000000001" customHeight="1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0.100000000000001" customHeight="1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0.100000000000001" customHeight="1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0.100000000000001" customHeight="1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0.100000000000001" customHeight="1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0.100000000000001" customHeight="1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0.100000000000001" customHeight="1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0.100000000000001" customHeight="1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0.100000000000001" customHeight="1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0.100000000000001" customHeight="1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0.100000000000001" customHeight="1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0.100000000000001" customHeight="1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0.100000000000001" customHeight="1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0.100000000000001" customHeight="1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0.100000000000001" customHeight="1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0.100000000000001" customHeight="1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0.100000000000001" customHeight="1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0.100000000000001" customHeight="1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0.100000000000001" customHeight="1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0.100000000000001" customHeight="1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0.100000000000001" customHeight="1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0.100000000000001" customHeight="1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0.100000000000001" customHeight="1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0.100000000000001" customHeight="1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0.100000000000001" customHeight="1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0.100000000000001" customHeight="1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0.100000000000001" customHeight="1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0.100000000000001" customHeight="1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0.100000000000001" customHeight="1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0.100000000000001" customHeight="1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0.100000000000001" customHeight="1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0.100000000000001" customHeight="1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0.100000000000001" customHeight="1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0.100000000000001" customHeight="1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0.100000000000001" customHeight="1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0.100000000000001" customHeight="1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0.100000000000001" customHeight="1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0.100000000000001" customHeight="1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0.100000000000001" customHeight="1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0.100000000000001" customHeight="1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0.100000000000001" customHeight="1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0.100000000000001" customHeight="1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0.100000000000001" customHeight="1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0.100000000000001" customHeight="1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0.100000000000001" customHeight="1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0.100000000000001" customHeight="1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0.100000000000001" customHeight="1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0.100000000000001" customHeight="1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0.100000000000001" customHeight="1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0.100000000000001" customHeight="1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0.100000000000001" customHeight="1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0.100000000000001" customHeight="1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0.100000000000001" customHeight="1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0.100000000000001" customHeight="1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0.100000000000001" customHeight="1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0.100000000000001" customHeight="1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0.100000000000001" customHeight="1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0.100000000000001" customHeight="1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0.100000000000001" customHeight="1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0.100000000000001" customHeight="1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0.100000000000001" customHeight="1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0.100000000000001" customHeight="1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0.100000000000001" customHeight="1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0.100000000000001" customHeight="1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0.100000000000001" customHeight="1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0.100000000000001" customHeight="1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0.100000000000001" customHeight="1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0.100000000000001" customHeight="1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0.100000000000001" customHeight="1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0.100000000000001" customHeight="1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0.100000000000001" customHeight="1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0.100000000000001" customHeight="1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0.100000000000001" customHeight="1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0.100000000000001" customHeight="1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0.100000000000001" customHeight="1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0.100000000000001" customHeight="1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0.100000000000001" customHeight="1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0.100000000000001" customHeight="1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0.100000000000001" customHeight="1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0.100000000000001" customHeight="1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0.100000000000001" customHeight="1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0.100000000000001" customHeight="1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0.100000000000001" customHeight="1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0.100000000000001" customHeight="1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0.100000000000001" customHeight="1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0.100000000000001" customHeight="1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0.100000000000001" customHeight="1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0.100000000000001" customHeight="1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0.100000000000001" customHeight="1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0.100000000000001" customHeight="1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0.100000000000001" customHeight="1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0.100000000000001" customHeight="1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0.100000000000001" customHeight="1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0.100000000000001" customHeight="1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0.100000000000001" customHeight="1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0.100000000000001" customHeight="1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0.100000000000001" customHeight="1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0.100000000000001" customHeight="1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0.100000000000001" customHeight="1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0.100000000000001" customHeight="1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0.100000000000001" customHeight="1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0.100000000000001" customHeight="1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0.100000000000001" customHeight="1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0.100000000000001" customHeight="1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0.100000000000001" customHeight="1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0.100000000000001" customHeight="1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0.100000000000001" customHeight="1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0.100000000000001" customHeight="1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0.100000000000001" customHeight="1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0.100000000000001" customHeight="1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0.100000000000001" customHeight="1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0.100000000000001" customHeight="1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0.100000000000001" customHeight="1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0.100000000000001" customHeight="1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0.100000000000001" customHeight="1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0.100000000000001" customHeight="1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0.100000000000001" customHeight="1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0.100000000000001" customHeight="1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0.100000000000001" customHeight="1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0.100000000000001" customHeight="1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0.100000000000001" customHeight="1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0.100000000000001" customHeight="1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0.100000000000001" customHeight="1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0.100000000000001" customHeight="1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0.100000000000001" customHeight="1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0.100000000000001" customHeight="1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0.100000000000001" customHeight="1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0.100000000000001" customHeight="1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0.100000000000001" customHeight="1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0.100000000000001" customHeight="1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0.100000000000001" customHeight="1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0.100000000000001" customHeight="1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0.100000000000001" customHeight="1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0.100000000000001" customHeight="1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0.100000000000001" customHeight="1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0.100000000000001" customHeight="1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0.100000000000001" customHeight="1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0.100000000000001" customHeight="1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0.100000000000001" customHeight="1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0.100000000000001" customHeight="1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0.100000000000001" customHeight="1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0.100000000000001" customHeight="1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0.100000000000001" customHeight="1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0.100000000000001" customHeight="1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0.100000000000001" customHeight="1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0.100000000000001" customHeight="1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0.100000000000001" customHeight="1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0.100000000000001" customHeight="1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0.100000000000001" customHeight="1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0.100000000000001" customHeight="1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0.100000000000001" customHeight="1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0.100000000000001" customHeight="1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0.100000000000001" customHeight="1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0.100000000000001" customHeight="1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0.100000000000001" customHeight="1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0.100000000000001" customHeight="1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0.100000000000001" customHeight="1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0.100000000000001" customHeight="1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0.100000000000001" customHeight="1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0.100000000000001" customHeight="1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0.100000000000001" customHeight="1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0.100000000000001" customHeight="1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0.100000000000001" customHeight="1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0.100000000000001" customHeight="1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0.100000000000001" customHeight="1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0.100000000000001" customHeight="1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0.100000000000001" customHeight="1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0.100000000000001" customHeight="1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0.100000000000001" customHeight="1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0.100000000000001" customHeight="1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0.100000000000001" customHeight="1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0.100000000000001" customHeight="1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0.100000000000001" customHeight="1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0.100000000000001" customHeight="1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0.100000000000001" customHeight="1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0.100000000000001" customHeight="1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0.100000000000001" customHeight="1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0.100000000000001" customHeight="1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0.100000000000001" customHeight="1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0.100000000000001" customHeight="1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0.100000000000001" customHeight="1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0.100000000000001" customHeight="1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0.100000000000001" customHeight="1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0.100000000000001" customHeight="1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0.100000000000001" customHeight="1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0.100000000000001" customHeight="1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0.100000000000001" customHeight="1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0.100000000000001" customHeight="1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0.100000000000001" customHeight="1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0.100000000000001" customHeight="1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0.100000000000001" customHeight="1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0.100000000000001" customHeight="1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0.100000000000001" customHeight="1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0.100000000000001" customHeight="1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0.100000000000001" customHeight="1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0.100000000000001" customHeight="1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0.100000000000001" customHeight="1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0.100000000000001" customHeight="1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0.100000000000001" customHeight="1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0.100000000000001" customHeight="1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0.100000000000001" customHeight="1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0.100000000000001" customHeight="1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0.100000000000001" customHeight="1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0.100000000000001" customHeight="1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0.100000000000001" customHeight="1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0.100000000000001" customHeight="1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0.100000000000001" customHeight="1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0.100000000000001" customHeight="1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0.100000000000001" customHeight="1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0.100000000000001" customHeight="1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0.100000000000001" customHeight="1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0.100000000000001" customHeight="1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0.100000000000001" customHeight="1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0.100000000000001" customHeight="1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0.100000000000001" customHeight="1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0.100000000000001" customHeight="1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0.100000000000001" customHeight="1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0.100000000000001" customHeight="1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0.100000000000001" customHeight="1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0.100000000000001" customHeight="1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0.100000000000001" customHeight="1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0.100000000000001" customHeight="1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0.100000000000001" customHeight="1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0.100000000000001" customHeight="1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0.100000000000001" customHeight="1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0.100000000000001" customHeight="1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0.100000000000001" customHeight="1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0.100000000000001" customHeight="1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0.100000000000001" customHeight="1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0.100000000000001" customHeight="1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0.100000000000001" customHeight="1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0.100000000000001" customHeight="1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0.100000000000001" customHeight="1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0.100000000000001" customHeight="1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0.100000000000001" customHeight="1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0.100000000000001" customHeight="1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0.100000000000001" customHeight="1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0.100000000000001" customHeight="1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0.100000000000001" customHeight="1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0.100000000000001" customHeight="1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0.100000000000001" customHeight="1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0.100000000000001" customHeight="1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0.100000000000001" customHeight="1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0.100000000000001" customHeight="1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0.100000000000001" customHeight="1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0.100000000000001" customHeight="1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0.100000000000001" customHeight="1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0.100000000000001" customHeight="1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0.100000000000001" customHeight="1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0.100000000000001" customHeight="1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0.100000000000001" customHeight="1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0.100000000000001" customHeight="1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0.100000000000001" customHeight="1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0.100000000000001" customHeight="1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0.100000000000001" customHeight="1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0.100000000000001" customHeight="1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0.100000000000001" customHeight="1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0.100000000000001" customHeight="1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0.100000000000001" customHeight="1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0.100000000000001" customHeight="1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0.100000000000001" customHeight="1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0.100000000000001" customHeight="1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0.100000000000001" customHeight="1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0.100000000000001" customHeight="1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0.100000000000001" customHeight="1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Service Report</vt:lpstr>
      <vt:lpstr>Sales Report</vt:lpstr>
      <vt:lpstr>V-Lookup Result</vt:lpstr>
      <vt:lpstr>COUNTIF</vt:lpstr>
      <vt:lpstr>Conditional FormatingHighlights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nooreelahi786@outlook.com</cp:lastModifiedBy>
  <dcterms:created xsi:type="dcterms:W3CDTF">2023-01-10T08:14:41Z</dcterms:created>
  <dcterms:modified xsi:type="dcterms:W3CDTF">2026-07-31T13:50:55Z</dcterms:modified>
</cp:coreProperties>
</file>