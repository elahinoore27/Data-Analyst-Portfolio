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ASSIGNMENT/"/>
    </mc:Choice>
  </mc:AlternateContent>
  <xr:revisionPtr revIDLastSave="120" documentId="8_{1D975007-F4F0-4885-8537-086A74F053CB}" xr6:coauthVersionLast="47" xr6:coauthVersionMax="47" xr10:uidLastSave="{ECEAEBFE-6F14-454F-A3BE-EEED6C77559A}"/>
  <bookViews>
    <workbookView xWindow="-108" yWindow="-108" windowWidth="23256" windowHeight="13896" activeTab="1" xr2:uid="{00000000-000D-0000-FFFF-FFFF00000000}"/>
  </bookViews>
  <sheets>
    <sheet name="Main Data" sheetId="1" r:id="rId1"/>
    <sheet name="Question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0KfTjO1fxaQhoKqKl/fnSLIadPmAgZzqoyRYTFFsI="/>
    </ext>
  </extLst>
</workbook>
</file>

<file path=xl/calcChain.xml><?xml version="1.0" encoding="utf-8"?>
<calcChain xmlns="http://schemas.openxmlformats.org/spreadsheetml/2006/main">
  <c r="G14" i="2" l="1"/>
  <c r="G15" i="2"/>
  <c r="G16" i="2"/>
  <c r="G13" i="2"/>
  <c r="C13" i="2"/>
  <c r="C26" i="2"/>
  <c r="C23" i="2"/>
  <c r="C24" i="2"/>
  <c r="C25" i="2"/>
  <c r="C22" i="2"/>
  <c r="C14" i="2"/>
  <c r="C15" i="2"/>
  <c r="C16" i="2"/>
  <c r="C33" i="2"/>
  <c r="C34" i="2"/>
  <c r="C35" i="2"/>
  <c r="C32" i="2"/>
  <c r="G1004" i="1"/>
  <c r="C5" i="2"/>
  <c r="C6" i="2"/>
  <c r="C7" i="2"/>
  <c r="C4" i="2"/>
</calcChain>
</file>

<file path=xl/sharedStrings.xml><?xml version="1.0" encoding="utf-8"?>
<sst xmlns="http://schemas.openxmlformats.org/spreadsheetml/2006/main" count="9060" uniqueCount="2072">
  <si>
    <t>FirstName</t>
  </si>
  <si>
    <t>Age</t>
  </si>
  <si>
    <t>Gender</t>
  </si>
  <si>
    <t>Department</t>
  </si>
  <si>
    <t>JobTitle</t>
  </si>
  <si>
    <t>Employee ID</t>
  </si>
  <si>
    <t>Salary</t>
  </si>
  <si>
    <t>Date Of Hire</t>
  </si>
  <si>
    <t>Phone</t>
  </si>
  <si>
    <t>Address</t>
  </si>
  <si>
    <t>City</t>
  </si>
  <si>
    <t>State</t>
  </si>
  <si>
    <t>Country</t>
  </si>
  <si>
    <t>Performance Rating</t>
  </si>
  <si>
    <t>Manager ID</t>
  </si>
  <si>
    <t>Aaron</t>
  </si>
  <si>
    <t>Female</t>
  </si>
  <si>
    <t>Finance</t>
  </si>
  <si>
    <t>Project Manager</t>
  </si>
  <si>
    <t>555-01001</t>
  </si>
  <si>
    <t>1 Main St</t>
  </si>
  <si>
    <t>New York</t>
  </si>
  <si>
    <t>NK</t>
  </si>
  <si>
    <t>USA</t>
  </si>
  <si>
    <t>Abby</t>
  </si>
  <si>
    <t>Other</t>
  </si>
  <si>
    <t>Development</t>
  </si>
  <si>
    <t>Sales Executive</t>
  </si>
  <si>
    <t>555-01002</t>
  </si>
  <si>
    <t>2 Main St</t>
  </si>
  <si>
    <t>Paris</t>
  </si>
  <si>
    <t>PA</t>
  </si>
  <si>
    <t>France</t>
  </si>
  <si>
    <t>Abel</t>
  </si>
  <si>
    <t>Analyst</t>
  </si>
  <si>
    <t>555-01003</t>
  </si>
  <si>
    <t>3 Main St</t>
  </si>
  <si>
    <t>London</t>
  </si>
  <si>
    <t>LN</t>
  </si>
  <si>
    <t>UK</t>
  </si>
  <si>
    <t>Abigail</t>
  </si>
  <si>
    <t>555-01004</t>
  </si>
  <si>
    <t>4 Main St</t>
  </si>
  <si>
    <t>Dubai</t>
  </si>
  <si>
    <t>DB</t>
  </si>
  <si>
    <t>UAE</t>
  </si>
  <si>
    <t>Abraham</t>
  </si>
  <si>
    <t>Support</t>
  </si>
  <si>
    <t>Software Engineer</t>
  </si>
  <si>
    <t>555-01005</t>
  </si>
  <si>
    <t>5 Main St</t>
  </si>
  <si>
    <t>Tokyo</t>
  </si>
  <si>
    <t>TK</t>
  </si>
  <si>
    <t>Japan</t>
  </si>
  <si>
    <t>Adam</t>
  </si>
  <si>
    <t>Marketing</t>
  </si>
  <si>
    <t>555-01006</t>
  </si>
  <si>
    <t>6 Main St</t>
  </si>
  <si>
    <t>Sydney</t>
  </si>
  <si>
    <t>SD</t>
  </si>
  <si>
    <t>Australia</t>
  </si>
  <si>
    <t>Addison</t>
  </si>
  <si>
    <t>Male</t>
  </si>
  <si>
    <t>555-01007</t>
  </si>
  <si>
    <t>7 Main St</t>
  </si>
  <si>
    <t>Adele</t>
  </si>
  <si>
    <t>555-01008</t>
  </si>
  <si>
    <t>8 Main St</t>
  </si>
  <si>
    <t>Adrian</t>
  </si>
  <si>
    <t>HR</t>
  </si>
  <si>
    <t>555-01009</t>
  </si>
  <si>
    <t>9 Main St</t>
  </si>
  <si>
    <t>Aidan</t>
  </si>
  <si>
    <t>555-01000</t>
  </si>
  <si>
    <t>10 Main St</t>
  </si>
  <si>
    <t>Ainsley</t>
  </si>
  <si>
    <t>11 Main St</t>
  </si>
  <si>
    <t>Aisha</t>
  </si>
  <si>
    <t>12 Main St</t>
  </si>
  <si>
    <t>Aiden</t>
  </si>
  <si>
    <t>HR Specialist</t>
  </si>
  <si>
    <t>13 Main St</t>
  </si>
  <si>
    <t>Alan</t>
  </si>
  <si>
    <t>14 Main St</t>
  </si>
  <si>
    <t>Alana</t>
  </si>
  <si>
    <t>15 Main St</t>
  </si>
  <si>
    <t>Albert</t>
  </si>
  <si>
    <t>16 Main St</t>
  </si>
  <si>
    <t>Alexa</t>
  </si>
  <si>
    <t>17 Main St</t>
  </si>
  <si>
    <t>Alexander</t>
  </si>
  <si>
    <t>18 Main St</t>
  </si>
  <si>
    <t>Alexis</t>
  </si>
  <si>
    <t>19 Main St</t>
  </si>
  <si>
    <t>Alice</t>
  </si>
  <si>
    <t>20 Main St</t>
  </si>
  <si>
    <t>Alicia</t>
  </si>
  <si>
    <t>21 Main St</t>
  </si>
  <si>
    <t>Alison</t>
  </si>
  <si>
    <t>22 Main St</t>
  </si>
  <si>
    <t>Alistair</t>
  </si>
  <si>
    <t>23 Main St</t>
  </si>
  <si>
    <t>Allie</t>
  </si>
  <si>
    <t>24 Main St</t>
  </si>
  <si>
    <t>Ally</t>
  </si>
  <si>
    <t>25 Main St</t>
  </si>
  <si>
    <t>Alma</t>
  </si>
  <si>
    <t>26 Main St</t>
  </si>
  <si>
    <t>Alondra</t>
  </si>
  <si>
    <t>27 Main St</t>
  </si>
  <si>
    <t>Alvin</t>
  </si>
  <si>
    <t>28 Main St</t>
  </si>
  <si>
    <t>Alyssa</t>
  </si>
  <si>
    <t>29 Main St</t>
  </si>
  <si>
    <t>Amara</t>
  </si>
  <si>
    <t>30 Main St</t>
  </si>
  <si>
    <t>Amber</t>
  </si>
  <si>
    <t>31 Main St</t>
  </si>
  <si>
    <t>Amelia</t>
  </si>
  <si>
    <t>32 Main St</t>
  </si>
  <si>
    <t>Amir</t>
  </si>
  <si>
    <t>33 Main St</t>
  </si>
  <si>
    <t>Amos</t>
  </si>
  <si>
    <t>34 Main St</t>
  </si>
  <si>
    <t>Amy</t>
  </si>
  <si>
    <t>35 Main St</t>
  </si>
  <si>
    <t>Ana</t>
  </si>
  <si>
    <t>36 Main St</t>
  </si>
  <si>
    <t>Anabelle</t>
  </si>
  <si>
    <t>37 Main St</t>
  </si>
  <si>
    <t>Andre</t>
  </si>
  <si>
    <t>38 Main St</t>
  </si>
  <si>
    <t>Andrea</t>
  </si>
  <si>
    <t>39 Main St</t>
  </si>
  <si>
    <t>Andrew</t>
  </si>
  <si>
    <t>40 Main St</t>
  </si>
  <si>
    <t>Angela</t>
  </si>
  <si>
    <t>41 Main St</t>
  </si>
  <si>
    <t>Angelica</t>
  </si>
  <si>
    <t>42 Main St</t>
  </si>
  <si>
    <t>Angelina</t>
  </si>
  <si>
    <t>43 Main St</t>
  </si>
  <si>
    <t>Angelo</t>
  </si>
  <si>
    <t>44 Main St</t>
  </si>
  <si>
    <t>Anika</t>
  </si>
  <si>
    <t>45 Main St</t>
  </si>
  <si>
    <t>Anissa</t>
  </si>
  <si>
    <t>46 Main St</t>
  </si>
  <si>
    <t>Ann</t>
  </si>
  <si>
    <t>47 Main St</t>
  </si>
  <si>
    <t>Anna</t>
  </si>
  <si>
    <t>48 Main St</t>
  </si>
  <si>
    <t>Annabel</t>
  </si>
  <si>
    <t>49 Main St</t>
  </si>
  <si>
    <t>Annabella</t>
  </si>
  <si>
    <t>50 Main St</t>
  </si>
  <si>
    <t>Annalise</t>
  </si>
  <si>
    <t>51 Main St</t>
  </si>
  <si>
    <t>Anne</t>
  </si>
  <si>
    <t>52 Main St</t>
  </si>
  <si>
    <t>Annette</t>
  </si>
  <si>
    <t>53 Main St</t>
  </si>
  <si>
    <t>Annie</t>
  </si>
  <si>
    <t>54 Main St</t>
  </si>
  <si>
    <t>Anthony</t>
  </si>
  <si>
    <t>55 Main St</t>
  </si>
  <si>
    <t>Antonio</t>
  </si>
  <si>
    <t>56 Main St</t>
  </si>
  <si>
    <t>April</t>
  </si>
  <si>
    <t>57 Main St</t>
  </si>
  <si>
    <t>Arabella</t>
  </si>
  <si>
    <t>58 Main St</t>
  </si>
  <si>
    <t>Archer</t>
  </si>
  <si>
    <t>59 Main St</t>
  </si>
  <si>
    <t>Arden</t>
  </si>
  <si>
    <t>60 Main St</t>
  </si>
  <si>
    <t>Ariel</t>
  </si>
  <si>
    <t>61 Main St</t>
  </si>
  <si>
    <t>Ariella</t>
  </si>
  <si>
    <t>62 Main St</t>
  </si>
  <si>
    <t>Arlo</t>
  </si>
  <si>
    <t>63 Main St</t>
  </si>
  <si>
    <t>Arnold</t>
  </si>
  <si>
    <t>64 Main St</t>
  </si>
  <si>
    <t>Arthur</t>
  </si>
  <si>
    <t>65 Main St</t>
  </si>
  <si>
    <t>Arya</t>
  </si>
  <si>
    <t>66 Main St</t>
  </si>
  <si>
    <t>Asher</t>
  </si>
  <si>
    <t>67 Main St</t>
  </si>
  <si>
    <t>Ashley</t>
  </si>
  <si>
    <t>68 Main St</t>
  </si>
  <si>
    <t>Ashton</t>
  </si>
  <si>
    <t>69 Main St</t>
  </si>
  <si>
    <t>Athena</t>
  </si>
  <si>
    <t>70 Main St</t>
  </si>
  <si>
    <t>Aubrey</t>
  </si>
  <si>
    <t>71 Main St</t>
  </si>
  <si>
    <t>Audrey</t>
  </si>
  <si>
    <t>72 Main St</t>
  </si>
  <si>
    <t>August</t>
  </si>
  <si>
    <t>73 Main St</t>
  </si>
  <si>
    <t>Aurora</t>
  </si>
  <si>
    <t>74 Main St</t>
  </si>
  <si>
    <t>Austin</t>
  </si>
  <si>
    <t>75 Main St</t>
  </si>
  <si>
    <t>Autumn</t>
  </si>
  <si>
    <t>76 Main St</t>
  </si>
  <si>
    <t>Ava</t>
  </si>
  <si>
    <t>77 Main St</t>
  </si>
  <si>
    <t>Avery</t>
  </si>
  <si>
    <t>78 Main St</t>
  </si>
  <si>
    <t>Axel</t>
  </si>
  <si>
    <t>79 Main St</t>
  </si>
  <si>
    <t>Bailey</t>
  </si>
  <si>
    <t>80 Main St</t>
  </si>
  <si>
    <t>Barbara</t>
  </si>
  <si>
    <t>81 Main St</t>
  </si>
  <si>
    <t>Barnaby</t>
  </si>
  <si>
    <t>82 Main St</t>
  </si>
  <si>
    <t>Barrett</t>
  </si>
  <si>
    <t>83 Main St</t>
  </si>
  <si>
    <t>Barry</t>
  </si>
  <si>
    <t>84 Main St</t>
  </si>
  <si>
    <t>Beatrice</t>
  </si>
  <si>
    <t>85 Main St</t>
  </si>
  <si>
    <t>Beau</t>
  </si>
  <si>
    <t>86 Main St</t>
  </si>
  <si>
    <t>Becca</t>
  </si>
  <si>
    <t>87 Main St</t>
  </si>
  <si>
    <t>Becky</t>
  </si>
  <si>
    <t>88 Main St</t>
  </si>
  <si>
    <t>Bella</t>
  </si>
  <si>
    <t>89 Main St</t>
  </si>
  <si>
    <t>Belle</t>
  </si>
  <si>
    <t>90 Main St</t>
  </si>
  <si>
    <t>Ben</t>
  </si>
  <si>
    <t>91 Main St</t>
  </si>
  <si>
    <t>Benjamin</t>
  </si>
  <si>
    <t>92 Main St</t>
  </si>
  <si>
    <t>Bennett</t>
  </si>
  <si>
    <t>93 Main St</t>
  </si>
  <si>
    <t>Benny</t>
  </si>
  <si>
    <t>94 Main St</t>
  </si>
  <si>
    <t>Bernard</t>
  </si>
  <si>
    <t>95 Main St</t>
  </si>
  <si>
    <t>Beth</t>
  </si>
  <si>
    <t>96 Main St</t>
  </si>
  <si>
    <t>Bethany</t>
  </si>
  <si>
    <t>97 Main St</t>
  </si>
  <si>
    <t>Betsy</t>
  </si>
  <si>
    <t>98 Main St</t>
  </si>
  <si>
    <t>Betty</t>
  </si>
  <si>
    <t>99 Main St</t>
  </si>
  <si>
    <t>Bianca</t>
  </si>
  <si>
    <t>100 Main St</t>
  </si>
  <si>
    <t>Bill</t>
  </si>
  <si>
    <t>101 Main St</t>
  </si>
  <si>
    <t>Billy</t>
  </si>
  <si>
    <t>102 Main St</t>
  </si>
  <si>
    <t>Blaine</t>
  </si>
  <si>
    <t>103 Main St</t>
  </si>
  <si>
    <t>Blake</t>
  </si>
  <si>
    <t>104 Main St</t>
  </si>
  <si>
    <t>Blair</t>
  </si>
  <si>
    <t>105 Main St</t>
  </si>
  <si>
    <t>Blanche</t>
  </si>
  <si>
    <t>106 Main St</t>
  </si>
  <si>
    <t>Blayne</t>
  </si>
  <si>
    <t>107 Main St</t>
  </si>
  <si>
    <t>Bo</t>
  </si>
  <si>
    <t>108 Main St</t>
  </si>
  <si>
    <t>Bob</t>
  </si>
  <si>
    <t>109 Main St</t>
  </si>
  <si>
    <t>Bobby</t>
  </si>
  <si>
    <t>110 Main St</t>
  </si>
  <si>
    <t>Bonnie</t>
  </si>
  <si>
    <t>111 Main St</t>
  </si>
  <si>
    <t>Brad</t>
  </si>
  <si>
    <t>112 Main St</t>
  </si>
  <si>
    <t>Bradley</t>
  </si>
  <si>
    <t>113 Main St</t>
  </si>
  <si>
    <t>Brady</t>
  </si>
  <si>
    <t>114 Main St</t>
  </si>
  <si>
    <t>Brandon</t>
  </si>
  <si>
    <t>115 Main St</t>
  </si>
  <si>
    <t>Brandy</t>
  </si>
  <si>
    <t>116 Main St</t>
  </si>
  <si>
    <t>Breanna</t>
  </si>
  <si>
    <t>117 Main St</t>
  </si>
  <si>
    <t>Brenda</t>
  </si>
  <si>
    <t>118 Main St</t>
  </si>
  <si>
    <t>Brent</t>
  </si>
  <si>
    <t>119 Main St</t>
  </si>
  <si>
    <t>Brett</t>
  </si>
  <si>
    <t>120 Main St</t>
  </si>
  <si>
    <t>Brian</t>
  </si>
  <si>
    <t>121 Main St</t>
  </si>
  <si>
    <t>Briana</t>
  </si>
  <si>
    <t>122 Main St</t>
  </si>
  <si>
    <t>Brianna</t>
  </si>
  <si>
    <t>123 Main St</t>
  </si>
  <si>
    <t>Bridget</t>
  </si>
  <si>
    <t>124 Main St</t>
  </si>
  <si>
    <t>sum(</t>
  </si>
  <si>
    <t>Britt</t>
  </si>
  <si>
    <t>125 Main St</t>
  </si>
  <si>
    <t>Brittany</t>
  </si>
  <si>
    <t>126 Main St</t>
  </si>
  <si>
    <t>Brooke</t>
  </si>
  <si>
    <t>127 Main St</t>
  </si>
  <si>
    <t>Brooks</t>
  </si>
  <si>
    <t>128 Main St</t>
  </si>
  <si>
    <t>Bruce</t>
  </si>
  <si>
    <t>129 Main St</t>
  </si>
  <si>
    <t>Bryan</t>
  </si>
  <si>
    <t>130 Main St</t>
  </si>
  <si>
    <t>Bryce</t>
  </si>
  <si>
    <t>131 Main St</t>
  </si>
  <si>
    <t>Bryn</t>
  </si>
  <si>
    <t>132 Main St</t>
  </si>
  <si>
    <t>Brynn</t>
  </si>
  <si>
    <t>133 Main St</t>
  </si>
  <si>
    <t>Buddy</t>
  </si>
  <si>
    <t>134 Main St</t>
  </si>
  <si>
    <t>Burke</t>
  </si>
  <si>
    <t>135 Main St</t>
  </si>
  <si>
    <t>Byron</t>
  </si>
  <si>
    <t>136 Main St</t>
  </si>
  <si>
    <t>Cade</t>
  </si>
  <si>
    <t>137 Main St</t>
  </si>
  <si>
    <t>Caden</t>
  </si>
  <si>
    <t>138 Main St</t>
  </si>
  <si>
    <t>Caitlin</t>
  </si>
  <si>
    <t>139 Main St</t>
  </si>
  <si>
    <t>Caleb</t>
  </si>
  <si>
    <t>140 Main St</t>
  </si>
  <si>
    <t>Callie</t>
  </si>
  <si>
    <t>141 Main St</t>
  </si>
  <si>
    <t>Calvin</t>
  </si>
  <si>
    <t>142 Main St</t>
  </si>
  <si>
    <t>Cameron</t>
  </si>
  <si>
    <t>143 Main St</t>
  </si>
  <si>
    <t>Camilla</t>
  </si>
  <si>
    <t>144 Main St</t>
  </si>
  <si>
    <t>Camille</t>
  </si>
  <si>
    <t>145 Main St</t>
  </si>
  <si>
    <t>Candace</t>
  </si>
  <si>
    <t>146 Main St</t>
  </si>
  <si>
    <t>Candy</t>
  </si>
  <si>
    <t>147 Main St</t>
  </si>
  <si>
    <t>Cara</t>
  </si>
  <si>
    <t>148 Main St</t>
  </si>
  <si>
    <t>Carl</t>
  </si>
  <si>
    <t>149 Main St</t>
  </si>
  <si>
    <t>Carla</t>
  </si>
  <si>
    <t>150 Main St</t>
  </si>
  <si>
    <t>Carlee</t>
  </si>
  <si>
    <t>151 Main St</t>
  </si>
  <si>
    <t>Carley</t>
  </si>
  <si>
    <t>152 Main St</t>
  </si>
  <si>
    <t>Carlos</t>
  </si>
  <si>
    <t>153 Main St</t>
  </si>
  <si>
    <t>Carly</t>
  </si>
  <si>
    <t>154 Main St</t>
  </si>
  <si>
    <t>Carmen</t>
  </si>
  <si>
    <t>155 Main St</t>
  </si>
  <si>
    <t>Carol</t>
  </si>
  <si>
    <t>156 Main St</t>
  </si>
  <si>
    <t>Caroline</t>
  </si>
  <si>
    <t>157 Main St</t>
  </si>
  <si>
    <t>Carolyn</t>
  </si>
  <si>
    <t>158 Main St</t>
  </si>
  <si>
    <t>Carrie</t>
  </si>
  <si>
    <t>159 Main St</t>
  </si>
  <si>
    <t>Carson</t>
  </si>
  <si>
    <t>160 Main St</t>
  </si>
  <si>
    <t>Carter</t>
  </si>
  <si>
    <t>161 Main St</t>
  </si>
  <si>
    <t>Casey</t>
  </si>
  <si>
    <t>162 Main St</t>
  </si>
  <si>
    <t>Cassandra</t>
  </si>
  <si>
    <t>163 Main St</t>
  </si>
  <si>
    <t>Cassie</t>
  </si>
  <si>
    <t>164 Main St</t>
  </si>
  <si>
    <t>Catherine</t>
  </si>
  <si>
    <t>165 Main St</t>
  </si>
  <si>
    <t>Cathy</t>
  </si>
  <si>
    <t>166 Main St</t>
  </si>
  <si>
    <t>Cayden</t>
  </si>
  <si>
    <t>167 Main St</t>
  </si>
  <si>
    <t>Cecil</t>
  </si>
  <si>
    <t>168 Main St</t>
  </si>
  <si>
    <t>Cedric</t>
  </si>
  <si>
    <t>169 Main St</t>
  </si>
  <si>
    <t>Celeste</t>
  </si>
  <si>
    <t>170 Main St</t>
  </si>
  <si>
    <t>Celine</t>
  </si>
  <si>
    <t>171 Main St</t>
  </si>
  <si>
    <t>Chad</t>
  </si>
  <si>
    <t>172 Main St</t>
  </si>
  <si>
    <t>Chance</t>
  </si>
  <si>
    <t>173 Main St</t>
  </si>
  <si>
    <t>Chandler</t>
  </si>
  <si>
    <t>174 Main St</t>
  </si>
  <si>
    <t>Chanel</t>
  </si>
  <si>
    <t>175 Main St</t>
  </si>
  <si>
    <t>Channing</t>
  </si>
  <si>
    <t>176 Main St</t>
  </si>
  <si>
    <t>Charles</t>
  </si>
  <si>
    <t>177 Main St</t>
  </si>
  <si>
    <t>Charlie</t>
  </si>
  <si>
    <t>178 Main St</t>
  </si>
  <si>
    <t>Charlotte</t>
  </si>
  <si>
    <t>179 Main St</t>
  </si>
  <si>
    <t>Chase</t>
  </si>
  <si>
    <t>180 Main St</t>
  </si>
  <si>
    <t>Chelsea</t>
  </si>
  <si>
    <t>181 Main St</t>
  </si>
  <si>
    <t>Cheryl</t>
  </si>
  <si>
    <t>182 Main St</t>
  </si>
  <si>
    <t>Cheyenne</t>
  </si>
  <si>
    <t>183 Main St</t>
  </si>
  <si>
    <t>Chloe</t>
  </si>
  <si>
    <t>184 Main St</t>
  </si>
  <si>
    <t>Chris</t>
  </si>
  <si>
    <t>185 Main St</t>
  </si>
  <si>
    <t>Christian</t>
  </si>
  <si>
    <t>186 Main St</t>
  </si>
  <si>
    <t>Christina</t>
  </si>
  <si>
    <t>187 Main St</t>
  </si>
  <si>
    <t>Christine</t>
  </si>
  <si>
    <t>188 Main St</t>
  </si>
  <si>
    <t>Christopher</t>
  </si>
  <si>
    <t>189 Main St</t>
  </si>
  <si>
    <t>Cindy</t>
  </si>
  <si>
    <t>190 Main St</t>
  </si>
  <si>
    <t>Claire</t>
  </si>
  <si>
    <t>191 Main St</t>
  </si>
  <si>
    <t>Clara</t>
  </si>
  <si>
    <t>192 Main St</t>
  </si>
  <si>
    <t>Clarence</t>
  </si>
  <si>
    <t>193 Main St</t>
  </si>
  <si>
    <t>Clark</t>
  </si>
  <si>
    <t>194 Main St</t>
  </si>
  <si>
    <t>Claudia</t>
  </si>
  <si>
    <t>195 Main St</t>
  </si>
  <si>
    <t>Clay</t>
  </si>
  <si>
    <t>196 Main St</t>
  </si>
  <si>
    <t>Clayton</t>
  </si>
  <si>
    <t>197 Main St</t>
  </si>
  <si>
    <t>Clementine</t>
  </si>
  <si>
    <t>198 Main St</t>
  </si>
  <si>
    <t>Cliff</t>
  </si>
  <si>
    <t>199 Main St</t>
  </si>
  <si>
    <t>Clifford</t>
  </si>
  <si>
    <t>200 Main St</t>
  </si>
  <si>
    <t>Clinton</t>
  </si>
  <si>
    <t>201 Main St</t>
  </si>
  <si>
    <t>Clive</t>
  </si>
  <si>
    <t>202 Main St</t>
  </si>
  <si>
    <t>Clyde</t>
  </si>
  <si>
    <t>203 Main St</t>
  </si>
  <si>
    <t>Cody</t>
  </si>
  <si>
    <t>204 Main St</t>
  </si>
  <si>
    <t>Colby</t>
  </si>
  <si>
    <t>205 Main St</t>
  </si>
  <si>
    <t>Cole</t>
  </si>
  <si>
    <t>206 Main St</t>
  </si>
  <si>
    <t>Colette</t>
  </si>
  <si>
    <t>207 Main St</t>
  </si>
  <si>
    <t>Colin</t>
  </si>
  <si>
    <t>208 Main St</t>
  </si>
  <si>
    <t>Colleen</t>
  </si>
  <si>
    <t>209 Main St</t>
  </si>
  <si>
    <t>Collin</t>
  </si>
  <si>
    <t>210 Main St</t>
  </si>
  <si>
    <t>Colt</t>
  </si>
  <si>
    <t>211 Main St</t>
  </si>
  <si>
    <t>Colton</t>
  </si>
  <si>
    <t>212 Main St</t>
  </si>
  <si>
    <t>Conner</t>
  </si>
  <si>
    <t>213 Main St</t>
  </si>
  <si>
    <t>Connor</t>
  </si>
  <si>
    <t>214 Main St</t>
  </si>
  <si>
    <t>Conrad</t>
  </si>
  <si>
    <t>215 Main St</t>
  </si>
  <si>
    <t>Cooper</t>
  </si>
  <si>
    <t>216 Main St</t>
  </si>
  <si>
    <t>Coral</t>
  </si>
  <si>
    <t>217 Main St</t>
  </si>
  <si>
    <t>Corey</t>
  </si>
  <si>
    <t>218 Main St</t>
  </si>
  <si>
    <t>Corinne</t>
  </si>
  <si>
    <t>219 Main St</t>
  </si>
  <si>
    <t>Cornelius</t>
  </si>
  <si>
    <t>220 Main St</t>
  </si>
  <si>
    <t>Cory</t>
  </si>
  <si>
    <t>221 Main St</t>
  </si>
  <si>
    <t>Courtney</t>
  </si>
  <si>
    <t>222 Main St</t>
  </si>
  <si>
    <t>Craig</t>
  </si>
  <si>
    <t>223 Main St</t>
  </si>
  <si>
    <t>Crystal</t>
  </si>
  <si>
    <t>224 Main St</t>
  </si>
  <si>
    <t>Curtis</t>
  </si>
  <si>
    <t>225 Main St</t>
  </si>
  <si>
    <t>Cynthia</t>
  </si>
  <si>
    <t>226 Main St</t>
  </si>
  <si>
    <t>Cyrus</t>
  </si>
  <si>
    <t>227 Main St</t>
  </si>
  <si>
    <t>Daisy</t>
  </si>
  <si>
    <t>228 Main St</t>
  </si>
  <si>
    <t>Dakota</t>
  </si>
  <si>
    <t>229 Main St</t>
  </si>
  <si>
    <t>Dale</t>
  </si>
  <si>
    <t>230 Main St</t>
  </si>
  <si>
    <t>Dallas</t>
  </si>
  <si>
    <t>231 Main St</t>
  </si>
  <si>
    <t>Dalton</t>
  </si>
  <si>
    <t>232 Main St</t>
  </si>
  <si>
    <t>Damon</t>
  </si>
  <si>
    <t>233 Main St</t>
  </si>
  <si>
    <t>Dan</t>
  </si>
  <si>
    <t>234 Main St</t>
  </si>
  <si>
    <t>Dana</t>
  </si>
  <si>
    <t>235 Main St</t>
  </si>
  <si>
    <t>Dane</t>
  </si>
  <si>
    <t>236 Main St</t>
  </si>
  <si>
    <t>Dani</t>
  </si>
  <si>
    <t>237 Main St</t>
  </si>
  <si>
    <t>Daniel</t>
  </si>
  <si>
    <t>238 Main St</t>
  </si>
  <si>
    <t>Danielle</t>
  </si>
  <si>
    <t>239 Main St</t>
  </si>
  <si>
    <t>Danny</t>
  </si>
  <si>
    <t>240 Main St</t>
  </si>
  <si>
    <t>Daphne</t>
  </si>
  <si>
    <t>241 Main St</t>
  </si>
  <si>
    <t>Darby</t>
  </si>
  <si>
    <t>242 Main St</t>
  </si>
  <si>
    <t>Darcie</t>
  </si>
  <si>
    <t>243 Main St</t>
  </si>
  <si>
    <t>Darla</t>
  </si>
  <si>
    <t>244 Main St</t>
  </si>
  <si>
    <t>Darlene</t>
  </si>
  <si>
    <t>245 Main St</t>
  </si>
  <si>
    <t>Darnell</t>
  </si>
  <si>
    <t>246 Main St</t>
  </si>
  <si>
    <t>Daron</t>
  </si>
  <si>
    <t>247 Main St</t>
  </si>
  <si>
    <t>Darrell</t>
  </si>
  <si>
    <t>248 Main St</t>
  </si>
  <si>
    <t>Darren</t>
  </si>
  <si>
    <t>249 Main St</t>
  </si>
  <si>
    <t>Darrin</t>
  </si>
  <si>
    <t>250 Main St</t>
  </si>
  <si>
    <t>Daryl</t>
  </si>
  <si>
    <t>251 Main St</t>
  </si>
  <si>
    <t>Dave</t>
  </si>
  <si>
    <t>252 Main St</t>
  </si>
  <si>
    <t>David</t>
  </si>
  <si>
    <t>253 Main St</t>
  </si>
  <si>
    <t>Dawn</t>
  </si>
  <si>
    <t>254 Main St</t>
  </si>
  <si>
    <t>Dean</t>
  </si>
  <si>
    <t>255 Main St</t>
  </si>
  <si>
    <t>Deanna</t>
  </si>
  <si>
    <t>256 Main St</t>
  </si>
  <si>
    <t>Deanne</t>
  </si>
  <si>
    <t>257 Main St</t>
  </si>
  <si>
    <t>Debbie</t>
  </si>
  <si>
    <t>258 Main St</t>
  </si>
  <si>
    <t>Deborah</t>
  </si>
  <si>
    <t>259 Main St</t>
  </si>
  <si>
    <t>Debra</t>
  </si>
  <si>
    <t>260 Main St</t>
  </si>
  <si>
    <t>Dee</t>
  </si>
  <si>
    <t>261 Main St</t>
  </si>
  <si>
    <t>Deidre</t>
  </si>
  <si>
    <t>262 Main St</t>
  </si>
  <si>
    <t>Delaney</t>
  </si>
  <si>
    <t>263 Main St</t>
  </si>
  <si>
    <t>Delia</t>
  </si>
  <si>
    <t>264 Main St</t>
  </si>
  <si>
    <t>Delilah</t>
  </si>
  <si>
    <t>265 Main St</t>
  </si>
  <si>
    <t>Dell</t>
  </si>
  <si>
    <t>266 Main St</t>
  </si>
  <si>
    <t>Della</t>
  </si>
  <si>
    <t>267 Main St</t>
  </si>
  <si>
    <t>Denise</t>
  </si>
  <si>
    <t>268 Main St</t>
  </si>
  <si>
    <t>Dennis</t>
  </si>
  <si>
    <t>269 Main St</t>
  </si>
  <si>
    <t>Derek</t>
  </si>
  <si>
    <t>270 Main St</t>
  </si>
  <si>
    <t>Desmond</t>
  </si>
  <si>
    <t>271 Main St</t>
  </si>
  <si>
    <t>Devin</t>
  </si>
  <si>
    <t>272 Main St</t>
  </si>
  <si>
    <t>Devon</t>
  </si>
  <si>
    <t>273 Main St</t>
  </si>
  <si>
    <t>Dexter</t>
  </si>
  <si>
    <t>274 Main St</t>
  </si>
  <si>
    <t>Diana</t>
  </si>
  <si>
    <t>275 Main St</t>
  </si>
  <si>
    <t>Diane</t>
  </si>
  <si>
    <t>276 Main St</t>
  </si>
  <si>
    <t>Dianna</t>
  </si>
  <si>
    <t>277 Main St</t>
  </si>
  <si>
    <t>Diego</t>
  </si>
  <si>
    <t>278 Main St</t>
  </si>
  <si>
    <t>Dina</t>
  </si>
  <si>
    <t>279 Main St</t>
  </si>
  <si>
    <t>Dixie</t>
  </si>
  <si>
    <t>280 Main St</t>
  </si>
  <si>
    <t>Dolores</t>
  </si>
  <si>
    <t>281 Main St</t>
  </si>
  <si>
    <t>Dominic</t>
  </si>
  <si>
    <t>282 Main St</t>
  </si>
  <si>
    <t>Don</t>
  </si>
  <si>
    <t>283 Main St</t>
  </si>
  <si>
    <t>Donald</t>
  </si>
  <si>
    <t>284 Main St</t>
  </si>
  <si>
    <t>Donna</t>
  </si>
  <si>
    <t>285 Main St</t>
  </si>
  <si>
    <t>Donnie</t>
  </si>
  <si>
    <t>286 Main St</t>
  </si>
  <si>
    <t>Donovan</t>
  </si>
  <si>
    <t>287 Main St</t>
  </si>
  <si>
    <t>Dora</t>
  </si>
  <si>
    <t>288 Main St</t>
  </si>
  <si>
    <t>Doris</t>
  </si>
  <si>
    <t>289 Main St</t>
  </si>
  <si>
    <t>Dorothy</t>
  </si>
  <si>
    <t>290 Main St</t>
  </si>
  <si>
    <t>Doug</t>
  </si>
  <si>
    <t>291 Main St</t>
  </si>
  <si>
    <t>Douglas</t>
  </si>
  <si>
    <t>292 Main St</t>
  </si>
  <si>
    <t>Drake</t>
  </si>
  <si>
    <t>293 Main St</t>
  </si>
  <si>
    <t>Drew</t>
  </si>
  <si>
    <t>294 Main St</t>
  </si>
  <si>
    <t>Duane</t>
  </si>
  <si>
    <t>295 Main St</t>
  </si>
  <si>
    <t>Duke</t>
  </si>
  <si>
    <t>296 Main St</t>
  </si>
  <si>
    <t>Duncan</t>
  </si>
  <si>
    <t>297 Main St</t>
  </si>
  <si>
    <t>Dustin</t>
  </si>
  <si>
    <t>298 Main St</t>
  </si>
  <si>
    <t>Dusty</t>
  </si>
  <si>
    <t>299 Main St</t>
  </si>
  <si>
    <t>Dylan</t>
  </si>
  <si>
    <t>300 Main St</t>
  </si>
  <si>
    <t>Earl</t>
  </si>
  <si>
    <t>301 Main St</t>
  </si>
  <si>
    <t>Ebony</t>
  </si>
  <si>
    <t>302 Main St</t>
  </si>
  <si>
    <t>Ed</t>
  </si>
  <si>
    <t>303 Main St</t>
  </si>
  <si>
    <t>Eddie</t>
  </si>
  <si>
    <t>304 Main St</t>
  </si>
  <si>
    <t>Edgar</t>
  </si>
  <si>
    <t>305 Main St</t>
  </si>
  <si>
    <t>Edith</t>
  </si>
  <si>
    <t>306 Main St</t>
  </si>
  <si>
    <t>Edmund</t>
  </si>
  <si>
    <t>307 Main St</t>
  </si>
  <si>
    <t>Edna</t>
  </si>
  <si>
    <t>308 Main St</t>
  </si>
  <si>
    <t>Edward</t>
  </si>
  <si>
    <t>309 Main St</t>
  </si>
  <si>
    <t>Edwin</t>
  </si>
  <si>
    <t>310 Main St</t>
  </si>
  <si>
    <t>Eileen</t>
  </si>
  <si>
    <t>311 Main St</t>
  </si>
  <si>
    <t>Elaine</t>
  </si>
  <si>
    <t>312 Main St</t>
  </si>
  <si>
    <t>Eleanor</t>
  </si>
  <si>
    <t>313 Main St</t>
  </si>
  <si>
    <t>Elena</t>
  </si>
  <si>
    <t>314 Main St</t>
  </si>
  <si>
    <t>Eli</t>
  </si>
  <si>
    <t>315 Main St</t>
  </si>
  <si>
    <t>Eliana</t>
  </si>
  <si>
    <t>316 Main St</t>
  </si>
  <si>
    <t>Elias</t>
  </si>
  <si>
    <t>317 Main St</t>
  </si>
  <si>
    <t>Elijah</t>
  </si>
  <si>
    <t>318 Main St</t>
  </si>
  <si>
    <t>Elise</t>
  </si>
  <si>
    <t>319 Main St</t>
  </si>
  <si>
    <t>Eliza</t>
  </si>
  <si>
    <t>320 Main St</t>
  </si>
  <si>
    <t>Elizabeth</t>
  </si>
  <si>
    <t>321 Main St</t>
  </si>
  <si>
    <t>Ella</t>
  </si>
  <si>
    <t>322 Main St</t>
  </si>
  <si>
    <t>Ellen</t>
  </si>
  <si>
    <t>323 Main St</t>
  </si>
  <si>
    <t>Ellie</t>
  </si>
  <si>
    <t>324 Main St</t>
  </si>
  <si>
    <t>Elliott</t>
  </si>
  <si>
    <t>325 Main St</t>
  </si>
  <si>
    <t>Ellis</t>
  </si>
  <si>
    <t>326 Main St</t>
  </si>
  <si>
    <t>Elmer</t>
  </si>
  <si>
    <t>327 Main St</t>
  </si>
  <si>
    <t>Eloise</t>
  </si>
  <si>
    <t>328 Main St</t>
  </si>
  <si>
    <t>Elsa</t>
  </si>
  <si>
    <t>329 Main St</t>
  </si>
  <si>
    <t>Elsie</t>
  </si>
  <si>
    <t>330 Main St</t>
  </si>
  <si>
    <t>Elva</t>
  </si>
  <si>
    <t>331 Main St</t>
  </si>
  <si>
    <t>Elvin</t>
  </si>
  <si>
    <t>332 Main St</t>
  </si>
  <si>
    <t>Elvira</t>
  </si>
  <si>
    <t>333 Main St</t>
  </si>
  <si>
    <t>Emelia</t>
  </si>
  <si>
    <t>334 Main St</t>
  </si>
  <si>
    <t>Emilia</t>
  </si>
  <si>
    <t>335 Main St</t>
  </si>
  <si>
    <t>Emily</t>
  </si>
  <si>
    <t>336 Main St</t>
  </si>
  <si>
    <t>Emma</t>
  </si>
  <si>
    <t>337 Main St</t>
  </si>
  <si>
    <t>Emmett</t>
  </si>
  <si>
    <t>338 Main St</t>
  </si>
  <si>
    <t>Enid</t>
  </si>
  <si>
    <t>339 Main St</t>
  </si>
  <si>
    <t>Enzo</t>
  </si>
  <si>
    <t>340 Main St</t>
  </si>
  <si>
    <t>Eric</t>
  </si>
  <si>
    <t>341 Main St</t>
  </si>
  <si>
    <t>Erica</t>
  </si>
  <si>
    <t>342 Main St</t>
  </si>
  <si>
    <t>Erik</t>
  </si>
  <si>
    <t>343 Main St</t>
  </si>
  <si>
    <t>Erin</t>
  </si>
  <si>
    <t>344 Main St</t>
  </si>
  <si>
    <t>Ernest</t>
  </si>
  <si>
    <t>345 Main St</t>
  </si>
  <si>
    <t>Esme</t>
  </si>
  <si>
    <t>346 Main St</t>
  </si>
  <si>
    <t>Esteban</t>
  </si>
  <si>
    <t>347 Main St</t>
  </si>
  <si>
    <t>Esther</t>
  </si>
  <si>
    <t>348 Main St</t>
  </si>
  <si>
    <t>Ethan</t>
  </si>
  <si>
    <t>349 Main St</t>
  </si>
  <si>
    <t>Ethel</t>
  </si>
  <si>
    <t>350 Main St</t>
  </si>
  <si>
    <t>Eugene</t>
  </si>
  <si>
    <t>351 Main St</t>
  </si>
  <si>
    <t>Eva</t>
  </si>
  <si>
    <t>352 Main St</t>
  </si>
  <si>
    <t>Evan</t>
  </si>
  <si>
    <t>353 Main St</t>
  </si>
  <si>
    <t>Evelyn</t>
  </si>
  <si>
    <t>354 Main St</t>
  </si>
  <si>
    <t>Everett</t>
  </si>
  <si>
    <t>355 Main St</t>
  </si>
  <si>
    <t>Ezra</t>
  </si>
  <si>
    <t>356 Main St</t>
  </si>
  <si>
    <t>Fabian</t>
  </si>
  <si>
    <t>357 Main St</t>
  </si>
  <si>
    <t>Faith</t>
  </si>
  <si>
    <t>358 Main St</t>
  </si>
  <si>
    <t>Fallon</t>
  </si>
  <si>
    <t>359 Main St</t>
  </si>
  <si>
    <t>Fanny</t>
  </si>
  <si>
    <t>360 Main St</t>
  </si>
  <si>
    <t>Farrah</t>
  </si>
  <si>
    <t>361 Main St</t>
  </si>
  <si>
    <t>Fatima</t>
  </si>
  <si>
    <t>362 Main St</t>
  </si>
  <si>
    <t>Felicia</t>
  </si>
  <si>
    <t>363 Main St</t>
  </si>
  <si>
    <t>Felix</t>
  </si>
  <si>
    <t>364 Main St</t>
  </si>
  <si>
    <t>Ferdinand</t>
  </si>
  <si>
    <t>365 Main St</t>
  </si>
  <si>
    <t>Fern</t>
  </si>
  <si>
    <t>366 Main St</t>
  </si>
  <si>
    <t>Fernando</t>
  </si>
  <si>
    <t>367 Main St</t>
  </si>
  <si>
    <t>Fiona</t>
  </si>
  <si>
    <t>368 Main St</t>
  </si>
  <si>
    <t>Floyd</t>
  </si>
  <si>
    <t>369 Main St</t>
  </si>
  <si>
    <t>Flynn</t>
  </si>
  <si>
    <t>370 Main St</t>
  </si>
  <si>
    <t>Ford</t>
  </si>
  <si>
    <t>371 Main St</t>
  </si>
  <si>
    <t>Forest</t>
  </si>
  <si>
    <t>372 Main St</t>
  </si>
  <si>
    <t>Forrest</t>
  </si>
  <si>
    <t>373 Main St</t>
  </si>
  <si>
    <t>Frances</t>
  </si>
  <si>
    <t>374 Main St</t>
  </si>
  <si>
    <t>Francesca</t>
  </si>
  <si>
    <t>375 Main St</t>
  </si>
  <si>
    <t>Francis</t>
  </si>
  <si>
    <t>376 Main St</t>
  </si>
  <si>
    <t>Francisco</t>
  </si>
  <si>
    <t>377 Main St</t>
  </si>
  <si>
    <t>Frank</t>
  </si>
  <si>
    <t>378 Main St</t>
  </si>
  <si>
    <t>Frankie</t>
  </si>
  <si>
    <t>379 Main St</t>
  </si>
  <si>
    <t>Franklin</t>
  </si>
  <si>
    <t>380 Main St</t>
  </si>
  <si>
    <t>Fred</t>
  </si>
  <si>
    <t>381 Main St</t>
  </si>
  <si>
    <t>Freddie</t>
  </si>
  <si>
    <t>382 Main St</t>
  </si>
  <si>
    <t>Frederick</t>
  </si>
  <si>
    <t>383 Main St</t>
  </si>
  <si>
    <t>Fredrick</t>
  </si>
  <si>
    <t>384 Main St</t>
  </si>
  <si>
    <t>Frida</t>
  </si>
  <si>
    <t>385 Main St</t>
  </si>
  <si>
    <t>Gabriel</t>
  </si>
  <si>
    <t>386 Main St</t>
  </si>
  <si>
    <t>Gabriella</t>
  </si>
  <si>
    <t>387 Main St</t>
  </si>
  <si>
    <t>Gabrielle</t>
  </si>
  <si>
    <t>388 Main St</t>
  </si>
  <si>
    <t>Gail</t>
  </si>
  <si>
    <t>389 Main St</t>
  </si>
  <si>
    <t>Gale</t>
  </si>
  <si>
    <t>390 Main St</t>
  </si>
  <si>
    <t>Garrett</t>
  </si>
  <si>
    <t>391 Main St</t>
  </si>
  <si>
    <t>Gary</t>
  </si>
  <si>
    <t>392 Main St</t>
  </si>
  <si>
    <t>Gavin</t>
  </si>
  <si>
    <t>393 Main St</t>
  </si>
  <si>
    <t>Gemma</t>
  </si>
  <si>
    <t>394 Main St</t>
  </si>
  <si>
    <t>Gene</t>
  </si>
  <si>
    <t>395 Main St</t>
  </si>
  <si>
    <t>Genesis</t>
  </si>
  <si>
    <t>396 Main St</t>
  </si>
  <si>
    <t>Genevieve</t>
  </si>
  <si>
    <t>397 Main St</t>
  </si>
  <si>
    <t>George</t>
  </si>
  <si>
    <t>398 Main St</t>
  </si>
  <si>
    <t>Georgia</t>
  </si>
  <si>
    <t>399 Main St</t>
  </si>
  <si>
    <t>Georgina</t>
  </si>
  <si>
    <t>400 Main St</t>
  </si>
  <si>
    <t>Gerald</t>
  </si>
  <si>
    <t>401 Main St</t>
  </si>
  <si>
    <t>Geraldine</t>
  </si>
  <si>
    <t>402 Main St</t>
  </si>
  <si>
    <t>Gertrude</t>
  </si>
  <si>
    <t>403 Main St</t>
  </si>
  <si>
    <t>Gia</t>
  </si>
  <si>
    <t>404 Main St</t>
  </si>
  <si>
    <t>Gideon</t>
  </si>
  <si>
    <t>405 Main St</t>
  </si>
  <si>
    <t>Gilbert</t>
  </si>
  <si>
    <t>406 Main St</t>
  </si>
  <si>
    <t>Gillian</t>
  </si>
  <si>
    <t>407 Main St</t>
  </si>
  <si>
    <t>Gina</t>
  </si>
  <si>
    <t>408 Main St</t>
  </si>
  <si>
    <t>Ginger</t>
  </si>
  <si>
    <t>409 Main St</t>
  </si>
  <si>
    <t>Giovanna</t>
  </si>
  <si>
    <t>410 Main St</t>
  </si>
  <si>
    <t>Giovanni</t>
  </si>
  <si>
    <t>411 Main St</t>
  </si>
  <si>
    <t>Giselle</t>
  </si>
  <si>
    <t>412 Main St</t>
  </si>
  <si>
    <t>Gladys</t>
  </si>
  <si>
    <t>413 Main St</t>
  </si>
  <si>
    <t>Gloria</t>
  </si>
  <si>
    <t>414 Main St</t>
  </si>
  <si>
    <t>Gordon</t>
  </si>
  <si>
    <t>415 Main St</t>
  </si>
  <si>
    <t>Grace</t>
  </si>
  <si>
    <t>416 Main St</t>
  </si>
  <si>
    <t>Gracie</t>
  </si>
  <si>
    <t>417 Main St</t>
  </si>
  <si>
    <t>Graham</t>
  </si>
  <si>
    <t>418 Main St</t>
  </si>
  <si>
    <t>Grant</t>
  </si>
  <si>
    <t>419 Main St</t>
  </si>
  <si>
    <t>Grayson</t>
  </si>
  <si>
    <t>420 Main St</t>
  </si>
  <si>
    <t>Greg</t>
  </si>
  <si>
    <t>421 Main St</t>
  </si>
  <si>
    <t>Gregg</t>
  </si>
  <si>
    <t>422 Main St</t>
  </si>
  <si>
    <t>Gregory</t>
  </si>
  <si>
    <t>423 Main St</t>
  </si>
  <si>
    <t>Greta</t>
  </si>
  <si>
    <t>424 Main St</t>
  </si>
  <si>
    <t>Gretchen</t>
  </si>
  <si>
    <t>425 Main St</t>
  </si>
  <si>
    <t>Griffin</t>
  </si>
  <si>
    <t>426 Main St</t>
  </si>
  <si>
    <t>Guadalupe</t>
  </si>
  <si>
    <t>427 Main St</t>
  </si>
  <si>
    <t>Guido</t>
  </si>
  <si>
    <t>428 Main St</t>
  </si>
  <si>
    <t>Gwen</t>
  </si>
  <si>
    <t>429 Main St</t>
  </si>
  <si>
    <t>Gwendolyn</t>
  </si>
  <si>
    <t>430 Main St</t>
  </si>
  <si>
    <t>Hadley</t>
  </si>
  <si>
    <t>431 Main St</t>
  </si>
  <si>
    <t>Hailey</t>
  </si>
  <si>
    <t>432 Main St</t>
  </si>
  <si>
    <t>Hal</t>
  </si>
  <si>
    <t>433 Main St</t>
  </si>
  <si>
    <t>Haley</t>
  </si>
  <si>
    <t>434 Main St</t>
  </si>
  <si>
    <t>Hallie</t>
  </si>
  <si>
    <t>435 Main St</t>
  </si>
  <si>
    <t>Hank</t>
  </si>
  <si>
    <t>436 Main St</t>
  </si>
  <si>
    <t>Hannah</t>
  </si>
  <si>
    <t>437 Main St</t>
  </si>
  <si>
    <t>Hans</t>
  </si>
  <si>
    <t>438 Main St</t>
  </si>
  <si>
    <t>Harley</t>
  </si>
  <si>
    <t>439 Main St</t>
  </si>
  <si>
    <t>Harold</t>
  </si>
  <si>
    <t>440 Main St</t>
  </si>
  <si>
    <t>Harmony</t>
  </si>
  <si>
    <t>441 Main St</t>
  </si>
  <si>
    <t>Harper</t>
  </si>
  <si>
    <t>442 Main St</t>
  </si>
  <si>
    <t>Harrison</t>
  </si>
  <si>
    <t>443 Main St</t>
  </si>
  <si>
    <t>Harry</t>
  </si>
  <si>
    <t>444 Main St</t>
  </si>
  <si>
    <t>Harvey</t>
  </si>
  <si>
    <t>445 Main St</t>
  </si>
  <si>
    <t>Hattie</t>
  </si>
  <si>
    <t>446 Main St</t>
  </si>
  <si>
    <t>Hayden</t>
  </si>
  <si>
    <t>447 Main St</t>
  </si>
  <si>
    <t>Hazel</t>
  </si>
  <si>
    <t>448 Main St</t>
  </si>
  <si>
    <t>Heath</t>
  </si>
  <si>
    <t>449 Main St</t>
  </si>
  <si>
    <t>Heather</t>
  </si>
  <si>
    <t>450 Main St</t>
  </si>
  <si>
    <t>Hector</t>
  </si>
  <si>
    <t>451 Main St</t>
  </si>
  <si>
    <t>Heidi</t>
  </si>
  <si>
    <t>452 Main St</t>
  </si>
  <si>
    <t>Helen</t>
  </si>
  <si>
    <t>453 Main St</t>
  </si>
  <si>
    <t>Helena</t>
  </si>
  <si>
    <t>454 Main St</t>
  </si>
  <si>
    <t>Helene</t>
  </si>
  <si>
    <t>455 Main St</t>
  </si>
  <si>
    <t>Henry</t>
  </si>
  <si>
    <t>456 Main St</t>
  </si>
  <si>
    <t>Herbert</t>
  </si>
  <si>
    <t>457 Main St</t>
  </si>
  <si>
    <t>Herman</t>
  </si>
  <si>
    <t>458 Main St</t>
  </si>
  <si>
    <t>Hilary</t>
  </si>
  <si>
    <t>459 Main St</t>
  </si>
  <si>
    <t>Hillary</t>
  </si>
  <si>
    <t>460 Main St</t>
  </si>
  <si>
    <t>Holly</t>
  </si>
  <si>
    <t>461 Main St</t>
  </si>
  <si>
    <t>Hope</t>
  </si>
  <si>
    <t>462 Main St</t>
  </si>
  <si>
    <t>Howard</t>
  </si>
  <si>
    <t>463 Main St</t>
  </si>
  <si>
    <t>Hudson</t>
  </si>
  <si>
    <t>464 Main St</t>
  </si>
  <si>
    <t>Hugh</t>
  </si>
  <si>
    <t>465 Main St</t>
  </si>
  <si>
    <t>Hugo</t>
  </si>
  <si>
    <t>466 Main St</t>
  </si>
  <si>
    <t>Hunter</t>
  </si>
  <si>
    <t>467 Main St</t>
  </si>
  <si>
    <t>Ian</t>
  </si>
  <si>
    <t>468 Main St</t>
  </si>
  <si>
    <t>Ibrahim</t>
  </si>
  <si>
    <t>469 Main St</t>
  </si>
  <si>
    <t>Ida</t>
  </si>
  <si>
    <t>470 Main St</t>
  </si>
  <si>
    <t>Ignatius</t>
  </si>
  <si>
    <t>471 Main St</t>
  </si>
  <si>
    <t>Ike</t>
  </si>
  <si>
    <t>472 Main St</t>
  </si>
  <si>
    <t>Iliana</t>
  </si>
  <si>
    <t>473 Main St</t>
  </si>
  <si>
    <t>Imani</t>
  </si>
  <si>
    <t>474 Main St</t>
  </si>
  <si>
    <t>Imogen</t>
  </si>
  <si>
    <t>475 Main St</t>
  </si>
  <si>
    <t>India</t>
  </si>
  <si>
    <t>476 Main St</t>
  </si>
  <si>
    <t>Indigo</t>
  </si>
  <si>
    <t>477 Main St</t>
  </si>
  <si>
    <t>Inez</t>
  </si>
  <si>
    <t>478 Main St</t>
  </si>
  <si>
    <t>Ingrid</t>
  </si>
  <si>
    <t>479 Main St</t>
  </si>
  <si>
    <t>Ira</t>
  </si>
  <si>
    <t>480 Main St</t>
  </si>
  <si>
    <t>Irene</t>
  </si>
  <si>
    <t>481 Main St</t>
  </si>
  <si>
    <t>Iris</t>
  </si>
  <si>
    <t>482 Main St</t>
  </si>
  <si>
    <t>Irma</t>
  </si>
  <si>
    <t>483 Main St</t>
  </si>
  <si>
    <t>Isaac</t>
  </si>
  <si>
    <t>484 Main St</t>
  </si>
  <si>
    <t>Isabel</t>
  </si>
  <si>
    <t>485 Main St</t>
  </si>
  <si>
    <t>Isabella</t>
  </si>
  <si>
    <t>486 Main St</t>
  </si>
  <si>
    <t>Isabelle</t>
  </si>
  <si>
    <t>487 Main St</t>
  </si>
  <si>
    <t>Isadora</t>
  </si>
  <si>
    <t>488 Main St</t>
  </si>
  <si>
    <t>Isaiah</t>
  </si>
  <si>
    <t>489 Main St</t>
  </si>
  <si>
    <t>Isaias</t>
  </si>
  <si>
    <t>490 Main St</t>
  </si>
  <si>
    <t>Isla</t>
  </si>
  <si>
    <t>491 Main St</t>
  </si>
  <si>
    <t>Israel</t>
  </si>
  <si>
    <t>492 Main St</t>
  </si>
  <si>
    <t>Issac</t>
  </si>
  <si>
    <t>493 Main St</t>
  </si>
  <si>
    <t>Ivan</t>
  </si>
  <si>
    <t>494 Main St</t>
  </si>
  <si>
    <t>Ivy</t>
  </si>
  <si>
    <t>495 Main St</t>
  </si>
  <si>
    <t>Izabella</t>
  </si>
  <si>
    <t>496 Main St</t>
  </si>
  <si>
    <t>Jace</t>
  </si>
  <si>
    <t>497 Main St</t>
  </si>
  <si>
    <t>Jack</t>
  </si>
  <si>
    <t>498 Main St</t>
  </si>
  <si>
    <t>Jackie</t>
  </si>
  <si>
    <t>499 Main St</t>
  </si>
  <si>
    <t>Jackson</t>
  </si>
  <si>
    <t>500 Main St</t>
  </si>
  <si>
    <t>Jacob</t>
  </si>
  <si>
    <t>501 Main St</t>
  </si>
  <si>
    <t>Jacquelyn</t>
  </si>
  <si>
    <t>502 Main St</t>
  </si>
  <si>
    <t>Jade</t>
  </si>
  <si>
    <t>503 Main St</t>
  </si>
  <si>
    <t>Jaden</t>
  </si>
  <si>
    <t>504 Main St</t>
  </si>
  <si>
    <t>Jadyn</t>
  </si>
  <si>
    <t>505 Main St</t>
  </si>
  <si>
    <t>Jaelyn</t>
  </si>
  <si>
    <t>506 Main St</t>
  </si>
  <si>
    <t>Jagger</t>
  </si>
  <si>
    <t>507 Main St</t>
  </si>
  <si>
    <t>Jaime</t>
  </si>
  <si>
    <t>508 Main St</t>
  </si>
  <si>
    <t>Jake</t>
  </si>
  <si>
    <t>509 Main St</t>
  </si>
  <si>
    <t>Jakob</t>
  </si>
  <si>
    <t>510 Main St</t>
  </si>
  <si>
    <t>Jamal</t>
  </si>
  <si>
    <t>511 Main St</t>
  </si>
  <si>
    <t>James</t>
  </si>
  <si>
    <t>512 Main St</t>
  </si>
  <si>
    <t>Jameson</t>
  </si>
  <si>
    <t>513 Main St</t>
  </si>
  <si>
    <t>Jamie</t>
  </si>
  <si>
    <t>514 Main St</t>
  </si>
  <si>
    <t>Jamison</t>
  </si>
  <si>
    <t>515 Main St</t>
  </si>
  <si>
    <t>Jan</t>
  </si>
  <si>
    <t>516 Main St</t>
  </si>
  <si>
    <t>Jana</t>
  </si>
  <si>
    <t>517 Main St</t>
  </si>
  <si>
    <t>Janae</t>
  </si>
  <si>
    <t>518 Main St</t>
  </si>
  <si>
    <t>Jane</t>
  </si>
  <si>
    <t>519 Main St</t>
  </si>
  <si>
    <t>Janelle</t>
  </si>
  <si>
    <t>520 Main St</t>
  </si>
  <si>
    <t>Janet</t>
  </si>
  <si>
    <t>521 Main St</t>
  </si>
  <si>
    <t>Janice</t>
  </si>
  <si>
    <t>522 Main St</t>
  </si>
  <si>
    <t>Jared</t>
  </si>
  <si>
    <t>523 Main St</t>
  </si>
  <si>
    <t>Jarrett</t>
  </si>
  <si>
    <t>524 Main St</t>
  </si>
  <si>
    <t>Jarvis</t>
  </si>
  <si>
    <t>525 Main St</t>
  </si>
  <si>
    <t>Jasmin</t>
  </si>
  <si>
    <t>526 Main St</t>
  </si>
  <si>
    <t>Jasmine</t>
  </si>
  <si>
    <t>527 Main St</t>
  </si>
  <si>
    <t>Jason</t>
  </si>
  <si>
    <t>528 Main St</t>
  </si>
  <si>
    <t>Jasper</t>
  </si>
  <si>
    <t>529 Main St</t>
  </si>
  <si>
    <t>Javier</t>
  </si>
  <si>
    <t>530 Main St</t>
  </si>
  <si>
    <t>Jax</t>
  </si>
  <si>
    <t>531 Main St</t>
  </si>
  <si>
    <t>Jaxon</t>
  </si>
  <si>
    <t>532 Main St</t>
  </si>
  <si>
    <t>Jaxson</t>
  </si>
  <si>
    <t>533 Main St</t>
  </si>
  <si>
    <t>Jay</t>
  </si>
  <si>
    <t>534 Main St</t>
  </si>
  <si>
    <t>Jayden</t>
  </si>
  <si>
    <t>535 Main St</t>
  </si>
  <si>
    <t>Jayla</t>
  </si>
  <si>
    <t>536 Main St</t>
  </si>
  <si>
    <t>Jaylen</t>
  </si>
  <si>
    <t>537 Main St</t>
  </si>
  <si>
    <t>Jaylene</t>
  </si>
  <si>
    <t>538 Main St</t>
  </si>
  <si>
    <t>Jazlyn</t>
  </si>
  <si>
    <t>539 Main St</t>
  </si>
  <si>
    <t>Jazmin</t>
  </si>
  <si>
    <t>540 Main St</t>
  </si>
  <si>
    <t>Jazmine</t>
  </si>
  <si>
    <t>541 Main St</t>
  </si>
  <si>
    <t>Jean</t>
  </si>
  <si>
    <t>542 Main St</t>
  </si>
  <si>
    <t>Jeanette</t>
  </si>
  <si>
    <t>543 Main St</t>
  </si>
  <si>
    <t>Jeanne</t>
  </si>
  <si>
    <t>544 Main St</t>
  </si>
  <si>
    <t>Jeannette</t>
  </si>
  <si>
    <t>545 Main St</t>
  </si>
  <si>
    <t>Jeannie</t>
  </si>
  <si>
    <t>546 Main St</t>
  </si>
  <si>
    <t>Jeannine</t>
  </si>
  <si>
    <t>547 Main St</t>
  </si>
  <si>
    <t>Jed</t>
  </si>
  <si>
    <t>548 Main St</t>
  </si>
  <si>
    <t>Jeff</t>
  </si>
  <si>
    <t>549 Main St</t>
  </si>
  <si>
    <t>Jeffery</t>
  </si>
  <si>
    <t>550 Main St</t>
  </si>
  <si>
    <t>Jefferson</t>
  </si>
  <si>
    <t>551 Main St</t>
  </si>
  <si>
    <t>Jeffrey</t>
  </si>
  <si>
    <t>552 Main St</t>
  </si>
  <si>
    <t>Jenna</t>
  </si>
  <si>
    <t>553 Main St</t>
  </si>
  <si>
    <t>Jennifer</t>
  </si>
  <si>
    <t>554 Main St</t>
  </si>
  <si>
    <t>Jenny</t>
  </si>
  <si>
    <t>555 Main St</t>
  </si>
  <si>
    <t>Jeremiah</t>
  </si>
  <si>
    <t>556 Main St</t>
  </si>
  <si>
    <t>Jeremy</t>
  </si>
  <si>
    <t>557 Main St</t>
  </si>
  <si>
    <t>Jeri</t>
  </si>
  <si>
    <t>558 Main St</t>
  </si>
  <si>
    <t>Jericho</t>
  </si>
  <si>
    <t>559 Main St</t>
  </si>
  <si>
    <t>Jerome</t>
  </si>
  <si>
    <t>560 Main St</t>
  </si>
  <si>
    <t>Jerry</t>
  </si>
  <si>
    <t>561 Main St</t>
  </si>
  <si>
    <t>Jess</t>
  </si>
  <si>
    <t>562 Main St</t>
  </si>
  <si>
    <t>Jesse</t>
  </si>
  <si>
    <t>563 Main St</t>
  </si>
  <si>
    <t>Jessica</t>
  </si>
  <si>
    <t>564 Main St</t>
  </si>
  <si>
    <t>Jessie</t>
  </si>
  <si>
    <t>565 Main St</t>
  </si>
  <si>
    <t>Jesus</t>
  </si>
  <si>
    <t>566 Main St</t>
  </si>
  <si>
    <t>Jewel</t>
  </si>
  <si>
    <t>567 Main St</t>
  </si>
  <si>
    <t>Jewell</t>
  </si>
  <si>
    <t>568 Main St</t>
  </si>
  <si>
    <t>Jilian</t>
  </si>
  <si>
    <t>569 Main St</t>
  </si>
  <si>
    <t>Jill</t>
  </si>
  <si>
    <t>570 Main St</t>
  </si>
  <si>
    <t>Jillian</t>
  </si>
  <si>
    <t>571 Main St</t>
  </si>
  <si>
    <t>Jim</t>
  </si>
  <si>
    <t>572 Main St</t>
  </si>
  <si>
    <t>Jimmy</t>
  </si>
  <si>
    <t>573 Main St</t>
  </si>
  <si>
    <t>Joan</t>
  </si>
  <si>
    <t>574 Main St</t>
  </si>
  <si>
    <t>Joanna</t>
  </si>
  <si>
    <t>575 Main St</t>
  </si>
  <si>
    <t>Joanne</t>
  </si>
  <si>
    <t>576 Main St</t>
  </si>
  <si>
    <t>Jocelyn</t>
  </si>
  <si>
    <t>577 Main St</t>
  </si>
  <si>
    <t>Jodi</t>
  </si>
  <si>
    <t>578 Main St</t>
  </si>
  <si>
    <t>Jodie</t>
  </si>
  <si>
    <t>579 Main St</t>
  </si>
  <si>
    <t>Jody</t>
  </si>
  <si>
    <t>580 Main St</t>
  </si>
  <si>
    <t>Joe</t>
  </si>
  <si>
    <t>581 Main St</t>
  </si>
  <si>
    <t>Joel</t>
  </si>
  <si>
    <t>582 Main St</t>
  </si>
  <si>
    <t>Joelle</t>
  </si>
  <si>
    <t>583 Main St</t>
  </si>
  <si>
    <t>Joey</t>
  </si>
  <si>
    <t>584 Main St</t>
  </si>
  <si>
    <t>Johan</t>
  </si>
  <si>
    <t>585 Main St</t>
  </si>
  <si>
    <t>Johanna</t>
  </si>
  <si>
    <t>586 Main St</t>
  </si>
  <si>
    <t>John</t>
  </si>
  <si>
    <t>587 Main St</t>
  </si>
  <si>
    <t>Johnathan</t>
  </si>
  <si>
    <t>588 Main St</t>
  </si>
  <si>
    <t>Johnny</t>
  </si>
  <si>
    <t>589 Main St</t>
  </si>
  <si>
    <t>Jonas</t>
  </si>
  <si>
    <t>590 Main St</t>
  </si>
  <si>
    <t>Jonathan</t>
  </si>
  <si>
    <t>591 Main St</t>
  </si>
  <si>
    <t>Jonathon</t>
  </si>
  <si>
    <t>592 Main St</t>
  </si>
  <si>
    <t>Joni</t>
  </si>
  <si>
    <t>593 Main St</t>
  </si>
  <si>
    <t>Jordan</t>
  </si>
  <si>
    <t>594 Main St</t>
  </si>
  <si>
    <t>Jordyn</t>
  </si>
  <si>
    <t>595 Main St</t>
  </si>
  <si>
    <t>Jorge</t>
  </si>
  <si>
    <t>596 Main St</t>
  </si>
  <si>
    <t>Jose</t>
  </si>
  <si>
    <t>597 Main St</t>
  </si>
  <si>
    <t>Joseph</t>
  </si>
  <si>
    <t>598 Main St</t>
  </si>
  <si>
    <t>Josephine</t>
  </si>
  <si>
    <t>599 Main St</t>
  </si>
  <si>
    <t>Josh</t>
  </si>
  <si>
    <t>600 Main St</t>
  </si>
  <si>
    <t>Joshua</t>
  </si>
  <si>
    <t>601 Main St</t>
  </si>
  <si>
    <t>Josiah</t>
  </si>
  <si>
    <t>602 Main St</t>
  </si>
  <si>
    <t>Josie</t>
  </si>
  <si>
    <t>603 Main St</t>
  </si>
  <si>
    <t>Joy</t>
  </si>
  <si>
    <t>604 Main St</t>
  </si>
  <si>
    <t>Joyce</t>
  </si>
  <si>
    <t>605 Main St</t>
  </si>
  <si>
    <t>Juan</t>
  </si>
  <si>
    <t>606 Main St</t>
  </si>
  <si>
    <t>Juanita</t>
  </si>
  <si>
    <t>607 Main St</t>
  </si>
  <si>
    <t>Judah</t>
  </si>
  <si>
    <t>608 Main St</t>
  </si>
  <si>
    <t>Jude</t>
  </si>
  <si>
    <t>609 Main St</t>
  </si>
  <si>
    <t>Judith</t>
  </si>
  <si>
    <t>610 Main St</t>
  </si>
  <si>
    <t>Judy</t>
  </si>
  <si>
    <t>611 Main St</t>
  </si>
  <si>
    <t>Julia</t>
  </si>
  <si>
    <t>612 Main St</t>
  </si>
  <si>
    <t>Julian</t>
  </si>
  <si>
    <t>613 Main St</t>
  </si>
  <si>
    <t>Juliana</t>
  </si>
  <si>
    <t>614 Main St</t>
  </si>
  <si>
    <t>Julianna</t>
  </si>
  <si>
    <t>615 Main St</t>
  </si>
  <si>
    <t>Julianne</t>
  </si>
  <si>
    <t>616 Main St</t>
  </si>
  <si>
    <t>Julie</t>
  </si>
  <si>
    <t>617 Main St</t>
  </si>
  <si>
    <t>Juliet</t>
  </si>
  <si>
    <t>618 Main St</t>
  </si>
  <si>
    <t>Juliette</t>
  </si>
  <si>
    <t>619 Main St</t>
  </si>
  <si>
    <t>Julio</t>
  </si>
  <si>
    <t>620 Main St</t>
  </si>
  <si>
    <t>June</t>
  </si>
  <si>
    <t>621 Main St</t>
  </si>
  <si>
    <t>Junior</t>
  </si>
  <si>
    <t>622 Main St</t>
  </si>
  <si>
    <t>Justin</t>
  </si>
  <si>
    <t>623 Main St</t>
  </si>
  <si>
    <t>Justine</t>
  </si>
  <si>
    <t>624 Main St</t>
  </si>
  <si>
    <t>Kaden</t>
  </si>
  <si>
    <t>625 Main St</t>
  </si>
  <si>
    <t>Kai</t>
  </si>
  <si>
    <t>626 Main St</t>
  </si>
  <si>
    <t>Kaiden</t>
  </si>
  <si>
    <t>627 Main St</t>
  </si>
  <si>
    <t>Kaitlin</t>
  </si>
  <si>
    <t>628 Main St</t>
  </si>
  <si>
    <t>Kaitlyn</t>
  </si>
  <si>
    <t>629 Main St</t>
  </si>
  <si>
    <t>Kala</t>
  </si>
  <si>
    <t>630 Main St</t>
  </si>
  <si>
    <t>Kale</t>
  </si>
  <si>
    <t>631 Main St</t>
  </si>
  <si>
    <t>Kaleb</t>
  </si>
  <si>
    <t>632 Main St</t>
  </si>
  <si>
    <t>Kaleigh</t>
  </si>
  <si>
    <t>633 Main St</t>
  </si>
  <si>
    <t>Kali</t>
  </si>
  <si>
    <t>634 Main St</t>
  </si>
  <si>
    <t>Kallie</t>
  </si>
  <si>
    <t>635 Main St</t>
  </si>
  <si>
    <t>Kamryn</t>
  </si>
  <si>
    <t>636 Main St</t>
  </si>
  <si>
    <t>Kane</t>
  </si>
  <si>
    <t>637 Main St</t>
  </si>
  <si>
    <t>Kara</t>
  </si>
  <si>
    <t>638 Main St</t>
  </si>
  <si>
    <t>Karen</t>
  </si>
  <si>
    <t>639 Main St</t>
  </si>
  <si>
    <t>Kari</t>
  </si>
  <si>
    <t>640 Main St</t>
  </si>
  <si>
    <t>Karina</t>
  </si>
  <si>
    <t>641 Main St</t>
  </si>
  <si>
    <t>Karl</t>
  </si>
  <si>
    <t>642 Main St</t>
  </si>
  <si>
    <t>Karla</t>
  </si>
  <si>
    <t>643 Main St</t>
  </si>
  <si>
    <t>Karlee</t>
  </si>
  <si>
    <t>644 Main St</t>
  </si>
  <si>
    <t>Karlie</t>
  </si>
  <si>
    <t>645 Main St</t>
  </si>
  <si>
    <t>Karol</t>
  </si>
  <si>
    <t>646 Main St</t>
  </si>
  <si>
    <t>Karson</t>
  </si>
  <si>
    <t>647 Main St</t>
  </si>
  <si>
    <t>Kasey</t>
  </si>
  <si>
    <t>648 Main St</t>
  </si>
  <si>
    <t>Kash</t>
  </si>
  <si>
    <t>649 Main St</t>
  </si>
  <si>
    <t>Kate</t>
  </si>
  <si>
    <t>650 Main St</t>
  </si>
  <si>
    <t>Katelyn</t>
  </si>
  <si>
    <t>651 Main St</t>
  </si>
  <si>
    <t>Katherine</t>
  </si>
  <si>
    <t>652 Main St</t>
  </si>
  <si>
    <t>Kathleen</t>
  </si>
  <si>
    <t>653 Main St</t>
  </si>
  <si>
    <t>Kathryn</t>
  </si>
  <si>
    <t>654 Main St</t>
  </si>
  <si>
    <t>Kathy</t>
  </si>
  <si>
    <t>655 Main St</t>
  </si>
  <si>
    <t>Katie</t>
  </si>
  <si>
    <t>656 Main St</t>
  </si>
  <si>
    <t>Katlyn</t>
  </si>
  <si>
    <t>657 Main St</t>
  </si>
  <si>
    <t>Katrina</t>
  </si>
  <si>
    <t>658 Main St</t>
  </si>
  <si>
    <t>Kay</t>
  </si>
  <si>
    <t>659 Main St</t>
  </si>
  <si>
    <t>Kayden</t>
  </si>
  <si>
    <t>660 Main St</t>
  </si>
  <si>
    <t>Kayla</t>
  </si>
  <si>
    <t>661 Main St</t>
  </si>
  <si>
    <t>Kaylee</t>
  </si>
  <si>
    <t>662 Main St</t>
  </si>
  <si>
    <t>Kayleigh</t>
  </si>
  <si>
    <t>663 Main St</t>
  </si>
  <si>
    <t>Kaylen</t>
  </si>
  <si>
    <t>664 Main St</t>
  </si>
  <si>
    <t>Kayley</t>
  </si>
  <si>
    <t>665 Main St</t>
  </si>
  <si>
    <t>Keegan</t>
  </si>
  <si>
    <t>666 Main St</t>
  </si>
  <si>
    <t>Keely</t>
  </si>
  <si>
    <t>667 Main St</t>
  </si>
  <si>
    <t>Keira</t>
  </si>
  <si>
    <t>668 Main St</t>
  </si>
  <si>
    <t>Keith</t>
  </si>
  <si>
    <t>669 Main St</t>
  </si>
  <si>
    <t>Kellen</t>
  </si>
  <si>
    <t>670 Main St</t>
  </si>
  <si>
    <t>Kelly</t>
  </si>
  <si>
    <t>671 Main St</t>
  </si>
  <si>
    <t>Kelvin</t>
  </si>
  <si>
    <t>672 Main St</t>
  </si>
  <si>
    <t>Kelsey</t>
  </si>
  <si>
    <t>673 Main St</t>
  </si>
  <si>
    <t>Kendall</t>
  </si>
  <si>
    <t>674 Main St</t>
  </si>
  <si>
    <t>Kendra</t>
  </si>
  <si>
    <t>675 Main St</t>
  </si>
  <si>
    <t>Kenley</t>
  </si>
  <si>
    <t>676 Main St</t>
  </si>
  <si>
    <t>Kenna</t>
  </si>
  <si>
    <t>677 Main St</t>
  </si>
  <si>
    <t>Kenneth</t>
  </si>
  <si>
    <t>678 Main St</t>
  </si>
  <si>
    <t>Kenny</t>
  </si>
  <si>
    <t>679 Main St</t>
  </si>
  <si>
    <t>Kent</t>
  </si>
  <si>
    <t>680 Main St</t>
  </si>
  <si>
    <t>Kenya</t>
  </si>
  <si>
    <t>681 Main St</t>
  </si>
  <si>
    <t>Keri</t>
  </si>
  <si>
    <t>682 Main St</t>
  </si>
  <si>
    <t>Kerrigan</t>
  </si>
  <si>
    <t>683 Main St</t>
  </si>
  <si>
    <t>Kerry</t>
  </si>
  <si>
    <t>684 Main St</t>
  </si>
  <si>
    <t>Kevin</t>
  </si>
  <si>
    <t>685 Main St</t>
  </si>
  <si>
    <t>Khloe</t>
  </si>
  <si>
    <t>686 Main St</t>
  </si>
  <si>
    <t>Kia</t>
  </si>
  <si>
    <t>687 Main St</t>
  </si>
  <si>
    <t>Kian</t>
  </si>
  <si>
    <t>688 Main St</t>
  </si>
  <si>
    <t>Kiera</t>
  </si>
  <si>
    <t>689 Main St</t>
  </si>
  <si>
    <t>Kieran</t>
  </si>
  <si>
    <t>690 Main St</t>
  </si>
  <si>
    <t>Kiley</t>
  </si>
  <si>
    <t>691 Main St</t>
  </si>
  <si>
    <t>Killian</t>
  </si>
  <si>
    <t>692 Main St</t>
  </si>
  <si>
    <t>Kim</t>
  </si>
  <si>
    <t>693 Main St</t>
  </si>
  <si>
    <t>Kimberly</t>
  </si>
  <si>
    <t>694 Main St</t>
  </si>
  <si>
    <t>King</t>
  </si>
  <si>
    <t>695 Main St</t>
  </si>
  <si>
    <t>Kingston</t>
  </si>
  <si>
    <t>696 Main St</t>
  </si>
  <si>
    <t>Kinley</t>
  </si>
  <si>
    <t>697 Main St</t>
  </si>
  <si>
    <t>Kip</t>
  </si>
  <si>
    <t>698 Main St</t>
  </si>
  <si>
    <t>Kira</t>
  </si>
  <si>
    <t>699 Main St</t>
  </si>
  <si>
    <t>Kirk</t>
  </si>
  <si>
    <t>700 Main St</t>
  </si>
  <si>
    <t>Kit</t>
  </si>
  <si>
    <t>701 Main St</t>
  </si>
  <si>
    <t>Kiya</t>
  </si>
  <si>
    <t>702 Main St</t>
  </si>
  <si>
    <t>Knox</t>
  </si>
  <si>
    <t>703 Main St</t>
  </si>
  <si>
    <t>Kolby</t>
  </si>
  <si>
    <t>704 Main St</t>
  </si>
  <si>
    <t>Kora</t>
  </si>
  <si>
    <t>705 Main St</t>
  </si>
  <si>
    <t>Korbin</t>
  </si>
  <si>
    <t>706 Main St</t>
  </si>
  <si>
    <t>Korey</t>
  </si>
  <si>
    <t>707 Main St</t>
  </si>
  <si>
    <t>Kory</t>
  </si>
  <si>
    <t>708 Main St</t>
  </si>
  <si>
    <t>Kourtney</t>
  </si>
  <si>
    <t>709 Main St</t>
  </si>
  <si>
    <t>Krista</t>
  </si>
  <si>
    <t>710 Main St</t>
  </si>
  <si>
    <t>Kristan</t>
  </si>
  <si>
    <t>711 Main St</t>
  </si>
  <si>
    <t>Kristen</t>
  </si>
  <si>
    <t>712 Main St</t>
  </si>
  <si>
    <t>Kristi</t>
  </si>
  <si>
    <t>713 Main St</t>
  </si>
  <si>
    <t>Kristie</t>
  </si>
  <si>
    <t>714 Main St</t>
  </si>
  <si>
    <t>Kristin</t>
  </si>
  <si>
    <t>715 Main St</t>
  </si>
  <si>
    <t>Kristina</t>
  </si>
  <si>
    <t>716 Main St</t>
  </si>
  <si>
    <t>Kristine</t>
  </si>
  <si>
    <t>717 Main St</t>
  </si>
  <si>
    <t>Kristy</t>
  </si>
  <si>
    <t>718 Main St</t>
  </si>
  <si>
    <t>Krystal</t>
  </si>
  <si>
    <t>719 Main St</t>
  </si>
  <si>
    <t>Kya</t>
  </si>
  <si>
    <t>720 Main St</t>
  </si>
  <si>
    <t>Kyla</t>
  </si>
  <si>
    <t>721 Main St</t>
  </si>
  <si>
    <t>Kylie</t>
  </si>
  <si>
    <t>722 Main St</t>
  </si>
  <si>
    <t>Kyra</t>
  </si>
  <si>
    <t>723 Main St</t>
  </si>
  <si>
    <t>Lacey</t>
  </si>
  <si>
    <t>724 Main St</t>
  </si>
  <si>
    <t>Lachlan</t>
  </si>
  <si>
    <t>725 Main St</t>
  </si>
  <si>
    <t>Lacy</t>
  </si>
  <si>
    <t>726 Main St</t>
  </si>
  <si>
    <t>Laila</t>
  </si>
  <si>
    <t>727 Main St</t>
  </si>
  <si>
    <t>Lamar</t>
  </si>
  <si>
    <t>728 Main St</t>
  </si>
  <si>
    <t>Lana</t>
  </si>
  <si>
    <t>729 Main St</t>
  </si>
  <si>
    <t>Lance</t>
  </si>
  <si>
    <t>730 Main St</t>
  </si>
  <si>
    <t>Landon</t>
  </si>
  <si>
    <t>731 Main St</t>
  </si>
  <si>
    <t>Lane</t>
  </si>
  <si>
    <t>732 Main St</t>
  </si>
  <si>
    <t>Laney</t>
  </si>
  <si>
    <t>733 Main St</t>
  </si>
  <si>
    <t>Lara</t>
  </si>
  <si>
    <t>734 Main St</t>
  </si>
  <si>
    <t>Larry</t>
  </si>
  <si>
    <t>735 Main St</t>
  </si>
  <si>
    <t>Lars</t>
  </si>
  <si>
    <t>736 Main St</t>
  </si>
  <si>
    <t>Laurel</t>
  </si>
  <si>
    <t>737 Main St</t>
  </si>
  <si>
    <t>Lauren</t>
  </si>
  <si>
    <t>738 Main St</t>
  </si>
  <si>
    <t>Laurie</t>
  </si>
  <si>
    <t>739 Main St</t>
  </si>
  <si>
    <t>Lawson</t>
  </si>
  <si>
    <t>740 Main St</t>
  </si>
  <si>
    <t>Layla</t>
  </si>
  <si>
    <t>741 Main St</t>
  </si>
  <si>
    <t>Lea</t>
  </si>
  <si>
    <t>742 Main St</t>
  </si>
  <si>
    <t>Leah</t>
  </si>
  <si>
    <t>743 Main St</t>
  </si>
  <si>
    <t>Leann</t>
  </si>
  <si>
    <t>744 Main St</t>
  </si>
  <si>
    <t>Leanna</t>
  </si>
  <si>
    <t>745 Main St</t>
  </si>
  <si>
    <t>Leanne</t>
  </si>
  <si>
    <t>746 Main St</t>
  </si>
  <si>
    <t>Lee</t>
  </si>
  <si>
    <t>747 Main St</t>
  </si>
  <si>
    <t>Leif</t>
  </si>
  <si>
    <t>748 Main St</t>
  </si>
  <si>
    <t>Leigh</t>
  </si>
  <si>
    <t>749 Main St</t>
  </si>
  <si>
    <t>Leila</t>
  </si>
  <si>
    <t>750 Main St</t>
  </si>
  <si>
    <t>Lena</t>
  </si>
  <si>
    <t>751 Main St</t>
  </si>
  <si>
    <t>Lennox</t>
  </si>
  <si>
    <t>752 Main St</t>
  </si>
  <si>
    <t>Leo</t>
  </si>
  <si>
    <t>753 Main St</t>
  </si>
  <si>
    <t>Leon</t>
  </si>
  <si>
    <t>754 Main St</t>
  </si>
  <si>
    <t>Leonard</t>
  </si>
  <si>
    <t>755 Main St</t>
  </si>
  <si>
    <t>Leonel</t>
  </si>
  <si>
    <t>756 Main St</t>
  </si>
  <si>
    <t>Leonidas</t>
  </si>
  <si>
    <t>757 Main St</t>
  </si>
  <si>
    <t>Leroy</t>
  </si>
  <si>
    <t>758 Main St</t>
  </si>
  <si>
    <t>Lesley</t>
  </si>
  <si>
    <t>759 Main St</t>
  </si>
  <si>
    <t>Leslie</t>
  </si>
  <si>
    <t>760 Main St</t>
  </si>
  <si>
    <t>Lester</t>
  </si>
  <si>
    <t>761 Main St</t>
  </si>
  <si>
    <t>Levi</t>
  </si>
  <si>
    <t>762 Main St</t>
  </si>
  <si>
    <t>Lexi</t>
  </si>
  <si>
    <t>763 Main St</t>
  </si>
  <si>
    <t>Lexie</t>
  </si>
  <si>
    <t>764 Main St</t>
  </si>
  <si>
    <t>Lia</t>
  </si>
  <si>
    <t>765 Main St</t>
  </si>
  <si>
    <t>Liana</t>
  </si>
  <si>
    <t>766 Main St</t>
  </si>
  <si>
    <t>Lianne</t>
  </si>
  <si>
    <t>767 Main St</t>
  </si>
  <si>
    <t>Libby</t>
  </si>
  <si>
    <t>768 Main St</t>
  </si>
  <si>
    <t>Lila</t>
  </si>
  <si>
    <t>769 Main St</t>
  </si>
  <si>
    <t>Lili</t>
  </si>
  <si>
    <t>770 Main St</t>
  </si>
  <si>
    <t>Lilia</t>
  </si>
  <si>
    <t>771 Main St</t>
  </si>
  <si>
    <t>Lillian</t>
  </si>
  <si>
    <t>772 Main St</t>
  </si>
  <si>
    <t>Lilliana</t>
  </si>
  <si>
    <t>773 Main St</t>
  </si>
  <si>
    <t>Lillie</t>
  </si>
  <si>
    <t>774 Main St</t>
  </si>
  <si>
    <t>Lilly</t>
  </si>
  <si>
    <t>775 Main St</t>
  </si>
  <si>
    <t>Lily</t>
  </si>
  <si>
    <t>776 Main St</t>
  </si>
  <si>
    <t>Lina</t>
  </si>
  <si>
    <t>777 Main St</t>
  </si>
  <si>
    <t>Lincoln</t>
  </si>
  <si>
    <t>778 Main St</t>
  </si>
  <si>
    <t>Linda</t>
  </si>
  <si>
    <t>779 Main St</t>
  </si>
  <si>
    <t>Lindsay</t>
  </si>
  <si>
    <t>780 Main St</t>
  </si>
  <si>
    <t>Lindsey</t>
  </si>
  <si>
    <t>781 Main St</t>
  </si>
  <si>
    <t>Lisa</t>
  </si>
  <si>
    <t>782 Main St</t>
  </si>
  <si>
    <t>Lisette</t>
  </si>
  <si>
    <t>783 Main St</t>
  </si>
  <si>
    <t>Livia</t>
  </si>
  <si>
    <t>784 Main St</t>
  </si>
  <si>
    <t>Liz</t>
  </si>
  <si>
    <t>785 Main St</t>
  </si>
  <si>
    <t>Liza</t>
  </si>
  <si>
    <t>786 Main St</t>
  </si>
  <si>
    <t>Lizbeth</t>
  </si>
  <si>
    <t>787 Main St</t>
  </si>
  <si>
    <t>Lizette</t>
  </si>
  <si>
    <t>788 Main St</t>
  </si>
  <si>
    <t>Lizzie</t>
  </si>
  <si>
    <t>789 Main St</t>
  </si>
  <si>
    <t>Lloyd</t>
  </si>
  <si>
    <t>790 Main St</t>
  </si>
  <si>
    <t>Logan</t>
  </si>
  <si>
    <t>791 Main St</t>
  </si>
  <si>
    <t>Lois</t>
  </si>
  <si>
    <t>792 Main St</t>
  </si>
  <si>
    <t>Lola</t>
  </si>
  <si>
    <t>793 Main St</t>
  </si>
  <si>
    <t>794 Main St</t>
  </si>
  <si>
    <t>Lonnie</t>
  </si>
  <si>
    <t>795 Main St</t>
  </si>
  <si>
    <t>Lorelai</t>
  </si>
  <si>
    <t>796 Main St</t>
  </si>
  <si>
    <t>Lorelei</t>
  </si>
  <si>
    <t>797 Main St</t>
  </si>
  <si>
    <t>Lorena</t>
  </si>
  <si>
    <t>798 Main St</t>
  </si>
  <si>
    <t>Lorenzo</t>
  </si>
  <si>
    <t>799 Main St</t>
  </si>
  <si>
    <t>Lori</t>
  </si>
  <si>
    <t>800 Main St</t>
  </si>
  <si>
    <t>Lorna</t>
  </si>
  <si>
    <t>801 Main St</t>
  </si>
  <si>
    <t>Lorraine</t>
  </si>
  <si>
    <t>802 Main St</t>
  </si>
  <si>
    <t>Lottie</t>
  </si>
  <si>
    <t>803 Main St</t>
  </si>
  <si>
    <t>Lou</t>
  </si>
  <si>
    <t>804 Main St</t>
  </si>
  <si>
    <t>Louisa</t>
  </si>
  <si>
    <t>805 Main St</t>
  </si>
  <si>
    <t>Louise</t>
  </si>
  <si>
    <t>806 Main St</t>
  </si>
  <si>
    <t>Lourdes</t>
  </si>
  <si>
    <t>807 Main St</t>
  </si>
  <si>
    <t>Lowell</t>
  </si>
  <si>
    <t>808 Main St</t>
  </si>
  <si>
    <t>Lucas</t>
  </si>
  <si>
    <t>809 Main St</t>
  </si>
  <si>
    <t>Luciana</t>
  </si>
  <si>
    <t>810 Main St</t>
  </si>
  <si>
    <t>Lucille</t>
  </si>
  <si>
    <t>811 Main St</t>
  </si>
  <si>
    <t>Lucinda</t>
  </si>
  <si>
    <t>812 Main St</t>
  </si>
  <si>
    <t>Lucia</t>
  </si>
  <si>
    <t>813 Main St</t>
  </si>
  <si>
    <t>Lucius</t>
  </si>
  <si>
    <t>814 Main St</t>
  </si>
  <si>
    <t>Lucky</t>
  </si>
  <si>
    <t>815 Main St</t>
  </si>
  <si>
    <t>Luisa</t>
  </si>
  <si>
    <t>816 Main St</t>
  </si>
  <si>
    <t>Luke</t>
  </si>
  <si>
    <t>817 Main St</t>
  </si>
  <si>
    <t>Luna</t>
  </si>
  <si>
    <t>818 Main St</t>
  </si>
  <si>
    <t>Luther</t>
  </si>
  <si>
    <t>819 Main St</t>
  </si>
  <si>
    <t>Lydia</t>
  </si>
  <si>
    <t>820 Main St</t>
  </si>
  <si>
    <t>Lynette</t>
  </si>
  <si>
    <t>821 Main St</t>
  </si>
  <si>
    <t>Lynn</t>
  </si>
  <si>
    <t>822 Main St</t>
  </si>
  <si>
    <t>Lynne</t>
  </si>
  <si>
    <t>823 Main St</t>
  </si>
  <si>
    <t>Lyric</t>
  </si>
  <si>
    <t>824 Main St</t>
  </si>
  <si>
    <t>Mabel</t>
  </si>
  <si>
    <t>825 Main St</t>
  </si>
  <si>
    <t>Mac</t>
  </si>
  <si>
    <t>826 Main St</t>
  </si>
  <si>
    <t>Mack</t>
  </si>
  <si>
    <t>827 Main St</t>
  </si>
  <si>
    <t>Mackenzie</t>
  </si>
  <si>
    <t>828 Main St</t>
  </si>
  <si>
    <t>Macy</t>
  </si>
  <si>
    <t>829 Main St</t>
  </si>
  <si>
    <t>Maddie</t>
  </si>
  <si>
    <t>830 Main St</t>
  </si>
  <si>
    <t>Maddox</t>
  </si>
  <si>
    <t>831 Main St</t>
  </si>
  <si>
    <t>Madeline</t>
  </si>
  <si>
    <t>832 Main St</t>
  </si>
  <si>
    <t>Madelyn</t>
  </si>
  <si>
    <t>833 Main St</t>
  </si>
  <si>
    <t>Madison</t>
  </si>
  <si>
    <t>834 Main St</t>
  </si>
  <si>
    <t>Mae</t>
  </si>
  <si>
    <t>835 Main St</t>
  </si>
  <si>
    <t>Maeve</t>
  </si>
  <si>
    <t>836 Main St</t>
  </si>
  <si>
    <t>Maggie</t>
  </si>
  <si>
    <t>837 Main St</t>
  </si>
  <si>
    <t>Magnolia</t>
  </si>
  <si>
    <t>838 Main St</t>
  </si>
  <si>
    <t>Mahmoud</t>
  </si>
  <si>
    <t>839 Main St</t>
  </si>
  <si>
    <t>Mai</t>
  </si>
  <si>
    <t>840 Main St</t>
  </si>
  <si>
    <t>Maisie</t>
  </si>
  <si>
    <t>841 Main St</t>
  </si>
  <si>
    <t>Major</t>
  </si>
  <si>
    <t>842 Main St</t>
  </si>
  <si>
    <t>Makayla</t>
  </si>
  <si>
    <t>843 Main St</t>
  </si>
  <si>
    <t>Malcolm</t>
  </si>
  <si>
    <t>844 Main St</t>
  </si>
  <si>
    <t>Mallory</t>
  </si>
  <si>
    <t>845 Main St</t>
  </si>
  <si>
    <t>Mandy</t>
  </si>
  <si>
    <t>846 Main St</t>
  </si>
  <si>
    <t>Manuel</t>
  </si>
  <si>
    <t>847 Main St</t>
  </si>
  <si>
    <t>Marc</t>
  </si>
  <si>
    <t>848 Main St</t>
  </si>
  <si>
    <t>Marcel</t>
  </si>
  <si>
    <t>849 Main St</t>
  </si>
  <si>
    <t>Marcia</t>
  </si>
  <si>
    <t>850 Main St</t>
  </si>
  <si>
    <t>Marco</t>
  </si>
  <si>
    <t>851 Main St</t>
  </si>
  <si>
    <t>Marcus</t>
  </si>
  <si>
    <t>852 Main St</t>
  </si>
  <si>
    <t>Marcy</t>
  </si>
  <si>
    <t>853 Main St</t>
  </si>
  <si>
    <t>Margaret</t>
  </si>
  <si>
    <t>854 Main St</t>
  </si>
  <si>
    <t>Margarita</t>
  </si>
  <si>
    <t>855 Main St</t>
  </si>
  <si>
    <t>Margo</t>
  </si>
  <si>
    <t>856 Main St</t>
  </si>
  <si>
    <t>Margot</t>
  </si>
  <si>
    <t>857 Main St</t>
  </si>
  <si>
    <t>Maria</t>
  </si>
  <si>
    <t>858 Main St</t>
  </si>
  <si>
    <t>Marian</t>
  </si>
  <si>
    <t>859 Main St</t>
  </si>
  <si>
    <t>Mariana</t>
  </si>
  <si>
    <t>860 Main St</t>
  </si>
  <si>
    <t>Maribel</t>
  </si>
  <si>
    <t>861 Main St</t>
  </si>
  <si>
    <t>Marie</t>
  </si>
  <si>
    <t>862 Main St</t>
  </si>
  <si>
    <t>Mariel</t>
  </si>
  <si>
    <t>863 Main St</t>
  </si>
  <si>
    <t>Marigold</t>
  </si>
  <si>
    <t>864 Main St</t>
  </si>
  <si>
    <t>Marilyn</t>
  </si>
  <si>
    <t>865 Main St</t>
  </si>
  <si>
    <t>Marina</t>
  </si>
  <si>
    <t>866 Main St</t>
  </si>
  <si>
    <t>Mario</t>
  </si>
  <si>
    <t>867 Main St</t>
  </si>
  <si>
    <t>Marisa</t>
  </si>
  <si>
    <t>868 Main St</t>
  </si>
  <si>
    <t>Marisol</t>
  </si>
  <si>
    <t>869 Main St</t>
  </si>
  <si>
    <t>Marissa</t>
  </si>
  <si>
    <t>870 Main St</t>
  </si>
  <si>
    <t>Marjorie</t>
  </si>
  <si>
    <t>871 Main St</t>
  </si>
  <si>
    <t>Mark</t>
  </si>
  <si>
    <t>872 Main St</t>
  </si>
  <si>
    <t>Marla</t>
  </si>
  <si>
    <t>873 Main St</t>
  </si>
  <si>
    <t>Marlene</t>
  </si>
  <si>
    <t>874 Main St</t>
  </si>
  <si>
    <t>Marlin</t>
  </si>
  <si>
    <t>875 Main St</t>
  </si>
  <si>
    <t>Marley</t>
  </si>
  <si>
    <t>876 Main St</t>
  </si>
  <si>
    <t>Marlo</t>
  </si>
  <si>
    <t>877 Main St</t>
  </si>
  <si>
    <t>Marlon</t>
  </si>
  <si>
    <t>878 Main St</t>
  </si>
  <si>
    <t>Marsha</t>
  </si>
  <si>
    <t>879 Main St</t>
  </si>
  <si>
    <t>Martha</t>
  </si>
  <si>
    <t>880 Main St</t>
  </si>
  <si>
    <t>Martin</t>
  </si>
  <si>
    <t>881 Main St</t>
  </si>
  <si>
    <t>Martina</t>
  </si>
  <si>
    <t>882 Main St</t>
  </si>
  <si>
    <t>Marty</t>
  </si>
  <si>
    <t>883 Main St</t>
  </si>
  <si>
    <t>Marvin</t>
  </si>
  <si>
    <t>884 Main St</t>
  </si>
  <si>
    <t>Mary</t>
  </si>
  <si>
    <t>885 Main St</t>
  </si>
  <si>
    <t>Maryann</t>
  </si>
  <si>
    <t>886 Main St</t>
  </si>
  <si>
    <t>Mat</t>
  </si>
  <si>
    <t>887 Main St</t>
  </si>
  <si>
    <t>Mateo</t>
  </si>
  <si>
    <t>888 Main St</t>
  </si>
  <si>
    <t>Mathew</t>
  </si>
  <si>
    <t>889 Main St</t>
  </si>
  <si>
    <t>Mathilda</t>
  </si>
  <si>
    <t>890 Main St</t>
  </si>
  <si>
    <t>Mathilde</t>
  </si>
  <si>
    <t>891 Main St</t>
  </si>
  <si>
    <t>Matilda</t>
  </si>
  <si>
    <t>892 Main St</t>
  </si>
  <si>
    <t>Matt</t>
  </si>
  <si>
    <t>893 Main St</t>
  </si>
  <si>
    <t>Matthew</t>
  </si>
  <si>
    <t>894 Main St</t>
  </si>
  <si>
    <t>Mattie</t>
  </si>
  <si>
    <t>895 Main St</t>
  </si>
  <si>
    <t>Maureen</t>
  </si>
  <si>
    <t>896 Main St</t>
  </si>
  <si>
    <t>Maverick</t>
  </si>
  <si>
    <t>897 Main St</t>
  </si>
  <si>
    <t>Max</t>
  </si>
  <si>
    <t>898 Main St</t>
  </si>
  <si>
    <t>Maximus</t>
  </si>
  <si>
    <t>899 Main St</t>
  </si>
  <si>
    <t>Maxwell</t>
  </si>
  <si>
    <t>900 Main St</t>
  </si>
  <si>
    <t>May</t>
  </si>
  <si>
    <t>901 Main St</t>
  </si>
  <si>
    <t>Maya</t>
  </si>
  <si>
    <t>902 Main St</t>
  </si>
  <si>
    <t>Mayson</t>
  </si>
  <si>
    <t>903 Main St</t>
  </si>
  <si>
    <t>Meagan</t>
  </si>
  <si>
    <t>904 Main St</t>
  </si>
  <si>
    <t>Meadow</t>
  </si>
  <si>
    <t>905 Main St</t>
  </si>
  <si>
    <t>Meg</t>
  </si>
  <si>
    <t>906 Main St</t>
  </si>
  <si>
    <t>Megan</t>
  </si>
  <si>
    <t>907 Main St</t>
  </si>
  <si>
    <t>Melanie</t>
  </si>
  <si>
    <t>908 Main St</t>
  </si>
  <si>
    <t>Melinda</t>
  </si>
  <si>
    <t>909 Main St</t>
  </si>
  <si>
    <t>Melissa</t>
  </si>
  <si>
    <t>910 Main St</t>
  </si>
  <si>
    <t>Melody</t>
  </si>
  <si>
    <t>911 Main St</t>
  </si>
  <si>
    <t>Melvin</t>
  </si>
  <si>
    <t>912 Main St</t>
  </si>
  <si>
    <t>Mercedes</t>
  </si>
  <si>
    <t>913 Main St</t>
  </si>
  <si>
    <t>Meredith</t>
  </si>
  <si>
    <t>914 Main St</t>
  </si>
  <si>
    <t>Merlin</t>
  </si>
  <si>
    <t>915 Main St</t>
  </si>
  <si>
    <t>Meryl</t>
  </si>
  <si>
    <t>916 Main St</t>
  </si>
  <si>
    <t>Micah</t>
  </si>
  <si>
    <t>917 Main St</t>
  </si>
  <si>
    <t>Michael</t>
  </si>
  <si>
    <t>918 Main St</t>
  </si>
  <si>
    <t>Michaela</t>
  </si>
  <si>
    <t>919 Main St</t>
  </si>
  <si>
    <t>Michele</t>
  </si>
  <si>
    <t>920 Main St</t>
  </si>
  <si>
    <t>Michelle</t>
  </si>
  <si>
    <t>921 Main St</t>
  </si>
  <si>
    <t>Mick</t>
  </si>
  <si>
    <t>922 Main St</t>
  </si>
  <si>
    <t>Mickey</t>
  </si>
  <si>
    <t>923 Main St</t>
  </si>
  <si>
    <t>Miguel</t>
  </si>
  <si>
    <t>924 Main St</t>
  </si>
  <si>
    <t>Mika</t>
  </si>
  <si>
    <t>925 Main St</t>
  </si>
  <si>
    <t>Mikel</t>
  </si>
  <si>
    <t>926 Main St</t>
  </si>
  <si>
    <t>Mikhail</t>
  </si>
  <si>
    <t>927 Main St</t>
  </si>
  <si>
    <t>Mila</t>
  </si>
  <si>
    <t>928 Main St</t>
  </si>
  <si>
    <t>Milan</t>
  </si>
  <si>
    <t>929 Main St</t>
  </si>
  <si>
    <t>Milena</t>
  </si>
  <si>
    <t>930 Main St</t>
  </si>
  <si>
    <t>Miles</t>
  </si>
  <si>
    <t>931 Main St</t>
  </si>
  <si>
    <t>Millie</t>
  </si>
  <si>
    <t>932 Main St</t>
  </si>
  <si>
    <t>Milo</t>
  </si>
  <si>
    <t>933 Main St</t>
  </si>
  <si>
    <t>Milton</t>
  </si>
  <si>
    <t>934 Main St</t>
  </si>
  <si>
    <t>Mimi</t>
  </si>
  <si>
    <t>935 Main St</t>
  </si>
  <si>
    <t>Mina</t>
  </si>
  <si>
    <t>936 Main St</t>
  </si>
  <si>
    <t>Mindy</t>
  </si>
  <si>
    <t>937 Main St</t>
  </si>
  <si>
    <t>Minnie</t>
  </si>
  <si>
    <t>938 Main St</t>
  </si>
  <si>
    <t>Mira</t>
  </si>
  <si>
    <t>939 Main St</t>
  </si>
  <si>
    <t>Miranda</t>
  </si>
  <si>
    <t>940 Main St</t>
  </si>
  <si>
    <t>Miriam</t>
  </si>
  <si>
    <t>941 Main St</t>
  </si>
  <si>
    <t>Missy</t>
  </si>
  <si>
    <t>942 Main St</t>
  </si>
  <si>
    <t>Misty</t>
  </si>
  <si>
    <t>943 Main St</t>
  </si>
  <si>
    <t>Mitch</t>
  </si>
  <si>
    <t>944 Main St</t>
  </si>
  <si>
    <t>Mitchell</t>
  </si>
  <si>
    <t>945 Main St</t>
  </si>
  <si>
    <t>Moira</t>
  </si>
  <si>
    <t>946 Main St</t>
  </si>
  <si>
    <t>Molly</t>
  </si>
  <si>
    <t>947 Main St</t>
  </si>
  <si>
    <t>Monroe</t>
  </si>
  <si>
    <t>948 Main St</t>
  </si>
  <si>
    <t>Monty</t>
  </si>
  <si>
    <t>949 Main St</t>
  </si>
  <si>
    <t>Morgan</t>
  </si>
  <si>
    <t>950 Main St</t>
  </si>
  <si>
    <t>Morris</t>
  </si>
  <si>
    <t>951 Main St</t>
  </si>
  <si>
    <t>Mortimer</t>
  </si>
  <si>
    <t>952 Main St</t>
  </si>
  <si>
    <t>Morton</t>
  </si>
  <si>
    <t>953 Main St</t>
  </si>
  <si>
    <t>Moses</t>
  </si>
  <si>
    <t>954 Main St</t>
  </si>
  <si>
    <t>Muhammad</t>
  </si>
  <si>
    <t>955 Main St</t>
  </si>
  <si>
    <t>Muriel</t>
  </si>
  <si>
    <t>956 Main St</t>
  </si>
  <si>
    <t>Myra</t>
  </si>
  <si>
    <t>957 Main St</t>
  </si>
  <si>
    <t>Myron</t>
  </si>
  <si>
    <t>958 Main St</t>
  </si>
  <si>
    <t>Nadia</t>
  </si>
  <si>
    <t>959 Main St</t>
  </si>
  <si>
    <t>Nadine</t>
  </si>
  <si>
    <t>960 Main St</t>
  </si>
  <si>
    <t>Nancy</t>
  </si>
  <si>
    <t>961 Main St</t>
  </si>
  <si>
    <t>Naomi</t>
  </si>
  <si>
    <t>962 Main St</t>
  </si>
  <si>
    <t>Natalia</t>
  </si>
  <si>
    <t>963 Main St</t>
  </si>
  <si>
    <t>Natalie</t>
  </si>
  <si>
    <t>964 Main St</t>
  </si>
  <si>
    <t>Natasha</t>
  </si>
  <si>
    <t>965 Main St</t>
  </si>
  <si>
    <t>Nate</t>
  </si>
  <si>
    <t>966 Main St</t>
  </si>
  <si>
    <t>Nathan</t>
  </si>
  <si>
    <t>967 Main St</t>
  </si>
  <si>
    <t>Nathaniel</t>
  </si>
  <si>
    <t>968 Main St</t>
  </si>
  <si>
    <t>Neal</t>
  </si>
  <si>
    <t>969 Main St</t>
  </si>
  <si>
    <t>Ned</t>
  </si>
  <si>
    <t>970 Main St</t>
  </si>
  <si>
    <t>Nehemiah</t>
  </si>
  <si>
    <t>971 Main St</t>
  </si>
  <si>
    <t>Neil</t>
  </si>
  <si>
    <t>972 Main St</t>
  </si>
  <si>
    <t>Nell</t>
  </si>
  <si>
    <t>973 Main St</t>
  </si>
  <si>
    <t>Nellie</t>
  </si>
  <si>
    <t>974 Main St</t>
  </si>
  <si>
    <t>Nelson</t>
  </si>
  <si>
    <t>975 Main St</t>
  </si>
  <si>
    <t>Nia</t>
  </si>
  <si>
    <t>976 Main St</t>
  </si>
  <si>
    <t>Nicholas</t>
  </si>
  <si>
    <t>977 Main St</t>
  </si>
  <si>
    <t>Nick</t>
  </si>
  <si>
    <t>978 Main St</t>
  </si>
  <si>
    <t>Nicki</t>
  </si>
  <si>
    <t>979 Main St</t>
  </si>
  <si>
    <t>Nicola</t>
  </si>
  <si>
    <t>980 Main St</t>
  </si>
  <si>
    <t>Nicole</t>
  </si>
  <si>
    <t>981 Main St</t>
  </si>
  <si>
    <t>Nicolette</t>
  </si>
  <si>
    <t>982 Main St</t>
  </si>
  <si>
    <t>Nigel</t>
  </si>
  <si>
    <t>983 Main St</t>
  </si>
  <si>
    <t>Nikki</t>
  </si>
  <si>
    <t>984 Main St</t>
  </si>
  <si>
    <t>Nina</t>
  </si>
  <si>
    <t>985 Main St</t>
  </si>
  <si>
    <t>Noah</t>
  </si>
  <si>
    <t>986 Main St</t>
  </si>
  <si>
    <t>Noel</t>
  </si>
  <si>
    <t>987 Main St</t>
  </si>
  <si>
    <t>Noelle</t>
  </si>
  <si>
    <t>988 Main St</t>
  </si>
  <si>
    <t>Nolan</t>
  </si>
  <si>
    <t>989 Main St</t>
  </si>
  <si>
    <t>Nola</t>
  </si>
  <si>
    <t>990 Main St</t>
  </si>
  <si>
    <t>Nora</t>
  </si>
  <si>
    <t>991 Main St</t>
  </si>
  <si>
    <t>Norah</t>
  </si>
  <si>
    <t>992 Main St</t>
  </si>
  <si>
    <t>Norbert</t>
  </si>
  <si>
    <t>993 Main St</t>
  </si>
  <si>
    <t>Norman</t>
  </si>
  <si>
    <t>994 Main St</t>
  </si>
  <si>
    <t>Norris</t>
  </si>
  <si>
    <t>995 Main St</t>
  </si>
  <si>
    <t>Nova</t>
  </si>
  <si>
    <t>996 Main St</t>
  </si>
  <si>
    <t>Nya</t>
  </si>
  <si>
    <t>997 Main St</t>
  </si>
  <si>
    <t>Nylah</t>
  </si>
  <si>
    <t>998 Main St</t>
  </si>
  <si>
    <t>Nyle</t>
  </si>
  <si>
    <t>999 Main St</t>
  </si>
  <si>
    <t>Nyla</t>
  </si>
  <si>
    <t>1000 Main St</t>
  </si>
  <si>
    <r>
      <rPr>
        <b/>
        <sz val="11"/>
        <color theme="1"/>
        <rFont val="Aptos Narrow"/>
        <family val="2"/>
      </rPr>
      <t>Please identify the country associated with each ID mentioned below and select the correct answers for the questions in the Google form.</t>
    </r>
    <r>
      <rPr>
        <b/>
        <sz val="11"/>
        <color rgb="FFFF0000"/>
        <rFont val="Aptos Narrow"/>
        <family val="2"/>
      </rPr>
      <t xml:space="preserve"> (Refer Main Data Worksheet)</t>
    </r>
  </si>
  <si>
    <t>ID's</t>
  </si>
  <si>
    <r>
      <rPr>
        <b/>
        <sz val="11"/>
        <color theme="1"/>
        <rFont val="Aptos Narrow"/>
        <family val="2"/>
      </rPr>
      <t>Please calculate the employee count country-wise as per the details given below  and select the correct answers for the questions in the google form.</t>
    </r>
    <r>
      <rPr>
        <b/>
        <sz val="11"/>
        <color rgb="FFFF0000"/>
        <rFont val="Aptos Narrow"/>
        <family val="2"/>
      </rPr>
      <t xml:space="preserve"> (Refer Main Data Worksheet)</t>
    </r>
  </si>
  <si>
    <t>Count of Employee</t>
  </si>
  <si>
    <r>
      <rPr>
        <b/>
        <sz val="11"/>
        <color theme="1"/>
        <rFont val="Aptos Narrow"/>
        <family val="2"/>
      </rPr>
      <t>Please calculate the total salary country-wise based on the countries listed below and select the correct answers for the questions in the google form.</t>
    </r>
    <r>
      <rPr>
        <b/>
        <sz val="11"/>
        <color rgb="FFFF0000"/>
        <rFont val="Aptos Narrow"/>
        <family val="2"/>
      </rPr>
      <t xml:space="preserve"> (Refer Main Data Worksheet)</t>
    </r>
  </si>
  <si>
    <t>Total Salary</t>
  </si>
  <si>
    <r>
      <rPr>
        <b/>
        <sz val="11"/>
        <color theme="1"/>
        <rFont val="Aptos Narrow"/>
        <family val="2"/>
      </rPr>
      <t>Please analyze the performance ratings of the IDs provided below and select the correct answers for the questions in the google form.</t>
    </r>
    <r>
      <rPr>
        <b/>
        <sz val="11"/>
        <color rgb="FFFF0000"/>
        <rFont val="Aptos Narrow"/>
        <family val="2"/>
      </rPr>
      <t xml:space="preserve"> (Refer Main Data Worksheet)</t>
    </r>
  </si>
  <si>
    <r>
      <rPr>
        <b/>
        <sz val="11"/>
        <color theme="1"/>
        <rFont val="Aptos Narrow"/>
        <family val="2"/>
      </rPr>
      <t>Create Pivot Table &amp; answer below questions, then select the correct answers for the questions in the google form.</t>
    </r>
    <r>
      <rPr>
        <b/>
        <sz val="11"/>
        <color rgb="FFFF0000"/>
        <rFont val="Aptos Narrow"/>
        <family val="2"/>
      </rPr>
      <t xml:space="preserve"> (Refer Main Data Worksheet)</t>
    </r>
  </si>
  <si>
    <t>1. Kindly analyze the given data and specify the country with the highest salary percentage, along with the exact percentage value.</t>
  </si>
  <si>
    <t>2. Kindly analyze the given data and specify the exact Total Male Female Count.</t>
  </si>
  <si>
    <t>3. Kindly analyze the given data and specify the exact Total count of each department.</t>
  </si>
  <si>
    <t>Row Labels</t>
  </si>
  <si>
    <t>Sum of Salary</t>
  </si>
  <si>
    <t>Count of Gender</t>
  </si>
  <si>
    <t>Count of Department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</si>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</sst>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Aptos Narrow"/>
      <scheme val="minor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rial"/>
      <family val="2"/>
    </font>
    <font>
      <b/>
      <sz val="11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AEAEAE"/>
        <bgColor rgb="FFAEAEAE"/>
      </patternFill>
    </fill>
    <fill>
      <patternFill patternType="solid">
        <fgColor rgb="FFF6C6AC"/>
        <bgColor rgb="FFF6C6AC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2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16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3" fillId="0" borderId="8" xfId="0" applyFont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ore elahi" refreshedDate="46234.731670833331" createdVersion="8" refreshedVersion="8" minRefreshableVersion="3" recordCount="1000" xr:uid="{6726BA71-7D61-48C2-BDA0-36D33ACA6557}">
  <cacheSource type="worksheet">
    <worksheetSource ref="A1:O1001" sheet="Main Data"/>
  </cacheSource>
  <cacheFields count="15">
    <cacheField name="FirstName" numFmtId="0">
      <sharedItems/>
    </cacheField>
    <cacheField name="Age" numFmtId="0">
      <sharedItems containsSemiMixedTypes="0" containsString="0" containsNumber="1" containsInteger="1" minValue="22" maxValue="64"/>
    </cacheField>
    <cacheField name="Gender" numFmtId="0">
      <sharedItems count="3">
        <s v="Female"/>
        <s v="Other"/>
        <s v="Male"/>
      </sharedItems>
    </cacheField>
    <cacheField name="Department" numFmtId="0">
      <sharedItems count="5">
        <s v="Finance"/>
        <s v="Development"/>
        <s v="Support"/>
        <s v="Marketing"/>
        <s v="HR"/>
      </sharedItems>
    </cacheField>
    <cacheField name="JobTitle" numFmtId="0">
      <sharedItems/>
    </cacheField>
    <cacheField name="Employee ID" numFmtId="0">
      <sharedItems containsSemiMixedTypes="0" containsString="0" containsNumber="1" containsInteger="1" minValue="1001" maxValue="2000"/>
    </cacheField>
    <cacheField name="Salary" numFmtId="0">
      <sharedItems containsSemiMixedTypes="0" containsString="0" containsNumber="1" minValue="50308.51" maxValue="199972.19"/>
    </cacheField>
    <cacheField name="Date Of Hire" numFmtId="164">
      <sharedItems containsSemiMixedTypes="0" containsNonDate="0" containsDate="1" containsString="0" minDate="2000-01-01T00:00:00" maxDate="2023-01-02T00:00:00"/>
    </cacheField>
    <cacheField name="Phon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 count="6">
        <s v="USA"/>
        <s v="France"/>
        <s v="UK"/>
        <s v="UAE"/>
        <s v="Japan"/>
        <s v="Australia"/>
      </sharedItems>
    </cacheField>
    <cacheField name="Performance Rating" numFmtId="0">
      <sharedItems containsSemiMixedTypes="0" containsString="0" containsNumber="1" minValue="1" maxValue="6.01"/>
    </cacheField>
    <cacheField name="Manager ID" numFmtId="0">
      <sharedItems containsSemiMixedTypes="0" containsString="0" containsNumber="1" containsInteger="1" minValue="1" maxValue="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Aaron"/>
    <n v="22"/>
    <x v="0"/>
    <x v="0"/>
    <s v="Project Manager"/>
    <n v="1001"/>
    <n v="186978.16"/>
    <d v="2019-05-10T00:00:00"/>
    <s v="555-01001"/>
    <s v="1 Main St"/>
    <s v="New York"/>
    <s v="NK"/>
    <x v="0"/>
    <n v="2.94"/>
    <n v="182"/>
  </r>
  <r>
    <s v="Abby"/>
    <n v="25"/>
    <x v="1"/>
    <x v="1"/>
    <s v="Sales Executive"/>
    <n v="1002"/>
    <n v="180610.63"/>
    <d v="2023-01-01T00:00:00"/>
    <s v="555-01002"/>
    <s v="2 Main St"/>
    <s v="Paris"/>
    <s v="PA"/>
    <x v="1"/>
    <n v="3.75"/>
    <n v="86"/>
  </r>
  <r>
    <s v="Abel"/>
    <n v="25"/>
    <x v="1"/>
    <x v="0"/>
    <s v="Analyst"/>
    <n v="1003"/>
    <n v="85152.37"/>
    <d v="2020-06-30T00:00:00"/>
    <s v="555-01003"/>
    <s v="3 Main St"/>
    <s v="London"/>
    <s v="LN"/>
    <x v="2"/>
    <n v="3.93"/>
    <n v="49"/>
  </r>
  <r>
    <s v="Abigail"/>
    <n v="61"/>
    <x v="1"/>
    <x v="0"/>
    <s v="Project Manager"/>
    <n v="1004"/>
    <n v="68024.81"/>
    <d v="2012-01-16T00:00:00"/>
    <s v="555-01004"/>
    <s v="4 Main St"/>
    <s v="Dubai"/>
    <s v="DB"/>
    <x v="3"/>
    <n v="4.38"/>
    <n v="165"/>
  </r>
  <r>
    <s v="Abraham"/>
    <n v="31"/>
    <x v="1"/>
    <x v="2"/>
    <s v="Software Engineer"/>
    <n v="1005"/>
    <n v="130122.92"/>
    <d v="2018-08-26T00:00:00"/>
    <s v="555-01005"/>
    <s v="5 Main St"/>
    <s v="Tokyo"/>
    <s v="TK"/>
    <x v="4"/>
    <n v="2.77"/>
    <n v="130"/>
  </r>
  <r>
    <s v="Adam"/>
    <n v="41"/>
    <x v="0"/>
    <x v="3"/>
    <s v="Software Engineer"/>
    <n v="1006"/>
    <n v="128330.48"/>
    <d v="2021-04-28T00:00:00"/>
    <s v="555-01006"/>
    <s v="6 Main St"/>
    <s v="Sydney"/>
    <s v="SD"/>
    <x v="5"/>
    <n v="1.34"/>
    <n v="56"/>
  </r>
  <r>
    <s v="Addison"/>
    <n v="43"/>
    <x v="2"/>
    <x v="1"/>
    <s v="Software Engineer"/>
    <n v="1007"/>
    <n v="119762.64"/>
    <d v="2008-06-12T00:00:00"/>
    <s v="555-01007"/>
    <s v="7 Main St"/>
    <s v="New York"/>
    <s v="NK"/>
    <x v="0"/>
    <n v="4.3600000000000003"/>
    <n v="87"/>
  </r>
  <r>
    <s v="Adele"/>
    <n v="58"/>
    <x v="1"/>
    <x v="0"/>
    <s v="Sales Executive"/>
    <n v="1008"/>
    <n v="126188.66"/>
    <d v="2012-08-01T00:00:00"/>
    <s v="555-01008"/>
    <s v="8 Main St"/>
    <s v="Paris"/>
    <s v="PA"/>
    <x v="1"/>
    <n v="4.99"/>
    <n v="190"/>
  </r>
  <r>
    <s v="Adrian"/>
    <n v="45"/>
    <x v="2"/>
    <x v="4"/>
    <s v="Analyst"/>
    <n v="1009"/>
    <n v="140463.31"/>
    <d v="2020-12-10T00:00:00"/>
    <s v="555-01009"/>
    <s v="9 Main St"/>
    <s v="London"/>
    <s v="LN"/>
    <x v="2"/>
    <n v="2.91"/>
    <n v="175"/>
  </r>
  <r>
    <s v="Aidan"/>
    <n v="28"/>
    <x v="1"/>
    <x v="3"/>
    <s v="Software Engineer"/>
    <n v="1010"/>
    <n v="192474.29"/>
    <d v="2014-12-21T00:00:00"/>
    <s v="555-01000"/>
    <s v="10 Main St"/>
    <s v="Dubai"/>
    <s v="DB"/>
    <x v="3"/>
    <n v="3.14"/>
    <n v="74"/>
  </r>
  <r>
    <s v="Ainsley"/>
    <n v="46"/>
    <x v="1"/>
    <x v="1"/>
    <s v="Analyst"/>
    <n v="1011"/>
    <n v="186296.33"/>
    <d v="2005-02-26T00:00:00"/>
    <s v="555-01001"/>
    <s v="11 Main St"/>
    <s v="Tokyo"/>
    <s v="TK"/>
    <x v="4"/>
    <n v="4.5199999999999996"/>
    <n v="13"/>
  </r>
  <r>
    <s v="Aisha"/>
    <n v="46"/>
    <x v="1"/>
    <x v="0"/>
    <s v="Software Engineer"/>
    <n v="1012"/>
    <n v="155436.01999999999"/>
    <d v="2022-07-05T00:00:00"/>
    <s v="555-01002"/>
    <s v="12 Main St"/>
    <s v="Sydney"/>
    <s v="SD"/>
    <x v="5"/>
    <n v="4.82"/>
    <n v="189"/>
  </r>
  <r>
    <s v="Aiden"/>
    <n v="34"/>
    <x v="2"/>
    <x v="0"/>
    <s v="HR Specialist"/>
    <n v="1013"/>
    <n v="185303.25"/>
    <d v="2011-03-27T00:00:00"/>
    <s v="555-01003"/>
    <s v="13 Main St"/>
    <s v="New York"/>
    <s v="NK"/>
    <x v="0"/>
    <n v="2.02"/>
    <n v="92"/>
  </r>
  <r>
    <s v="Alan"/>
    <n v="23"/>
    <x v="2"/>
    <x v="3"/>
    <s v="Project Manager"/>
    <n v="1014"/>
    <n v="147402.04999999999"/>
    <d v="2018-02-13T00:00:00"/>
    <s v="555-01004"/>
    <s v="14 Main St"/>
    <s v="Paris"/>
    <s v="PA"/>
    <x v="1"/>
    <n v="1.51"/>
    <n v="4"/>
  </r>
  <r>
    <s v="Alana"/>
    <n v="60"/>
    <x v="2"/>
    <x v="4"/>
    <s v="Sales Executive"/>
    <n v="1015"/>
    <n v="160358.07999999999"/>
    <d v="2000-01-03T00:00:00"/>
    <s v="555-01005"/>
    <s v="15 Main St"/>
    <s v="London"/>
    <s v="LN"/>
    <x v="2"/>
    <n v="1.78"/>
    <n v="150"/>
  </r>
  <r>
    <s v="Albert"/>
    <n v="61"/>
    <x v="0"/>
    <x v="0"/>
    <s v="Project Manager"/>
    <n v="1016"/>
    <n v="142161.03"/>
    <d v="2015-04-10T00:00:00"/>
    <s v="555-01006"/>
    <s v="16 Main St"/>
    <s v="Dubai"/>
    <s v="DB"/>
    <x v="3"/>
    <n v="2.2200000000000002"/>
    <n v="78"/>
  </r>
  <r>
    <s v="Alexa"/>
    <n v="45"/>
    <x v="2"/>
    <x v="2"/>
    <s v="Project Manager"/>
    <n v="1017"/>
    <n v="106217.93"/>
    <d v="2012-04-11T00:00:00"/>
    <s v="555-01007"/>
    <s v="17 Main St"/>
    <s v="Tokyo"/>
    <s v="TK"/>
    <x v="4"/>
    <n v="4.45"/>
    <n v="182"/>
  </r>
  <r>
    <s v="Alexander"/>
    <n v="46"/>
    <x v="0"/>
    <x v="2"/>
    <s v="HR Specialist"/>
    <n v="1018"/>
    <n v="114500.4"/>
    <d v="2001-01-12T00:00:00"/>
    <s v="555-01008"/>
    <s v="18 Main St"/>
    <s v="Sydney"/>
    <s v="SD"/>
    <x v="5"/>
    <n v="3.96"/>
    <n v="167"/>
  </r>
  <r>
    <s v="Alexis"/>
    <n v="39"/>
    <x v="0"/>
    <x v="3"/>
    <s v="Analyst"/>
    <n v="1019"/>
    <n v="135513.35"/>
    <d v="2013-03-19T00:00:00"/>
    <s v="555-01009"/>
    <s v="19 Main St"/>
    <s v="New York"/>
    <s v="NK"/>
    <x v="0"/>
    <n v="3.36"/>
    <n v="59"/>
  </r>
  <r>
    <s v="Alice"/>
    <n v="59"/>
    <x v="2"/>
    <x v="1"/>
    <s v="Project Manager"/>
    <n v="1020"/>
    <n v="86687.91"/>
    <d v="2012-05-28T00:00:00"/>
    <s v="555-01000"/>
    <s v="20 Main St"/>
    <s v="Paris"/>
    <s v="PA"/>
    <x v="1"/>
    <n v="3.9"/>
    <n v="181"/>
  </r>
  <r>
    <s v="Alicia"/>
    <n v="47"/>
    <x v="1"/>
    <x v="3"/>
    <s v="HR Specialist"/>
    <n v="1021"/>
    <n v="61550.15"/>
    <d v="2004-04-13T00:00:00"/>
    <s v="555-01001"/>
    <s v="21 Main St"/>
    <s v="London"/>
    <s v="LN"/>
    <x v="2"/>
    <n v="4.2300000000000004"/>
    <n v="66"/>
  </r>
  <r>
    <s v="Alison"/>
    <n v="35"/>
    <x v="1"/>
    <x v="3"/>
    <s v="Analyst"/>
    <n v="1022"/>
    <n v="154481.57999999999"/>
    <d v="2004-10-04T00:00:00"/>
    <s v="555-01002"/>
    <s v="22 Main St"/>
    <s v="Dubai"/>
    <s v="DB"/>
    <x v="3"/>
    <n v="3.04"/>
    <n v="108"/>
  </r>
  <r>
    <s v="Alistair"/>
    <n v="30"/>
    <x v="0"/>
    <x v="1"/>
    <s v="HR Specialist"/>
    <n v="1023"/>
    <n v="123181.38"/>
    <d v="2014-07-10T00:00:00"/>
    <s v="555-01003"/>
    <s v="23 Main St"/>
    <s v="Tokyo"/>
    <s v="TK"/>
    <x v="4"/>
    <n v="1.27"/>
    <n v="181"/>
  </r>
  <r>
    <s v="Allie"/>
    <n v="31"/>
    <x v="1"/>
    <x v="1"/>
    <s v="Analyst"/>
    <n v="1024"/>
    <n v="85790"/>
    <d v="2018-03-17T00:00:00"/>
    <s v="555-01004"/>
    <s v="24 Main St"/>
    <s v="Sydney"/>
    <s v="SD"/>
    <x v="5"/>
    <n v="4.3899999999999997"/>
    <n v="81"/>
  </r>
  <r>
    <s v="Ally"/>
    <n v="42"/>
    <x v="1"/>
    <x v="1"/>
    <s v="HR Specialist"/>
    <n v="1025"/>
    <n v="115900.12"/>
    <d v="2017-01-22T00:00:00"/>
    <s v="555-01005"/>
    <s v="25 Main St"/>
    <s v="New York"/>
    <s v="NK"/>
    <x v="0"/>
    <n v="2.78"/>
    <n v="14"/>
  </r>
  <r>
    <s v="Alma"/>
    <n v="38"/>
    <x v="0"/>
    <x v="4"/>
    <s v="Project Manager"/>
    <n v="1026"/>
    <n v="54839.09"/>
    <d v="2017-01-01T00:00:00"/>
    <s v="555-01006"/>
    <s v="26 Main St"/>
    <s v="Paris"/>
    <s v="PA"/>
    <x v="1"/>
    <n v="3.4"/>
    <n v="9"/>
  </r>
  <r>
    <s v="Alondra"/>
    <n v="27"/>
    <x v="2"/>
    <x v="0"/>
    <s v="Project Manager"/>
    <n v="1027"/>
    <n v="121415.73"/>
    <d v="2020-02-15T00:00:00"/>
    <s v="555-01007"/>
    <s v="27 Main St"/>
    <s v="London"/>
    <s v="LN"/>
    <x v="2"/>
    <n v="1.95"/>
    <n v="115"/>
  </r>
  <r>
    <s v="Alvin"/>
    <n v="37"/>
    <x v="0"/>
    <x v="3"/>
    <s v="HR Specialist"/>
    <n v="1028"/>
    <n v="145305.42000000001"/>
    <d v="2011-09-18T00:00:00"/>
    <s v="555-01008"/>
    <s v="28 Main St"/>
    <s v="Dubai"/>
    <s v="DB"/>
    <x v="3"/>
    <n v="3.96"/>
    <n v="70"/>
  </r>
  <r>
    <s v="Alyssa"/>
    <n v="22"/>
    <x v="2"/>
    <x v="2"/>
    <s v="Project Manager"/>
    <n v="1029"/>
    <n v="147349.46"/>
    <d v="2019-05-07T00:00:00"/>
    <s v="555-01009"/>
    <s v="29 Main St"/>
    <s v="Tokyo"/>
    <s v="TK"/>
    <x v="4"/>
    <n v="4.3899999999999997"/>
    <n v="55"/>
  </r>
  <r>
    <s v="Amara"/>
    <n v="40"/>
    <x v="2"/>
    <x v="1"/>
    <s v="HR Specialist"/>
    <n v="1030"/>
    <n v="81651.429999999993"/>
    <d v="2014-09-12T00:00:00"/>
    <s v="555-01000"/>
    <s v="30 Main St"/>
    <s v="Sydney"/>
    <s v="SD"/>
    <x v="5"/>
    <n v="1.0900000000000001"/>
    <n v="124"/>
  </r>
  <r>
    <s v="Amber"/>
    <n v="57"/>
    <x v="0"/>
    <x v="1"/>
    <s v="HR Specialist"/>
    <n v="1031"/>
    <n v="105524.85"/>
    <d v="2007-07-20T00:00:00"/>
    <s v="555-01001"/>
    <s v="31 Main St"/>
    <s v="New York"/>
    <s v="NK"/>
    <x v="0"/>
    <n v="4.34"/>
    <n v="179"/>
  </r>
  <r>
    <s v="Amelia"/>
    <n v="46"/>
    <x v="1"/>
    <x v="1"/>
    <s v="Sales Executive"/>
    <n v="1032"/>
    <n v="122537.78"/>
    <d v="2007-05-25T00:00:00"/>
    <s v="555-01002"/>
    <s v="32 Main St"/>
    <s v="Paris"/>
    <s v="PA"/>
    <x v="1"/>
    <n v="3.71"/>
    <n v="163"/>
  </r>
  <r>
    <s v="Amir"/>
    <n v="51"/>
    <x v="2"/>
    <x v="0"/>
    <s v="Software Engineer"/>
    <n v="1033"/>
    <n v="193496.4"/>
    <d v="2022-12-16T00:00:00"/>
    <s v="555-01003"/>
    <s v="33 Main St"/>
    <s v="London"/>
    <s v="LN"/>
    <x v="2"/>
    <n v="3.55"/>
    <n v="39"/>
  </r>
  <r>
    <s v="Amos"/>
    <n v="41"/>
    <x v="0"/>
    <x v="2"/>
    <s v="Project Manager"/>
    <n v="1034"/>
    <n v="105630.04"/>
    <d v="2011-11-24T00:00:00"/>
    <s v="555-01004"/>
    <s v="34 Main St"/>
    <s v="Dubai"/>
    <s v="DB"/>
    <x v="3"/>
    <n v="3.46"/>
    <n v="83"/>
  </r>
  <r>
    <s v="Amy"/>
    <n v="41"/>
    <x v="0"/>
    <x v="3"/>
    <s v="HR Specialist"/>
    <n v="1035"/>
    <n v="118351.06"/>
    <d v="2016-12-24T00:00:00"/>
    <s v="555-01005"/>
    <s v="35 Main St"/>
    <s v="Tokyo"/>
    <s v="TK"/>
    <x v="4"/>
    <n v="2.38"/>
    <n v="199"/>
  </r>
  <r>
    <s v="Ana"/>
    <n v="36"/>
    <x v="0"/>
    <x v="0"/>
    <s v="Software Engineer"/>
    <n v="1036"/>
    <n v="199429.49"/>
    <d v="2012-07-16T00:00:00"/>
    <s v="555-01006"/>
    <s v="36 Main St"/>
    <s v="New York"/>
    <s v="NK"/>
    <x v="0"/>
    <n v="2.82"/>
    <n v="108"/>
  </r>
  <r>
    <s v="Anabelle"/>
    <n v="61"/>
    <x v="2"/>
    <x v="4"/>
    <s v="HR Specialist"/>
    <n v="1037"/>
    <n v="63495.8"/>
    <d v="2000-05-31T00:00:00"/>
    <s v="555-01007"/>
    <s v="37 Main St"/>
    <s v="Paris"/>
    <s v="PA"/>
    <x v="1"/>
    <n v="4.33"/>
    <n v="143"/>
  </r>
  <r>
    <s v="Andre"/>
    <n v="54"/>
    <x v="1"/>
    <x v="2"/>
    <s v="Project Manager"/>
    <n v="1038"/>
    <n v="50511.46"/>
    <d v="2001-08-03T00:00:00"/>
    <s v="555-01008"/>
    <s v="38 Main St"/>
    <s v="London"/>
    <s v="LN"/>
    <x v="2"/>
    <n v="2.08"/>
    <n v="160"/>
  </r>
  <r>
    <s v="Andrea"/>
    <n v="23"/>
    <x v="1"/>
    <x v="2"/>
    <s v="HR Specialist"/>
    <n v="1039"/>
    <n v="81183.16"/>
    <d v="2013-02-06T00:00:00"/>
    <s v="555-01009"/>
    <s v="39 Main St"/>
    <s v="Dubai"/>
    <s v="DB"/>
    <x v="3"/>
    <n v="3.76"/>
    <n v="113"/>
  </r>
  <r>
    <s v="Andrew"/>
    <n v="31"/>
    <x v="0"/>
    <x v="4"/>
    <s v="Analyst"/>
    <n v="1040"/>
    <n v="62803.18"/>
    <d v="2007-03-11T00:00:00"/>
    <s v="555-01000"/>
    <s v="40 Main St"/>
    <s v="Tokyo"/>
    <s v="TK"/>
    <x v="4"/>
    <n v="2.4900000000000002"/>
    <n v="173"/>
  </r>
  <r>
    <s v="Angela"/>
    <n v="54"/>
    <x v="2"/>
    <x v="3"/>
    <s v="Analyst"/>
    <n v="1041"/>
    <n v="183849.86"/>
    <d v="2010-05-28T00:00:00"/>
    <s v="555-01001"/>
    <s v="41 Main St"/>
    <s v="New York"/>
    <s v="NK"/>
    <x v="0"/>
    <n v="4.5999999999999996"/>
    <n v="161"/>
  </r>
  <r>
    <s v="Angelica"/>
    <n v="53"/>
    <x v="1"/>
    <x v="2"/>
    <s v="Sales Executive"/>
    <n v="1042"/>
    <n v="125027.13"/>
    <d v="2005-07-06T00:00:00"/>
    <s v="555-01002"/>
    <s v="42 Main St"/>
    <s v="Paris"/>
    <s v="PA"/>
    <x v="1"/>
    <n v="1.53"/>
    <n v="32"/>
  </r>
  <r>
    <s v="Angelina"/>
    <n v="32"/>
    <x v="0"/>
    <x v="1"/>
    <s v="Project Manager"/>
    <n v="1043"/>
    <n v="169114.03"/>
    <d v="2019-02-17T00:00:00"/>
    <s v="555-01003"/>
    <s v="43 Main St"/>
    <s v="London"/>
    <s v="LN"/>
    <x v="2"/>
    <n v="1.04"/>
    <n v="82"/>
  </r>
  <r>
    <s v="Angelo"/>
    <n v="45"/>
    <x v="1"/>
    <x v="3"/>
    <s v="Project Manager"/>
    <n v="1044"/>
    <n v="187406.32"/>
    <d v="2011-04-14T00:00:00"/>
    <s v="555-01004"/>
    <s v="44 Main St"/>
    <s v="Dubai"/>
    <s v="DB"/>
    <x v="3"/>
    <n v="1.8"/>
    <n v="65"/>
  </r>
  <r>
    <s v="Anika"/>
    <n v="57"/>
    <x v="1"/>
    <x v="0"/>
    <s v="Software Engineer"/>
    <n v="1045"/>
    <n v="193266.69"/>
    <d v="2012-07-03T00:00:00"/>
    <s v="555-01005"/>
    <s v="45 Main St"/>
    <s v="Tokyo"/>
    <s v="TK"/>
    <x v="4"/>
    <n v="4.79"/>
    <n v="124"/>
  </r>
  <r>
    <s v="Anissa"/>
    <n v="33"/>
    <x v="2"/>
    <x v="4"/>
    <s v="HR Specialist"/>
    <n v="1046"/>
    <n v="96855.19"/>
    <d v="2017-12-28T00:00:00"/>
    <s v="555-01006"/>
    <s v="46 Main St"/>
    <s v="New York"/>
    <s v="NK"/>
    <x v="0"/>
    <n v="3.12"/>
    <n v="149"/>
  </r>
  <r>
    <s v="Ann"/>
    <n v="50"/>
    <x v="0"/>
    <x v="1"/>
    <s v="Project Manager"/>
    <n v="1047"/>
    <n v="86845.98"/>
    <d v="2009-04-22T00:00:00"/>
    <s v="555-01007"/>
    <s v="47 Main St"/>
    <s v="Paris"/>
    <s v="PA"/>
    <x v="1"/>
    <n v="3.72"/>
    <n v="11"/>
  </r>
  <r>
    <s v="Anna"/>
    <n v="56"/>
    <x v="1"/>
    <x v="1"/>
    <s v="Project Manager"/>
    <n v="1048"/>
    <n v="139543.64000000001"/>
    <d v="2017-02-28T00:00:00"/>
    <s v="555-01008"/>
    <s v="48 Main St"/>
    <s v="London"/>
    <s v="LN"/>
    <x v="2"/>
    <n v="1.02"/>
    <n v="83"/>
  </r>
  <r>
    <s v="Annabel"/>
    <n v="22"/>
    <x v="1"/>
    <x v="1"/>
    <s v="Software Engineer"/>
    <n v="1049"/>
    <n v="133726.10999999999"/>
    <d v="2002-09-17T00:00:00"/>
    <s v="555-01009"/>
    <s v="49 Main St"/>
    <s v="Dubai"/>
    <s v="DB"/>
    <x v="3"/>
    <n v="3.72"/>
    <n v="164"/>
  </r>
  <r>
    <s v="Annabella"/>
    <n v="22"/>
    <x v="2"/>
    <x v="0"/>
    <s v="Analyst"/>
    <n v="1050"/>
    <n v="184934.92"/>
    <d v="2020-05-09T00:00:00"/>
    <s v="555-01000"/>
    <s v="50 Main St"/>
    <s v="Tokyo"/>
    <s v="TK"/>
    <x v="4"/>
    <n v="3.68"/>
    <n v="183"/>
  </r>
  <r>
    <s v="Annalise"/>
    <n v="58"/>
    <x v="2"/>
    <x v="1"/>
    <s v="Project Manager"/>
    <n v="1051"/>
    <n v="116625.29"/>
    <d v="2021-06-03T00:00:00"/>
    <s v="555-01001"/>
    <s v="51 Main St"/>
    <s v="New York"/>
    <s v="NK"/>
    <x v="0"/>
    <n v="1.74"/>
    <n v="117"/>
  </r>
  <r>
    <s v="Anne"/>
    <n v="27"/>
    <x v="1"/>
    <x v="2"/>
    <s v="Software Engineer"/>
    <n v="1052"/>
    <n v="198684.03"/>
    <d v="2014-07-20T00:00:00"/>
    <s v="555-01002"/>
    <s v="52 Main St"/>
    <s v="Paris"/>
    <s v="PA"/>
    <x v="1"/>
    <n v="1.76"/>
    <n v="30"/>
  </r>
  <r>
    <s v="Annette"/>
    <n v="60"/>
    <x v="2"/>
    <x v="1"/>
    <s v="Analyst"/>
    <n v="1053"/>
    <n v="162065.97"/>
    <d v="2019-07-13T00:00:00"/>
    <s v="555-01003"/>
    <s v="53 Main St"/>
    <s v="London"/>
    <s v="LN"/>
    <x v="2"/>
    <n v="3.97"/>
    <n v="173"/>
  </r>
  <r>
    <s v="Annie"/>
    <n v="62"/>
    <x v="2"/>
    <x v="3"/>
    <s v="Project Manager"/>
    <n v="1054"/>
    <n v="180376.54"/>
    <d v="2007-11-17T00:00:00"/>
    <s v="555-01004"/>
    <s v="54 Main St"/>
    <s v="Dubai"/>
    <s v="DB"/>
    <x v="3"/>
    <n v="2.11"/>
    <n v="143"/>
  </r>
  <r>
    <s v="Anthony"/>
    <n v="39"/>
    <x v="0"/>
    <x v="2"/>
    <s v="Analyst"/>
    <n v="1055"/>
    <n v="139521.15"/>
    <d v="2013-06-06T00:00:00"/>
    <s v="555-01005"/>
    <s v="55 Main St"/>
    <s v="Tokyo"/>
    <s v="TK"/>
    <x v="4"/>
    <n v="2.06"/>
    <n v="161"/>
  </r>
  <r>
    <s v="Antonio"/>
    <n v="37"/>
    <x v="0"/>
    <x v="1"/>
    <s v="Project Manager"/>
    <n v="1056"/>
    <n v="160423.66"/>
    <d v="2020-05-10T00:00:00"/>
    <s v="555-01006"/>
    <s v="56 Main St"/>
    <s v="New York"/>
    <s v="NK"/>
    <x v="0"/>
    <n v="1.32"/>
    <n v="183"/>
  </r>
  <r>
    <s v="April"/>
    <n v="26"/>
    <x v="1"/>
    <x v="0"/>
    <s v="Sales Executive"/>
    <n v="1057"/>
    <n v="180510.58"/>
    <d v="2000-06-29T00:00:00"/>
    <s v="555-01007"/>
    <s v="57 Main St"/>
    <s v="Paris"/>
    <s v="PA"/>
    <x v="1"/>
    <n v="4.3099999999999996"/>
    <n v="168"/>
  </r>
  <r>
    <s v="Arabella"/>
    <n v="63"/>
    <x v="1"/>
    <x v="1"/>
    <s v="HR Specialist"/>
    <n v="1058"/>
    <n v="168671.1"/>
    <d v="2011-05-27T00:00:00"/>
    <s v="555-01008"/>
    <s v="58 Main St"/>
    <s v="London"/>
    <s v="LN"/>
    <x v="2"/>
    <n v="3.53"/>
    <n v="180"/>
  </r>
  <r>
    <s v="Archer"/>
    <n v="64"/>
    <x v="1"/>
    <x v="0"/>
    <s v="Software Engineer"/>
    <n v="1059"/>
    <n v="132003.32999999999"/>
    <d v="2013-05-27T00:00:00"/>
    <s v="555-01009"/>
    <s v="59 Main St"/>
    <s v="Dubai"/>
    <s v="DB"/>
    <x v="3"/>
    <n v="1.08"/>
    <n v="58"/>
  </r>
  <r>
    <s v="Arden"/>
    <n v="53"/>
    <x v="2"/>
    <x v="2"/>
    <s v="Project Manager"/>
    <n v="1060"/>
    <n v="187832.01"/>
    <d v="2008-05-29T00:00:00"/>
    <s v="555-01000"/>
    <s v="60 Main St"/>
    <s v="Tokyo"/>
    <s v="TK"/>
    <x v="4"/>
    <n v="1.24"/>
    <n v="153"/>
  </r>
  <r>
    <s v="Ariel"/>
    <n v="23"/>
    <x v="0"/>
    <x v="2"/>
    <s v="HR Specialist"/>
    <n v="1061"/>
    <n v="80646.55"/>
    <d v="2009-07-10T00:00:00"/>
    <s v="555-01001"/>
    <s v="61 Main St"/>
    <s v="New York"/>
    <s v="NK"/>
    <x v="0"/>
    <n v="2.35"/>
    <n v="112"/>
  </r>
  <r>
    <s v="Ariella"/>
    <n v="23"/>
    <x v="1"/>
    <x v="2"/>
    <s v="Sales Executive"/>
    <n v="1062"/>
    <n v="86216.16"/>
    <d v="2018-09-20T00:00:00"/>
    <s v="555-01002"/>
    <s v="62 Main St"/>
    <s v="Paris"/>
    <s v="PA"/>
    <x v="1"/>
    <n v="2.2200000000000002"/>
    <n v="145"/>
  </r>
  <r>
    <s v="Arlo"/>
    <n v="61"/>
    <x v="0"/>
    <x v="2"/>
    <s v="Analyst"/>
    <n v="1063"/>
    <n v="146404.20000000001"/>
    <d v="2016-03-16T00:00:00"/>
    <s v="555-01003"/>
    <s v="63 Main St"/>
    <s v="London"/>
    <s v="LN"/>
    <x v="2"/>
    <n v="4.5"/>
    <n v="107"/>
  </r>
  <r>
    <s v="Arnold"/>
    <n v="63"/>
    <x v="2"/>
    <x v="0"/>
    <s v="Sales Executive"/>
    <n v="1064"/>
    <n v="179868.67"/>
    <d v="2007-10-11T00:00:00"/>
    <s v="555-01004"/>
    <s v="64 Main St"/>
    <s v="Dubai"/>
    <s v="DB"/>
    <x v="3"/>
    <n v="3.28"/>
    <n v="150"/>
  </r>
  <r>
    <s v="Arthur"/>
    <n v="57"/>
    <x v="0"/>
    <x v="3"/>
    <s v="HR Specialist"/>
    <n v="1065"/>
    <n v="71229.509999999995"/>
    <d v="2009-05-16T00:00:00"/>
    <s v="555-01005"/>
    <s v="65 Main St"/>
    <s v="Tokyo"/>
    <s v="TK"/>
    <x v="4"/>
    <n v="1.37"/>
    <n v="12"/>
  </r>
  <r>
    <s v="Arya"/>
    <n v="60"/>
    <x v="2"/>
    <x v="0"/>
    <s v="Software Engineer"/>
    <n v="1066"/>
    <n v="137742.38"/>
    <d v="2016-11-02T00:00:00"/>
    <s v="555-01006"/>
    <s v="66 Main St"/>
    <s v="New York"/>
    <s v="NK"/>
    <x v="0"/>
    <n v="1.38"/>
    <n v="38"/>
  </r>
  <r>
    <s v="Asher"/>
    <n v="33"/>
    <x v="1"/>
    <x v="0"/>
    <s v="HR Specialist"/>
    <n v="1067"/>
    <n v="178939.88"/>
    <d v="2004-11-12T00:00:00"/>
    <s v="555-01007"/>
    <s v="67 Main St"/>
    <s v="Paris"/>
    <s v="PA"/>
    <x v="1"/>
    <n v="3.57"/>
    <n v="163"/>
  </r>
  <r>
    <s v="Ashley"/>
    <n v="40"/>
    <x v="2"/>
    <x v="1"/>
    <s v="Analyst"/>
    <n v="1068"/>
    <n v="117411.9"/>
    <d v="2010-04-21T00:00:00"/>
    <s v="555-01008"/>
    <s v="68 Main St"/>
    <s v="London"/>
    <s v="LN"/>
    <x v="2"/>
    <n v="2.5"/>
    <n v="34"/>
  </r>
  <r>
    <s v="Ashton"/>
    <n v="49"/>
    <x v="2"/>
    <x v="1"/>
    <s v="HR Specialist"/>
    <n v="1069"/>
    <n v="101480.08"/>
    <d v="2000-09-04T00:00:00"/>
    <s v="555-01009"/>
    <s v="69 Main St"/>
    <s v="Dubai"/>
    <s v="DB"/>
    <x v="3"/>
    <n v="4.76"/>
    <n v="23"/>
  </r>
  <r>
    <s v="Athena"/>
    <n v="22"/>
    <x v="2"/>
    <x v="0"/>
    <s v="Sales Executive"/>
    <n v="1070"/>
    <n v="181861.73"/>
    <d v="2002-01-08T00:00:00"/>
    <s v="555-01000"/>
    <s v="70 Main St"/>
    <s v="Tokyo"/>
    <s v="TK"/>
    <x v="4"/>
    <n v="1.64"/>
    <n v="103"/>
  </r>
  <r>
    <s v="Aubrey"/>
    <n v="36"/>
    <x v="2"/>
    <x v="4"/>
    <s v="HR Specialist"/>
    <n v="1071"/>
    <n v="190144.74"/>
    <d v="2010-09-21T00:00:00"/>
    <s v="555-01001"/>
    <s v="71 Main St"/>
    <s v="New York"/>
    <s v="NK"/>
    <x v="0"/>
    <n v="4.4000000000000004"/>
    <n v="17"/>
  </r>
  <r>
    <s v="Audrey"/>
    <n v="57"/>
    <x v="1"/>
    <x v="3"/>
    <s v="HR Specialist"/>
    <n v="1072"/>
    <n v="147474.16"/>
    <d v="2006-03-13T00:00:00"/>
    <s v="555-01002"/>
    <s v="72 Main St"/>
    <s v="Paris"/>
    <s v="PA"/>
    <x v="1"/>
    <n v="1.73"/>
    <n v="118"/>
  </r>
  <r>
    <s v="August"/>
    <n v="34"/>
    <x v="0"/>
    <x v="2"/>
    <s v="HR Specialist"/>
    <n v="1073"/>
    <n v="182363.39"/>
    <d v="2019-02-21T00:00:00"/>
    <s v="555-01003"/>
    <s v="73 Main St"/>
    <s v="London"/>
    <s v="LN"/>
    <x v="2"/>
    <n v="2.2400000000000002"/>
    <n v="37"/>
  </r>
  <r>
    <s v="Aurora"/>
    <n v="64"/>
    <x v="1"/>
    <x v="2"/>
    <s v="HR Specialist"/>
    <n v="1074"/>
    <n v="98636.45"/>
    <d v="2006-02-11T00:00:00"/>
    <s v="555-01004"/>
    <s v="74 Main St"/>
    <s v="Dubai"/>
    <s v="DB"/>
    <x v="3"/>
    <n v="3.84"/>
    <n v="193"/>
  </r>
  <r>
    <s v="Austin"/>
    <n v="42"/>
    <x v="1"/>
    <x v="2"/>
    <s v="Analyst"/>
    <n v="1075"/>
    <n v="136704"/>
    <d v="2003-09-01T00:00:00"/>
    <s v="555-01005"/>
    <s v="75 Main St"/>
    <s v="Tokyo"/>
    <s v="TK"/>
    <x v="4"/>
    <n v="1.04"/>
    <n v="155"/>
  </r>
  <r>
    <s v="Autumn"/>
    <n v="33"/>
    <x v="2"/>
    <x v="1"/>
    <s v="HR Specialist"/>
    <n v="1076"/>
    <n v="160288.32000000001"/>
    <d v="2015-05-20T00:00:00"/>
    <s v="555-01006"/>
    <s v="76 Main St"/>
    <s v="New York"/>
    <s v="NK"/>
    <x v="0"/>
    <n v="3.3"/>
    <n v="78"/>
  </r>
  <r>
    <s v="Ava"/>
    <n v="26"/>
    <x v="1"/>
    <x v="1"/>
    <s v="Software Engineer"/>
    <n v="1077"/>
    <n v="107907.36"/>
    <d v="2002-08-25T00:00:00"/>
    <s v="555-01007"/>
    <s v="77 Main St"/>
    <s v="Paris"/>
    <s v="PA"/>
    <x v="1"/>
    <n v="1.72"/>
    <n v="90"/>
  </r>
  <r>
    <s v="Avery"/>
    <n v="28"/>
    <x v="2"/>
    <x v="3"/>
    <s v="Analyst"/>
    <n v="1078"/>
    <n v="126664.7"/>
    <d v="2004-09-02T00:00:00"/>
    <s v="555-01008"/>
    <s v="78 Main St"/>
    <s v="London"/>
    <s v="LN"/>
    <x v="2"/>
    <n v="4.3600000000000003"/>
    <n v="79"/>
  </r>
  <r>
    <s v="Axel"/>
    <n v="26"/>
    <x v="0"/>
    <x v="3"/>
    <s v="Analyst"/>
    <n v="1079"/>
    <n v="199972.19"/>
    <d v="2012-12-26T00:00:00"/>
    <s v="555-01009"/>
    <s v="79 Main St"/>
    <s v="Dubai"/>
    <s v="DB"/>
    <x v="3"/>
    <n v="3.51"/>
    <n v="160"/>
  </r>
  <r>
    <s v="Bailey"/>
    <n v="25"/>
    <x v="2"/>
    <x v="0"/>
    <s v="HR Specialist"/>
    <n v="1080"/>
    <n v="90064.11"/>
    <d v="2018-06-30T00:00:00"/>
    <s v="555-01000"/>
    <s v="80 Main St"/>
    <s v="Tokyo"/>
    <s v="TK"/>
    <x v="4"/>
    <n v="3.54"/>
    <n v="33"/>
  </r>
  <r>
    <s v="Barbara"/>
    <n v="34"/>
    <x v="0"/>
    <x v="1"/>
    <s v="Sales Executive"/>
    <n v="1081"/>
    <n v="81638.899999999994"/>
    <d v="2006-04-24T00:00:00"/>
    <s v="555-01001"/>
    <s v="81 Main St"/>
    <s v="New York"/>
    <s v="NK"/>
    <x v="0"/>
    <n v="2.8"/>
    <n v="26"/>
  </r>
  <r>
    <s v="Barnaby"/>
    <n v="58"/>
    <x v="1"/>
    <x v="2"/>
    <s v="HR Specialist"/>
    <n v="1082"/>
    <n v="77048.899999999994"/>
    <d v="2014-10-08T00:00:00"/>
    <s v="555-01002"/>
    <s v="82 Main St"/>
    <s v="Paris"/>
    <s v="PA"/>
    <x v="1"/>
    <n v="3.01"/>
    <n v="136"/>
  </r>
  <r>
    <s v="Barrett"/>
    <n v="62"/>
    <x v="2"/>
    <x v="0"/>
    <s v="Analyst"/>
    <n v="1083"/>
    <n v="85240.26"/>
    <d v="2001-11-18T00:00:00"/>
    <s v="555-01003"/>
    <s v="83 Main St"/>
    <s v="London"/>
    <s v="LN"/>
    <x v="2"/>
    <n v="4.88"/>
    <n v="64"/>
  </r>
  <r>
    <s v="Barry"/>
    <n v="36"/>
    <x v="0"/>
    <x v="4"/>
    <s v="Project Manager"/>
    <n v="1084"/>
    <n v="89440.43"/>
    <d v="2011-03-18T00:00:00"/>
    <s v="555-01004"/>
    <s v="84 Main St"/>
    <s v="Dubai"/>
    <s v="DB"/>
    <x v="3"/>
    <n v="3.85"/>
    <n v="145"/>
  </r>
  <r>
    <s v="Beatrice"/>
    <n v="37"/>
    <x v="1"/>
    <x v="4"/>
    <s v="Software Engineer"/>
    <n v="1085"/>
    <n v="114399.86"/>
    <d v="2007-12-24T00:00:00"/>
    <s v="555-01005"/>
    <s v="85 Main St"/>
    <s v="Tokyo"/>
    <s v="TK"/>
    <x v="4"/>
    <n v="3.41"/>
    <n v="41"/>
  </r>
  <r>
    <s v="Beau"/>
    <n v="42"/>
    <x v="0"/>
    <x v="3"/>
    <s v="Sales Executive"/>
    <n v="1086"/>
    <n v="163549.73000000001"/>
    <d v="2004-05-09T00:00:00"/>
    <s v="555-01006"/>
    <s v="86 Main St"/>
    <s v="New York"/>
    <s v="NK"/>
    <x v="0"/>
    <n v="4.25"/>
    <n v="6"/>
  </r>
  <r>
    <s v="Becca"/>
    <n v="57"/>
    <x v="2"/>
    <x v="1"/>
    <s v="Sales Executive"/>
    <n v="1087"/>
    <n v="130455.49"/>
    <d v="2009-03-09T00:00:00"/>
    <s v="555-01007"/>
    <s v="87 Main St"/>
    <s v="Paris"/>
    <s v="PA"/>
    <x v="1"/>
    <n v="3.92"/>
    <n v="116"/>
  </r>
  <r>
    <s v="Becky"/>
    <n v="45"/>
    <x v="0"/>
    <x v="1"/>
    <s v="Sales Executive"/>
    <n v="1088"/>
    <n v="177627.47"/>
    <d v="2010-04-12T00:00:00"/>
    <s v="555-01008"/>
    <s v="88 Main St"/>
    <s v="London"/>
    <s v="LN"/>
    <x v="2"/>
    <n v="1.45"/>
    <n v="170"/>
  </r>
  <r>
    <s v="Bella"/>
    <n v="37"/>
    <x v="0"/>
    <x v="4"/>
    <s v="Analyst"/>
    <n v="1089"/>
    <n v="50532.9"/>
    <d v="2016-09-28T00:00:00"/>
    <s v="555-01009"/>
    <s v="89 Main St"/>
    <s v="Dubai"/>
    <s v="DB"/>
    <x v="3"/>
    <n v="4.95"/>
    <n v="174"/>
  </r>
  <r>
    <s v="Belle"/>
    <n v="35"/>
    <x v="0"/>
    <x v="3"/>
    <s v="Sales Executive"/>
    <n v="1090"/>
    <n v="191020.43"/>
    <d v="2005-06-23T00:00:00"/>
    <s v="555-01000"/>
    <s v="90 Main St"/>
    <s v="Tokyo"/>
    <s v="TK"/>
    <x v="4"/>
    <n v="1.47"/>
    <n v="27"/>
  </r>
  <r>
    <s v="Ben"/>
    <n v="43"/>
    <x v="1"/>
    <x v="3"/>
    <s v="Sales Executive"/>
    <n v="1091"/>
    <n v="75577.7"/>
    <d v="2018-01-01T00:00:00"/>
    <s v="555-01001"/>
    <s v="91 Main St"/>
    <s v="New York"/>
    <s v="NK"/>
    <x v="0"/>
    <n v="4.0599999999999996"/>
    <n v="74"/>
  </r>
  <r>
    <s v="Benjamin"/>
    <n v="27"/>
    <x v="0"/>
    <x v="1"/>
    <s v="Project Manager"/>
    <n v="1092"/>
    <n v="109813.63"/>
    <d v="2006-05-24T00:00:00"/>
    <s v="555-01002"/>
    <s v="92 Main St"/>
    <s v="Paris"/>
    <s v="PA"/>
    <x v="1"/>
    <n v="4.43"/>
    <n v="183"/>
  </r>
  <r>
    <s v="Bennett"/>
    <n v="63"/>
    <x v="0"/>
    <x v="1"/>
    <s v="Project Manager"/>
    <n v="1093"/>
    <n v="175520.46"/>
    <d v="2017-10-23T00:00:00"/>
    <s v="555-01003"/>
    <s v="93 Main St"/>
    <s v="London"/>
    <s v="LN"/>
    <x v="2"/>
    <n v="3.08"/>
    <n v="73"/>
  </r>
  <r>
    <s v="Benny"/>
    <n v="57"/>
    <x v="0"/>
    <x v="4"/>
    <s v="Project Manager"/>
    <n v="1094"/>
    <n v="146799.99"/>
    <d v="2017-08-27T00:00:00"/>
    <s v="555-01004"/>
    <s v="94 Main St"/>
    <s v="Dubai"/>
    <s v="DB"/>
    <x v="3"/>
    <n v="1.17"/>
    <n v="70"/>
  </r>
  <r>
    <s v="Bernard"/>
    <n v="22"/>
    <x v="0"/>
    <x v="2"/>
    <s v="Sales Executive"/>
    <n v="1095"/>
    <n v="67509.440000000002"/>
    <d v="2001-05-29T00:00:00"/>
    <s v="555-01005"/>
    <s v="95 Main St"/>
    <s v="Tokyo"/>
    <s v="TK"/>
    <x v="4"/>
    <n v="3.95"/>
    <n v="19"/>
  </r>
  <r>
    <s v="Beth"/>
    <n v="53"/>
    <x v="2"/>
    <x v="3"/>
    <s v="Sales Executive"/>
    <n v="1096"/>
    <n v="187066.97"/>
    <d v="2016-09-17T00:00:00"/>
    <s v="555-01006"/>
    <s v="96 Main St"/>
    <s v="New York"/>
    <s v="NK"/>
    <x v="0"/>
    <n v="1.82"/>
    <n v="157"/>
  </r>
  <r>
    <s v="Bethany"/>
    <n v="27"/>
    <x v="2"/>
    <x v="1"/>
    <s v="HR Specialist"/>
    <n v="1097"/>
    <n v="177682.97"/>
    <d v="2009-06-28T00:00:00"/>
    <s v="555-01007"/>
    <s v="97 Main St"/>
    <s v="Paris"/>
    <s v="PA"/>
    <x v="1"/>
    <n v="1.42"/>
    <n v="37"/>
  </r>
  <r>
    <s v="Betsy"/>
    <n v="52"/>
    <x v="1"/>
    <x v="3"/>
    <s v="Analyst"/>
    <n v="1098"/>
    <n v="112967.08"/>
    <d v="2015-05-30T00:00:00"/>
    <s v="555-01008"/>
    <s v="98 Main St"/>
    <s v="London"/>
    <s v="LN"/>
    <x v="2"/>
    <n v="2.44"/>
    <n v="44"/>
  </r>
  <r>
    <s v="Betty"/>
    <n v="22"/>
    <x v="0"/>
    <x v="2"/>
    <s v="HR Specialist"/>
    <n v="1099"/>
    <n v="104824.8"/>
    <d v="2022-04-12T00:00:00"/>
    <s v="555-01009"/>
    <s v="99 Main St"/>
    <s v="Dubai"/>
    <s v="DB"/>
    <x v="3"/>
    <n v="4.24"/>
    <n v="91"/>
  </r>
  <r>
    <s v="Bianca"/>
    <n v="58"/>
    <x v="1"/>
    <x v="4"/>
    <s v="Analyst"/>
    <n v="1100"/>
    <n v="159929.82999999999"/>
    <d v="2011-05-16T00:00:00"/>
    <s v="555-01000"/>
    <s v="100 Main St"/>
    <s v="Tokyo"/>
    <s v="TK"/>
    <x v="4"/>
    <n v="3.94"/>
    <n v="5"/>
  </r>
  <r>
    <s v="Bill"/>
    <n v="56"/>
    <x v="0"/>
    <x v="2"/>
    <s v="HR Specialist"/>
    <n v="1101"/>
    <n v="135123.97"/>
    <d v="2012-08-05T00:00:00"/>
    <s v="555-01001"/>
    <s v="101 Main St"/>
    <s v="New York"/>
    <s v="NK"/>
    <x v="0"/>
    <n v="4.8099999999999996"/>
    <n v="102"/>
  </r>
  <r>
    <s v="Billy"/>
    <n v="51"/>
    <x v="2"/>
    <x v="4"/>
    <s v="Project Manager"/>
    <n v="1102"/>
    <n v="52630.1"/>
    <d v="2006-11-25T00:00:00"/>
    <s v="555-01002"/>
    <s v="102 Main St"/>
    <s v="Paris"/>
    <s v="PA"/>
    <x v="1"/>
    <n v="2.21"/>
    <n v="69"/>
  </r>
  <r>
    <s v="Blaine"/>
    <n v="25"/>
    <x v="0"/>
    <x v="3"/>
    <s v="Sales Executive"/>
    <n v="1103"/>
    <n v="55964.99"/>
    <d v="2019-04-15T00:00:00"/>
    <s v="555-01003"/>
    <s v="103 Main St"/>
    <s v="London"/>
    <s v="LN"/>
    <x v="2"/>
    <n v="4.59"/>
    <n v="57"/>
  </r>
  <r>
    <s v="Blake"/>
    <n v="56"/>
    <x v="1"/>
    <x v="0"/>
    <s v="Project Manager"/>
    <n v="1104"/>
    <n v="169848.08"/>
    <d v="2015-05-02T00:00:00"/>
    <s v="555-01004"/>
    <s v="104 Main St"/>
    <s v="Dubai"/>
    <s v="DB"/>
    <x v="3"/>
    <n v="3.11"/>
    <n v="195"/>
  </r>
  <r>
    <s v="Blair"/>
    <n v="64"/>
    <x v="0"/>
    <x v="3"/>
    <s v="HR Specialist"/>
    <n v="1105"/>
    <n v="111312.24"/>
    <d v="2008-06-10T00:00:00"/>
    <s v="555-01005"/>
    <s v="105 Main St"/>
    <s v="Tokyo"/>
    <s v="TK"/>
    <x v="4"/>
    <n v="2.21"/>
    <n v="139"/>
  </r>
  <r>
    <s v="Blanche"/>
    <n v="35"/>
    <x v="2"/>
    <x v="0"/>
    <s v="Analyst"/>
    <n v="1106"/>
    <n v="69669.53"/>
    <d v="2000-08-14T00:00:00"/>
    <s v="555-01006"/>
    <s v="106 Main St"/>
    <s v="New York"/>
    <s v="NK"/>
    <x v="0"/>
    <n v="4.83"/>
    <n v="106"/>
  </r>
  <r>
    <s v="Blayne"/>
    <n v="61"/>
    <x v="1"/>
    <x v="3"/>
    <s v="Software Engineer"/>
    <n v="1107"/>
    <n v="183950.64"/>
    <d v="2013-02-20T00:00:00"/>
    <s v="555-01007"/>
    <s v="107 Main St"/>
    <s v="Paris"/>
    <s v="PA"/>
    <x v="1"/>
    <n v="1.37"/>
    <n v="94"/>
  </r>
  <r>
    <s v="Bo"/>
    <n v="43"/>
    <x v="0"/>
    <x v="2"/>
    <s v="Software Engineer"/>
    <n v="1108"/>
    <n v="158746.28"/>
    <d v="2019-10-04T00:00:00"/>
    <s v="555-01008"/>
    <s v="108 Main St"/>
    <s v="London"/>
    <s v="LN"/>
    <x v="2"/>
    <n v="3.51"/>
    <n v="187"/>
  </r>
  <r>
    <s v="Bob"/>
    <n v="31"/>
    <x v="2"/>
    <x v="4"/>
    <s v="Sales Executive"/>
    <n v="1109"/>
    <n v="106077.69"/>
    <d v="2010-01-31T00:00:00"/>
    <s v="555-01009"/>
    <s v="109 Main St"/>
    <s v="Dubai"/>
    <s v="DB"/>
    <x v="3"/>
    <n v="1.06"/>
    <n v="137"/>
  </r>
  <r>
    <s v="Bobby"/>
    <n v="22"/>
    <x v="0"/>
    <x v="3"/>
    <s v="Sales Executive"/>
    <n v="1110"/>
    <n v="70223.91"/>
    <d v="2007-02-06T00:00:00"/>
    <s v="555-01000"/>
    <s v="110 Main St"/>
    <s v="Tokyo"/>
    <s v="TK"/>
    <x v="4"/>
    <n v="3.46"/>
    <n v="26"/>
  </r>
  <r>
    <s v="Bonnie"/>
    <n v="32"/>
    <x v="2"/>
    <x v="1"/>
    <s v="HR Specialist"/>
    <n v="1111"/>
    <n v="57538.97"/>
    <d v="2015-05-30T00:00:00"/>
    <s v="555-01001"/>
    <s v="111 Main St"/>
    <s v="New York"/>
    <s v="NK"/>
    <x v="0"/>
    <n v="3.93"/>
    <n v="167"/>
  </r>
  <r>
    <s v="Brad"/>
    <n v="45"/>
    <x v="1"/>
    <x v="4"/>
    <s v="Analyst"/>
    <n v="1112"/>
    <n v="146054.62"/>
    <d v="2007-01-31T00:00:00"/>
    <s v="555-01002"/>
    <s v="112 Main St"/>
    <s v="Paris"/>
    <s v="PA"/>
    <x v="1"/>
    <n v="4.5199999999999996"/>
    <n v="145"/>
  </r>
  <r>
    <s v="Bradley"/>
    <n v="24"/>
    <x v="1"/>
    <x v="2"/>
    <s v="Analyst"/>
    <n v="1113"/>
    <n v="143874.01"/>
    <d v="2022-02-10T00:00:00"/>
    <s v="555-01003"/>
    <s v="113 Main St"/>
    <s v="London"/>
    <s v="LN"/>
    <x v="2"/>
    <n v="1.33"/>
    <n v="16"/>
  </r>
  <r>
    <s v="Brady"/>
    <n v="56"/>
    <x v="0"/>
    <x v="3"/>
    <s v="Project Manager"/>
    <n v="1114"/>
    <n v="161261.99"/>
    <d v="2012-08-25T00:00:00"/>
    <s v="555-01004"/>
    <s v="114 Main St"/>
    <s v="Dubai"/>
    <s v="DB"/>
    <x v="3"/>
    <n v="1.34"/>
    <n v="43"/>
  </r>
  <r>
    <s v="Brandon"/>
    <n v="57"/>
    <x v="2"/>
    <x v="4"/>
    <s v="HR Specialist"/>
    <n v="1115"/>
    <n v="147168.12"/>
    <d v="2021-09-26T00:00:00"/>
    <s v="555-01005"/>
    <s v="115 Main St"/>
    <s v="Tokyo"/>
    <s v="TK"/>
    <x v="4"/>
    <n v="1.96"/>
    <n v="132"/>
  </r>
  <r>
    <s v="Brandy"/>
    <n v="52"/>
    <x v="1"/>
    <x v="1"/>
    <s v="Project Manager"/>
    <n v="1116"/>
    <n v="117431.74"/>
    <d v="2008-05-01T00:00:00"/>
    <s v="555-01006"/>
    <s v="116 Main St"/>
    <s v="New York"/>
    <s v="NK"/>
    <x v="0"/>
    <n v="1.21"/>
    <n v="183"/>
  </r>
  <r>
    <s v="Breanna"/>
    <n v="25"/>
    <x v="0"/>
    <x v="4"/>
    <s v="HR Specialist"/>
    <n v="1117"/>
    <n v="67284.429999999993"/>
    <d v="2000-04-28T00:00:00"/>
    <s v="555-01007"/>
    <s v="117 Main St"/>
    <s v="Paris"/>
    <s v="PA"/>
    <x v="1"/>
    <n v="3.58"/>
    <n v="21"/>
  </r>
  <r>
    <s v="Brenda"/>
    <n v="40"/>
    <x v="0"/>
    <x v="3"/>
    <s v="HR Specialist"/>
    <n v="1118"/>
    <n v="105675.72"/>
    <d v="2003-06-06T00:00:00"/>
    <s v="555-01008"/>
    <s v="118 Main St"/>
    <s v="London"/>
    <s v="LN"/>
    <x v="2"/>
    <n v="4.46"/>
    <n v="31"/>
  </r>
  <r>
    <s v="Brent"/>
    <n v="57"/>
    <x v="0"/>
    <x v="1"/>
    <s v="Sales Executive"/>
    <n v="1119"/>
    <n v="141270.35999999999"/>
    <d v="2007-03-31T00:00:00"/>
    <s v="555-01009"/>
    <s v="119 Main St"/>
    <s v="Dubai"/>
    <s v="DB"/>
    <x v="3"/>
    <n v="1.48"/>
    <n v="91"/>
  </r>
  <r>
    <s v="Brett"/>
    <n v="42"/>
    <x v="2"/>
    <x v="3"/>
    <s v="Sales Executive"/>
    <n v="1120"/>
    <n v="128756.24"/>
    <d v="2013-11-22T00:00:00"/>
    <s v="555-01000"/>
    <s v="120 Main St"/>
    <s v="Tokyo"/>
    <s v="TK"/>
    <x v="4"/>
    <n v="1.78"/>
    <n v="107"/>
  </r>
  <r>
    <s v="Brian"/>
    <n v="39"/>
    <x v="0"/>
    <x v="0"/>
    <s v="Analyst"/>
    <n v="1121"/>
    <n v="93820.77"/>
    <d v="2003-01-20T00:00:00"/>
    <s v="555-01001"/>
    <s v="121 Main St"/>
    <s v="New York"/>
    <s v="NK"/>
    <x v="0"/>
    <n v="4.5999999999999996"/>
    <n v="180"/>
  </r>
  <r>
    <s v="Briana"/>
    <n v="49"/>
    <x v="2"/>
    <x v="4"/>
    <s v="Analyst"/>
    <n v="1122"/>
    <n v="85363.67"/>
    <d v="2013-03-06T00:00:00"/>
    <s v="555-01002"/>
    <s v="122 Main St"/>
    <s v="Paris"/>
    <s v="PA"/>
    <x v="1"/>
    <n v="4.1500000000000004"/>
    <n v="147"/>
  </r>
  <r>
    <s v="Brianna"/>
    <n v="36"/>
    <x v="0"/>
    <x v="1"/>
    <s v="Sales Executive"/>
    <n v="1123"/>
    <n v="95725.81"/>
    <d v="2001-08-05T00:00:00"/>
    <s v="555-01003"/>
    <s v="123 Main St"/>
    <s v="London"/>
    <s v="LN"/>
    <x v="2"/>
    <n v="4.6900000000000004"/>
    <n v="157"/>
  </r>
  <r>
    <s v="Bridget"/>
    <n v="63"/>
    <x v="2"/>
    <x v="3"/>
    <s v="Software Engineer"/>
    <n v="1124"/>
    <n v="59834.07"/>
    <d v="2016-07-17T00:00:00"/>
    <s v="555-01004"/>
    <s v="124 Main St"/>
    <s v="sum("/>
    <s v="DB"/>
    <x v="3"/>
    <n v="1.55"/>
    <n v="104"/>
  </r>
  <r>
    <s v="Britt"/>
    <n v="23"/>
    <x v="0"/>
    <x v="0"/>
    <s v="Analyst"/>
    <n v="1125"/>
    <n v="152954.07"/>
    <d v="2014-08-16T00:00:00"/>
    <s v="555-01005"/>
    <s v="125 Main St"/>
    <s v="Tokyo"/>
    <s v="TK"/>
    <x v="4"/>
    <n v="3.67"/>
    <n v="84"/>
  </r>
  <r>
    <s v="Brittany"/>
    <n v="58"/>
    <x v="0"/>
    <x v="3"/>
    <s v="Project Manager"/>
    <n v="1126"/>
    <n v="102781.5"/>
    <d v="2003-01-28T00:00:00"/>
    <s v="555-01006"/>
    <s v="126 Main St"/>
    <s v="New York"/>
    <s v="NK"/>
    <x v="0"/>
    <n v="2.34"/>
    <n v="119"/>
  </r>
  <r>
    <s v="Brooke"/>
    <n v="32"/>
    <x v="2"/>
    <x v="3"/>
    <s v="Software Engineer"/>
    <n v="1127"/>
    <n v="95566.29"/>
    <d v="2011-12-30T00:00:00"/>
    <s v="555-01007"/>
    <s v="127 Main St"/>
    <s v="Paris"/>
    <s v="PA"/>
    <x v="1"/>
    <n v="3.75"/>
    <n v="31"/>
  </r>
  <r>
    <s v="Brooks"/>
    <n v="44"/>
    <x v="1"/>
    <x v="4"/>
    <s v="Project Manager"/>
    <n v="1128"/>
    <n v="130536.23"/>
    <d v="2006-04-20T00:00:00"/>
    <s v="555-01008"/>
    <s v="128 Main St"/>
    <s v="London"/>
    <s v="LN"/>
    <x v="2"/>
    <n v="1.6"/>
    <n v="116"/>
  </r>
  <r>
    <s v="Bruce"/>
    <n v="62"/>
    <x v="1"/>
    <x v="4"/>
    <s v="HR Specialist"/>
    <n v="1129"/>
    <n v="142573.92000000001"/>
    <d v="2017-08-01T00:00:00"/>
    <s v="555-01009"/>
    <s v="129 Main St"/>
    <s v="Dubai"/>
    <s v="DB"/>
    <x v="3"/>
    <n v="1.79"/>
    <n v="66"/>
  </r>
  <r>
    <s v="Bryan"/>
    <n v="33"/>
    <x v="1"/>
    <x v="0"/>
    <s v="HR Specialist"/>
    <n v="1130"/>
    <n v="51482.720000000001"/>
    <d v="2004-10-28T00:00:00"/>
    <s v="555-01000"/>
    <s v="130 Main St"/>
    <s v="Tokyo"/>
    <s v="TK"/>
    <x v="4"/>
    <n v="1.82"/>
    <n v="99"/>
  </r>
  <r>
    <s v="Bryce"/>
    <n v="24"/>
    <x v="2"/>
    <x v="4"/>
    <s v="HR Specialist"/>
    <n v="1131"/>
    <n v="154557.16"/>
    <d v="2006-11-27T00:00:00"/>
    <s v="555-01001"/>
    <s v="131 Main St"/>
    <s v="New York"/>
    <s v="NK"/>
    <x v="0"/>
    <n v="3.11"/>
    <n v="198"/>
  </r>
  <r>
    <s v="Bryn"/>
    <n v="38"/>
    <x v="1"/>
    <x v="1"/>
    <s v="Analyst"/>
    <n v="1132"/>
    <n v="154261.34"/>
    <d v="2012-12-10T00:00:00"/>
    <s v="555-01002"/>
    <s v="132 Main St"/>
    <s v="Paris"/>
    <s v="PA"/>
    <x v="1"/>
    <n v="2.52"/>
    <n v="197"/>
  </r>
  <r>
    <s v="Brynn"/>
    <n v="54"/>
    <x v="0"/>
    <x v="0"/>
    <s v="Analyst"/>
    <n v="1133"/>
    <n v="116150.2"/>
    <d v="2003-02-13T00:00:00"/>
    <s v="555-01003"/>
    <s v="133 Main St"/>
    <s v="London"/>
    <s v="LN"/>
    <x v="2"/>
    <n v="3.68"/>
    <n v="35"/>
  </r>
  <r>
    <s v="Buddy"/>
    <n v="22"/>
    <x v="2"/>
    <x v="4"/>
    <s v="HR Specialist"/>
    <n v="1134"/>
    <n v="137115.62"/>
    <d v="2019-09-26T00:00:00"/>
    <s v="555-01004"/>
    <s v="134 Main St"/>
    <s v="Dubai"/>
    <s v="DB"/>
    <x v="3"/>
    <n v="3.38"/>
    <n v="55"/>
  </r>
  <r>
    <s v="Burke"/>
    <n v="60"/>
    <x v="1"/>
    <x v="2"/>
    <s v="Analyst"/>
    <n v="1135"/>
    <n v="125582.69"/>
    <d v="2000-10-10T00:00:00"/>
    <s v="555-01005"/>
    <s v="135 Main St"/>
    <s v="Tokyo"/>
    <s v="TK"/>
    <x v="4"/>
    <n v="1.17"/>
    <n v="91"/>
  </r>
  <r>
    <s v="Byron"/>
    <n v="41"/>
    <x v="0"/>
    <x v="1"/>
    <s v="Analyst"/>
    <n v="1136"/>
    <n v="52229.94"/>
    <d v="2012-12-05T00:00:00"/>
    <s v="555-01006"/>
    <s v="136 Main St"/>
    <s v="New York"/>
    <s v="NK"/>
    <x v="0"/>
    <n v="4.41"/>
    <n v="178"/>
  </r>
  <r>
    <s v="Cade"/>
    <n v="64"/>
    <x v="0"/>
    <x v="3"/>
    <s v="Project Manager"/>
    <n v="1137"/>
    <n v="67393.98"/>
    <d v="2014-03-22T00:00:00"/>
    <s v="555-01007"/>
    <s v="137 Main St"/>
    <s v="Paris"/>
    <s v="PA"/>
    <x v="1"/>
    <n v="4.4400000000000004"/>
    <n v="24"/>
  </r>
  <r>
    <s v="Caden"/>
    <n v="62"/>
    <x v="2"/>
    <x v="1"/>
    <s v="Sales Executive"/>
    <n v="1138"/>
    <n v="141807.04999999999"/>
    <d v="2015-02-28T00:00:00"/>
    <s v="555-01008"/>
    <s v="138 Main St"/>
    <s v="London"/>
    <s v="LN"/>
    <x v="2"/>
    <n v="4.25"/>
    <n v="104"/>
  </r>
  <r>
    <s v="Caitlin"/>
    <n v="35"/>
    <x v="1"/>
    <x v="1"/>
    <s v="HR Specialist"/>
    <n v="1139"/>
    <n v="92140.25"/>
    <d v="2015-08-27T00:00:00"/>
    <s v="555-01009"/>
    <s v="139 Main St"/>
    <s v="Dubai"/>
    <s v="DB"/>
    <x v="3"/>
    <n v="4.3600000000000003"/>
    <n v="134"/>
  </r>
  <r>
    <s v="Caleb"/>
    <n v="52"/>
    <x v="0"/>
    <x v="1"/>
    <s v="Software Engineer"/>
    <n v="1140"/>
    <n v="53356.22"/>
    <d v="2007-11-12T00:00:00"/>
    <s v="555-01000"/>
    <s v="140 Main St"/>
    <s v="Tokyo"/>
    <s v="TK"/>
    <x v="4"/>
    <n v="1.1200000000000001"/>
    <n v="31"/>
  </r>
  <r>
    <s v="Callie"/>
    <n v="46"/>
    <x v="1"/>
    <x v="2"/>
    <s v="Sales Executive"/>
    <n v="1141"/>
    <n v="183419.13"/>
    <d v="2015-01-04T00:00:00"/>
    <s v="555-01001"/>
    <s v="141 Main St"/>
    <s v="New York"/>
    <s v="NK"/>
    <x v="0"/>
    <n v="4.09"/>
    <n v="153"/>
  </r>
  <r>
    <s v="Calvin"/>
    <n v="24"/>
    <x v="0"/>
    <x v="1"/>
    <s v="Sales Executive"/>
    <n v="1142"/>
    <n v="187395.08"/>
    <d v="2018-11-25T00:00:00"/>
    <s v="555-01002"/>
    <s v="142 Main St"/>
    <s v="Paris"/>
    <s v="PA"/>
    <x v="1"/>
    <n v="2.54"/>
    <n v="34"/>
  </r>
  <r>
    <s v="Cameron"/>
    <n v="25"/>
    <x v="0"/>
    <x v="2"/>
    <s v="Project Manager"/>
    <n v="1143"/>
    <n v="136605.31"/>
    <d v="2005-01-16T00:00:00"/>
    <s v="555-01003"/>
    <s v="143 Main St"/>
    <s v="London"/>
    <s v="LN"/>
    <x v="2"/>
    <n v="1.44"/>
    <n v="157"/>
  </r>
  <r>
    <s v="Camilla"/>
    <n v="52"/>
    <x v="2"/>
    <x v="2"/>
    <s v="HR Specialist"/>
    <n v="1144"/>
    <n v="119278.22"/>
    <d v="2011-11-01T00:00:00"/>
    <s v="555-01004"/>
    <s v="144 Main St"/>
    <s v="Dubai"/>
    <s v="DB"/>
    <x v="3"/>
    <n v="5"/>
    <n v="9"/>
  </r>
  <r>
    <s v="Camille"/>
    <n v="56"/>
    <x v="1"/>
    <x v="4"/>
    <s v="Software Engineer"/>
    <n v="1145"/>
    <n v="71070.22"/>
    <d v="2016-11-19T00:00:00"/>
    <s v="555-01005"/>
    <s v="145 Main St"/>
    <s v="Tokyo"/>
    <s v="TK"/>
    <x v="4"/>
    <n v="3.63"/>
    <n v="116"/>
  </r>
  <r>
    <s v="Candace"/>
    <n v="35"/>
    <x v="0"/>
    <x v="2"/>
    <s v="Software Engineer"/>
    <n v="1146"/>
    <n v="189565.49"/>
    <d v="2004-10-21T00:00:00"/>
    <s v="555-01006"/>
    <s v="146 Main St"/>
    <s v="New York"/>
    <s v="NK"/>
    <x v="0"/>
    <n v="4.26"/>
    <n v="188"/>
  </r>
  <r>
    <s v="Candy"/>
    <n v="62"/>
    <x v="1"/>
    <x v="2"/>
    <s v="Project Manager"/>
    <n v="1147"/>
    <n v="153919.70000000001"/>
    <d v="2018-07-04T00:00:00"/>
    <s v="555-01007"/>
    <s v="147 Main St"/>
    <s v="Paris"/>
    <s v="PA"/>
    <x v="1"/>
    <n v="1.67"/>
    <n v="97"/>
  </r>
  <r>
    <s v="Cara"/>
    <n v="30"/>
    <x v="1"/>
    <x v="0"/>
    <s v="Sales Executive"/>
    <n v="1148"/>
    <n v="106734.88"/>
    <d v="2005-01-29T00:00:00"/>
    <s v="555-01008"/>
    <s v="148 Main St"/>
    <s v="London"/>
    <s v="LN"/>
    <x v="2"/>
    <n v="2"/>
    <n v="111"/>
  </r>
  <r>
    <s v="Carl"/>
    <n v="41"/>
    <x v="1"/>
    <x v="2"/>
    <s v="Project Manager"/>
    <n v="1149"/>
    <n v="88353.35"/>
    <d v="2021-09-28T00:00:00"/>
    <s v="555-01009"/>
    <s v="149 Main St"/>
    <s v="Dubai"/>
    <s v="DB"/>
    <x v="3"/>
    <n v="2.63"/>
    <n v="90"/>
  </r>
  <r>
    <s v="Carla"/>
    <n v="53"/>
    <x v="2"/>
    <x v="1"/>
    <s v="Software Engineer"/>
    <n v="1150"/>
    <n v="106234.64"/>
    <d v="2004-01-03T00:00:00"/>
    <s v="555-01000"/>
    <s v="150 Main St"/>
    <s v="Tokyo"/>
    <s v="TK"/>
    <x v="4"/>
    <n v="3.01"/>
    <n v="137"/>
  </r>
  <r>
    <s v="Carlee"/>
    <n v="30"/>
    <x v="0"/>
    <x v="3"/>
    <s v="Sales Executive"/>
    <n v="1151"/>
    <n v="188957.26"/>
    <d v="2004-08-20T00:00:00"/>
    <s v="555-01001"/>
    <s v="151 Main St"/>
    <s v="New York"/>
    <s v="NK"/>
    <x v="0"/>
    <n v="2.76"/>
    <n v="10"/>
  </r>
  <r>
    <s v="Carley"/>
    <n v="48"/>
    <x v="1"/>
    <x v="2"/>
    <s v="Sales Executive"/>
    <n v="1152"/>
    <n v="82479.19"/>
    <d v="2008-01-19T00:00:00"/>
    <s v="555-01002"/>
    <s v="152 Main St"/>
    <s v="Paris"/>
    <s v="PA"/>
    <x v="1"/>
    <n v="2.0499999999999998"/>
    <n v="27"/>
  </r>
  <r>
    <s v="Carlos"/>
    <n v="24"/>
    <x v="2"/>
    <x v="2"/>
    <s v="Project Manager"/>
    <n v="1153"/>
    <n v="83730.61"/>
    <d v="2017-06-09T00:00:00"/>
    <s v="555-01003"/>
    <s v="153 Main St"/>
    <s v="London"/>
    <s v="LN"/>
    <x v="2"/>
    <n v="1.04"/>
    <n v="199"/>
  </r>
  <r>
    <s v="Carly"/>
    <n v="25"/>
    <x v="1"/>
    <x v="4"/>
    <s v="HR Specialist"/>
    <n v="1154"/>
    <n v="112813.36"/>
    <d v="2015-06-18T00:00:00"/>
    <s v="555-01004"/>
    <s v="154 Main St"/>
    <s v="Dubai"/>
    <s v="DB"/>
    <x v="3"/>
    <n v="1.1599999999999999"/>
    <n v="109"/>
  </r>
  <r>
    <s v="Carmen"/>
    <n v="36"/>
    <x v="2"/>
    <x v="4"/>
    <s v="Analyst"/>
    <n v="1155"/>
    <n v="106580.85"/>
    <d v="2005-11-19T00:00:00"/>
    <s v="555-01005"/>
    <s v="155 Main St"/>
    <s v="Tokyo"/>
    <s v="TK"/>
    <x v="4"/>
    <n v="3.65"/>
    <n v="119"/>
  </r>
  <r>
    <s v="Carol"/>
    <n v="54"/>
    <x v="1"/>
    <x v="1"/>
    <s v="Sales Executive"/>
    <n v="1156"/>
    <n v="116570.12"/>
    <d v="2008-06-18T00:00:00"/>
    <s v="555-01006"/>
    <s v="156 Main St"/>
    <s v="New York"/>
    <s v="NK"/>
    <x v="0"/>
    <n v="3.72"/>
    <n v="88"/>
  </r>
  <r>
    <s v="Caroline"/>
    <n v="26"/>
    <x v="1"/>
    <x v="0"/>
    <s v="Sales Executive"/>
    <n v="1157"/>
    <n v="140480.73000000001"/>
    <d v="2000-03-08T00:00:00"/>
    <s v="555-01007"/>
    <s v="157 Main St"/>
    <s v="Paris"/>
    <s v="PA"/>
    <x v="1"/>
    <n v="3.12"/>
    <n v="171"/>
  </r>
  <r>
    <s v="Carolyn"/>
    <n v="25"/>
    <x v="1"/>
    <x v="2"/>
    <s v="Analyst"/>
    <n v="1158"/>
    <n v="184040.76"/>
    <d v="2020-08-20T00:00:00"/>
    <s v="555-01008"/>
    <s v="158 Main St"/>
    <s v="London"/>
    <s v="LN"/>
    <x v="2"/>
    <n v="1.63"/>
    <n v="160"/>
  </r>
  <r>
    <s v="Carrie"/>
    <n v="33"/>
    <x v="2"/>
    <x v="3"/>
    <s v="Software Engineer"/>
    <n v="1159"/>
    <n v="190807.87"/>
    <d v="2020-03-08T00:00:00"/>
    <s v="555-01009"/>
    <s v="159 Main St"/>
    <s v="Dubai"/>
    <s v="DB"/>
    <x v="3"/>
    <n v="2.59"/>
    <n v="157"/>
  </r>
  <r>
    <s v="Carson"/>
    <n v="44"/>
    <x v="2"/>
    <x v="2"/>
    <s v="Analyst"/>
    <n v="1160"/>
    <n v="191072.85"/>
    <d v="2019-11-04T00:00:00"/>
    <s v="555-01000"/>
    <s v="160 Main St"/>
    <s v="Tokyo"/>
    <s v="TK"/>
    <x v="4"/>
    <n v="4.6500000000000004"/>
    <n v="69"/>
  </r>
  <r>
    <s v="Carter"/>
    <n v="35"/>
    <x v="0"/>
    <x v="0"/>
    <s v="Project Manager"/>
    <n v="1161"/>
    <n v="50831.66"/>
    <d v="2008-12-14T00:00:00"/>
    <s v="555-01001"/>
    <s v="161 Main St"/>
    <s v="New York"/>
    <s v="NK"/>
    <x v="0"/>
    <n v="3.04"/>
    <n v="96"/>
  </r>
  <r>
    <s v="Casey"/>
    <n v="33"/>
    <x v="0"/>
    <x v="0"/>
    <s v="Sales Executive"/>
    <n v="1162"/>
    <n v="178449.14"/>
    <d v="2013-03-07T00:00:00"/>
    <s v="555-01002"/>
    <s v="162 Main St"/>
    <s v="Paris"/>
    <s v="PA"/>
    <x v="1"/>
    <n v="3.19"/>
    <n v="78"/>
  </r>
  <r>
    <s v="Cassandra"/>
    <n v="38"/>
    <x v="2"/>
    <x v="3"/>
    <s v="Sales Executive"/>
    <n v="1163"/>
    <n v="137283.79999999999"/>
    <d v="2016-07-12T00:00:00"/>
    <s v="555-01003"/>
    <s v="163 Main St"/>
    <s v="London"/>
    <s v="LN"/>
    <x v="2"/>
    <n v="4.71"/>
    <n v="153"/>
  </r>
  <r>
    <s v="Cassie"/>
    <n v="46"/>
    <x v="0"/>
    <x v="1"/>
    <s v="HR Specialist"/>
    <n v="1164"/>
    <n v="110179.37"/>
    <d v="2011-10-01T00:00:00"/>
    <s v="555-01004"/>
    <s v="164 Main St"/>
    <s v="Dubai"/>
    <s v="DB"/>
    <x v="3"/>
    <n v="4.88"/>
    <n v="191"/>
  </r>
  <r>
    <s v="Catherine"/>
    <n v="51"/>
    <x v="2"/>
    <x v="2"/>
    <s v="Software Engineer"/>
    <n v="1165"/>
    <n v="146244.54999999999"/>
    <d v="2008-03-14T00:00:00"/>
    <s v="555-01005"/>
    <s v="165 Main St"/>
    <s v="Tokyo"/>
    <s v="TK"/>
    <x v="4"/>
    <n v="3.74"/>
    <n v="61"/>
  </r>
  <r>
    <s v="Cathy"/>
    <n v="43"/>
    <x v="2"/>
    <x v="2"/>
    <s v="Project Manager"/>
    <n v="1166"/>
    <n v="135417.26"/>
    <d v="2016-11-27T00:00:00"/>
    <s v="555-01006"/>
    <s v="166 Main St"/>
    <s v="New York"/>
    <s v="NK"/>
    <x v="0"/>
    <n v="2.85"/>
    <n v="97"/>
  </r>
  <r>
    <s v="Cayden"/>
    <n v="47"/>
    <x v="2"/>
    <x v="4"/>
    <s v="Analyst"/>
    <n v="1167"/>
    <n v="80727.91"/>
    <d v="2012-12-06T00:00:00"/>
    <s v="555-01007"/>
    <s v="167 Main St"/>
    <s v="Paris"/>
    <s v="PA"/>
    <x v="1"/>
    <n v="2.15"/>
    <n v="197"/>
  </r>
  <r>
    <s v="Cecil"/>
    <n v="38"/>
    <x v="0"/>
    <x v="1"/>
    <s v="Software Engineer"/>
    <n v="1168"/>
    <n v="62707.45"/>
    <d v="2009-06-09T00:00:00"/>
    <s v="555-01008"/>
    <s v="168 Main St"/>
    <s v="London"/>
    <s v="LN"/>
    <x v="2"/>
    <n v="2.4500000000000002"/>
    <n v="155"/>
  </r>
  <r>
    <s v="Cedric"/>
    <n v="41"/>
    <x v="1"/>
    <x v="3"/>
    <s v="Software Engineer"/>
    <n v="1169"/>
    <n v="78835.399999999994"/>
    <d v="2010-04-02T00:00:00"/>
    <s v="555-01009"/>
    <s v="169 Main St"/>
    <s v="Dubai"/>
    <s v="DB"/>
    <x v="3"/>
    <n v="2.5099999999999998"/>
    <n v="101"/>
  </r>
  <r>
    <s v="Celeste"/>
    <n v="55"/>
    <x v="0"/>
    <x v="2"/>
    <s v="Project Manager"/>
    <n v="1170"/>
    <n v="84119.27"/>
    <d v="2022-03-23T00:00:00"/>
    <s v="555-01000"/>
    <s v="170 Main St"/>
    <s v="Tokyo"/>
    <s v="TK"/>
    <x v="4"/>
    <n v="2.42"/>
    <n v="54"/>
  </r>
  <r>
    <s v="Celine"/>
    <n v="62"/>
    <x v="1"/>
    <x v="0"/>
    <s v="HR Specialist"/>
    <n v="1171"/>
    <n v="138503.97"/>
    <d v="2016-05-13T00:00:00"/>
    <s v="555-01001"/>
    <s v="171 Main St"/>
    <s v="New York"/>
    <s v="NK"/>
    <x v="0"/>
    <n v="3.47"/>
    <n v="148"/>
  </r>
  <r>
    <s v="Chad"/>
    <n v="54"/>
    <x v="0"/>
    <x v="1"/>
    <s v="Project Manager"/>
    <n v="1172"/>
    <n v="92393.52"/>
    <d v="2019-03-28T00:00:00"/>
    <s v="555-01002"/>
    <s v="172 Main St"/>
    <s v="Paris"/>
    <s v="PA"/>
    <x v="1"/>
    <n v="2"/>
    <n v="67"/>
  </r>
  <r>
    <s v="Chance"/>
    <n v="58"/>
    <x v="1"/>
    <x v="0"/>
    <s v="Project Manager"/>
    <n v="1173"/>
    <n v="128933.96"/>
    <d v="2013-08-25T00:00:00"/>
    <s v="555-01003"/>
    <s v="173 Main St"/>
    <s v="London"/>
    <s v="LN"/>
    <x v="2"/>
    <n v="2.0499999999999998"/>
    <n v="86"/>
  </r>
  <r>
    <s v="Chandler"/>
    <n v="28"/>
    <x v="1"/>
    <x v="0"/>
    <s v="HR Specialist"/>
    <n v="1174"/>
    <n v="117712.36"/>
    <d v="2005-04-12T00:00:00"/>
    <s v="555-01004"/>
    <s v="174 Main St"/>
    <s v="Dubai"/>
    <s v="DB"/>
    <x v="3"/>
    <n v="2.56"/>
    <n v="198"/>
  </r>
  <r>
    <s v="Chanel"/>
    <n v="43"/>
    <x v="2"/>
    <x v="2"/>
    <s v="Software Engineer"/>
    <n v="1175"/>
    <n v="130926.87"/>
    <d v="2020-01-31T00:00:00"/>
    <s v="555-01005"/>
    <s v="175 Main St"/>
    <s v="Tokyo"/>
    <s v="TK"/>
    <x v="4"/>
    <n v="2.06"/>
    <n v="159"/>
  </r>
  <r>
    <s v="Channing"/>
    <n v="53"/>
    <x v="0"/>
    <x v="3"/>
    <s v="Software Engineer"/>
    <n v="1176"/>
    <n v="77898.44"/>
    <d v="2014-03-30T00:00:00"/>
    <s v="555-01006"/>
    <s v="176 Main St"/>
    <s v="New York"/>
    <s v="NK"/>
    <x v="0"/>
    <n v="4.59"/>
    <n v="133"/>
  </r>
  <r>
    <s v="Charles"/>
    <n v="35"/>
    <x v="1"/>
    <x v="3"/>
    <s v="Analyst"/>
    <n v="1177"/>
    <n v="178306.49"/>
    <d v="2001-06-06T00:00:00"/>
    <s v="555-01007"/>
    <s v="177 Main St"/>
    <s v="Paris"/>
    <s v="PA"/>
    <x v="1"/>
    <n v="1.1200000000000001"/>
    <n v="27"/>
  </r>
  <r>
    <s v="Charlie"/>
    <n v="29"/>
    <x v="0"/>
    <x v="3"/>
    <s v="HR Specialist"/>
    <n v="1178"/>
    <n v="160380.57999999999"/>
    <d v="2008-02-05T00:00:00"/>
    <s v="555-01008"/>
    <s v="178 Main St"/>
    <s v="London"/>
    <s v="LN"/>
    <x v="2"/>
    <n v="3.61"/>
    <n v="144"/>
  </r>
  <r>
    <s v="Charlotte"/>
    <n v="46"/>
    <x v="2"/>
    <x v="2"/>
    <s v="Software Engineer"/>
    <n v="1179"/>
    <n v="61575.01"/>
    <d v="2018-05-06T00:00:00"/>
    <s v="555-01009"/>
    <s v="179 Main St"/>
    <s v="Dubai"/>
    <s v="DB"/>
    <x v="3"/>
    <n v="4.28"/>
    <n v="12"/>
  </r>
  <r>
    <s v="Chase"/>
    <n v="37"/>
    <x v="2"/>
    <x v="4"/>
    <s v="Software Engineer"/>
    <n v="1180"/>
    <n v="183559.83"/>
    <d v="2000-12-18T00:00:00"/>
    <s v="555-01000"/>
    <s v="180 Main St"/>
    <s v="Tokyo"/>
    <s v="TK"/>
    <x v="4"/>
    <n v="2.61"/>
    <n v="167"/>
  </r>
  <r>
    <s v="Chelsea"/>
    <n v="63"/>
    <x v="1"/>
    <x v="3"/>
    <s v="HR Specialist"/>
    <n v="1181"/>
    <n v="101829.91"/>
    <d v="2012-11-16T00:00:00"/>
    <s v="555-01001"/>
    <s v="181 Main St"/>
    <s v="New York"/>
    <s v="NK"/>
    <x v="0"/>
    <n v="1.68"/>
    <n v="182"/>
  </r>
  <r>
    <s v="Cheryl"/>
    <n v="40"/>
    <x v="2"/>
    <x v="0"/>
    <s v="Sales Executive"/>
    <n v="1182"/>
    <n v="195532.2"/>
    <d v="2018-09-07T00:00:00"/>
    <s v="555-01002"/>
    <s v="182 Main St"/>
    <s v="Paris"/>
    <s v="PA"/>
    <x v="1"/>
    <n v="1.85"/>
    <n v="107"/>
  </r>
  <r>
    <s v="Cheyenne"/>
    <n v="62"/>
    <x v="0"/>
    <x v="0"/>
    <s v="Software Engineer"/>
    <n v="1183"/>
    <n v="164843.44"/>
    <d v="2015-03-28T00:00:00"/>
    <s v="555-01003"/>
    <s v="183 Main St"/>
    <s v="London"/>
    <s v="LN"/>
    <x v="2"/>
    <n v="4.09"/>
    <n v="123"/>
  </r>
  <r>
    <s v="Chloe"/>
    <n v="37"/>
    <x v="2"/>
    <x v="4"/>
    <s v="HR Specialist"/>
    <n v="1184"/>
    <n v="132118.04"/>
    <d v="2013-12-30T00:00:00"/>
    <s v="555-01004"/>
    <s v="184 Main St"/>
    <s v="Dubai"/>
    <s v="DB"/>
    <x v="3"/>
    <n v="2.46"/>
    <n v="74"/>
  </r>
  <r>
    <s v="Chris"/>
    <n v="33"/>
    <x v="2"/>
    <x v="1"/>
    <s v="Sales Executive"/>
    <n v="1185"/>
    <n v="173839.41"/>
    <d v="2000-08-26T00:00:00"/>
    <s v="555-01005"/>
    <s v="185 Main St"/>
    <s v="Tokyo"/>
    <s v="TK"/>
    <x v="4"/>
    <n v="3.89"/>
    <n v="25"/>
  </r>
  <r>
    <s v="Christian"/>
    <n v="60"/>
    <x v="2"/>
    <x v="2"/>
    <s v="Sales Executive"/>
    <n v="1186"/>
    <n v="185049.93"/>
    <d v="2010-05-31T00:00:00"/>
    <s v="555-01006"/>
    <s v="186 Main St"/>
    <s v="New York"/>
    <s v="NK"/>
    <x v="0"/>
    <n v="4.75"/>
    <n v="90"/>
  </r>
  <r>
    <s v="Christina"/>
    <n v="51"/>
    <x v="2"/>
    <x v="2"/>
    <s v="Software Engineer"/>
    <n v="1187"/>
    <n v="82501.289999999994"/>
    <d v="2009-09-11T00:00:00"/>
    <s v="555-01007"/>
    <s v="187 Main St"/>
    <s v="Paris"/>
    <s v="PA"/>
    <x v="1"/>
    <n v="3.1"/>
    <n v="55"/>
  </r>
  <r>
    <s v="Christine"/>
    <n v="23"/>
    <x v="0"/>
    <x v="0"/>
    <s v="Analyst"/>
    <n v="1188"/>
    <n v="127951.58"/>
    <d v="2005-05-18T00:00:00"/>
    <s v="555-01008"/>
    <s v="188 Main St"/>
    <s v="London"/>
    <s v="LN"/>
    <x v="2"/>
    <n v="1.01"/>
    <n v="196"/>
  </r>
  <r>
    <s v="Christopher"/>
    <n v="53"/>
    <x v="0"/>
    <x v="3"/>
    <s v="Project Manager"/>
    <n v="1189"/>
    <n v="123811.86"/>
    <d v="2012-11-12T00:00:00"/>
    <s v="555-01009"/>
    <s v="189 Main St"/>
    <s v="Dubai"/>
    <s v="DB"/>
    <x v="3"/>
    <n v="2.3199999999999998"/>
    <n v="183"/>
  </r>
  <r>
    <s v="Cindy"/>
    <n v="46"/>
    <x v="1"/>
    <x v="3"/>
    <s v="Analyst"/>
    <n v="1190"/>
    <n v="169519.69"/>
    <d v="2016-09-25T00:00:00"/>
    <s v="555-01000"/>
    <s v="190 Main St"/>
    <s v="Tokyo"/>
    <s v="TK"/>
    <x v="4"/>
    <n v="3.58"/>
    <n v="91"/>
  </r>
  <r>
    <s v="Claire"/>
    <n v="46"/>
    <x v="2"/>
    <x v="4"/>
    <s v="Analyst"/>
    <n v="1191"/>
    <n v="193583.63"/>
    <d v="2001-07-06T00:00:00"/>
    <s v="555-01001"/>
    <s v="191 Main St"/>
    <s v="New York"/>
    <s v="NK"/>
    <x v="0"/>
    <n v="1.1000000000000001"/>
    <n v="163"/>
  </r>
  <r>
    <s v="Clara"/>
    <n v="25"/>
    <x v="1"/>
    <x v="1"/>
    <s v="Software Engineer"/>
    <n v="1192"/>
    <n v="125357.1"/>
    <d v="2020-01-02T00:00:00"/>
    <s v="555-01002"/>
    <s v="192 Main St"/>
    <s v="Paris"/>
    <s v="PA"/>
    <x v="1"/>
    <n v="4.99"/>
    <n v="24"/>
  </r>
  <r>
    <s v="Clarence"/>
    <n v="40"/>
    <x v="1"/>
    <x v="3"/>
    <s v="HR Specialist"/>
    <n v="1193"/>
    <n v="134070.73000000001"/>
    <d v="2020-02-13T00:00:00"/>
    <s v="555-01003"/>
    <s v="193 Main St"/>
    <s v="London"/>
    <s v="LN"/>
    <x v="2"/>
    <n v="3.69"/>
    <n v="96"/>
  </r>
  <r>
    <s v="Clark"/>
    <n v="25"/>
    <x v="0"/>
    <x v="3"/>
    <s v="HR Specialist"/>
    <n v="1194"/>
    <n v="113482.71"/>
    <d v="2013-09-22T00:00:00"/>
    <s v="555-01004"/>
    <s v="194 Main St"/>
    <s v="Dubai"/>
    <s v="DB"/>
    <x v="3"/>
    <n v="2.5299999999999998"/>
    <n v="195"/>
  </r>
  <r>
    <s v="Claudia"/>
    <n v="64"/>
    <x v="2"/>
    <x v="0"/>
    <s v="Sales Executive"/>
    <n v="1195"/>
    <n v="124727.5"/>
    <d v="2021-06-23T00:00:00"/>
    <s v="555-01005"/>
    <s v="195 Main St"/>
    <s v="Tokyo"/>
    <s v="TK"/>
    <x v="4"/>
    <n v="3.09"/>
    <n v="76"/>
  </r>
  <r>
    <s v="Clay"/>
    <n v="34"/>
    <x v="2"/>
    <x v="3"/>
    <s v="Analyst"/>
    <n v="1196"/>
    <n v="130015.62"/>
    <d v="2021-07-07T00:00:00"/>
    <s v="555-01006"/>
    <s v="196 Main St"/>
    <s v="New York"/>
    <s v="NK"/>
    <x v="0"/>
    <n v="4.88"/>
    <n v="74"/>
  </r>
  <r>
    <s v="Clayton"/>
    <n v="60"/>
    <x v="0"/>
    <x v="2"/>
    <s v="Project Manager"/>
    <n v="1197"/>
    <n v="163719.73000000001"/>
    <d v="2015-03-24T00:00:00"/>
    <s v="555-01007"/>
    <s v="197 Main St"/>
    <s v="Paris"/>
    <s v="PA"/>
    <x v="1"/>
    <n v="6.01"/>
    <n v="58"/>
  </r>
  <r>
    <s v="Clementine"/>
    <n v="57"/>
    <x v="0"/>
    <x v="3"/>
    <s v="Sales Executive"/>
    <n v="1198"/>
    <n v="197654.17"/>
    <d v="2010-03-19T00:00:00"/>
    <s v="555-01008"/>
    <s v="198 Main St"/>
    <s v="London"/>
    <s v="LN"/>
    <x v="2"/>
    <n v="4.17"/>
    <n v="187"/>
  </r>
  <r>
    <s v="Cliff"/>
    <n v="44"/>
    <x v="0"/>
    <x v="3"/>
    <s v="Project Manager"/>
    <n v="1199"/>
    <n v="173855.59"/>
    <d v="2009-11-21T00:00:00"/>
    <s v="555-01009"/>
    <s v="199 Main St"/>
    <s v="Dubai"/>
    <s v="DB"/>
    <x v="3"/>
    <n v="2.41"/>
    <n v="42"/>
  </r>
  <r>
    <s v="Clifford"/>
    <n v="27"/>
    <x v="2"/>
    <x v="1"/>
    <s v="Sales Executive"/>
    <n v="1200"/>
    <n v="192673.27"/>
    <d v="2002-06-17T00:00:00"/>
    <s v="555-01000"/>
    <s v="200 Main St"/>
    <s v="Tokyo"/>
    <s v="TK"/>
    <x v="4"/>
    <n v="2.0299999999999998"/>
    <n v="192"/>
  </r>
  <r>
    <s v="Clinton"/>
    <n v="45"/>
    <x v="1"/>
    <x v="2"/>
    <s v="HR Specialist"/>
    <n v="1201"/>
    <n v="71992.12"/>
    <d v="2015-07-22T00:00:00"/>
    <s v="555-01001"/>
    <s v="201 Main St"/>
    <s v="New York"/>
    <s v="NK"/>
    <x v="0"/>
    <n v="3.75"/>
    <n v="143"/>
  </r>
  <r>
    <s v="Clive"/>
    <n v="54"/>
    <x v="1"/>
    <x v="4"/>
    <s v="Software Engineer"/>
    <n v="1202"/>
    <n v="74990.37"/>
    <d v="2003-04-18T00:00:00"/>
    <s v="555-01002"/>
    <s v="202 Main St"/>
    <s v="Paris"/>
    <s v="PA"/>
    <x v="1"/>
    <n v="3.17"/>
    <n v="136"/>
  </r>
  <r>
    <s v="Clyde"/>
    <n v="33"/>
    <x v="2"/>
    <x v="2"/>
    <s v="Project Manager"/>
    <n v="1203"/>
    <n v="109528.23"/>
    <d v="2004-11-17T00:00:00"/>
    <s v="555-01003"/>
    <s v="203 Main St"/>
    <s v="London"/>
    <s v="LN"/>
    <x v="2"/>
    <n v="4.13"/>
    <n v="164"/>
  </r>
  <r>
    <s v="Cody"/>
    <n v="62"/>
    <x v="1"/>
    <x v="4"/>
    <s v="Software Engineer"/>
    <n v="1204"/>
    <n v="113534.96"/>
    <d v="2007-07-31T00:00:00"/>
    <s v="555-01004"/>
    <s v="204 Main St"/>
    <s v="Dubai"/>
    <s v="DB"/>
    <x v="3"/>
    <n v="3.77"/>
    <n v="55"/>
  </r>
  <r>
    <s v="Colby"/>
    <n v="42"/>
    <x v="2"/>
    <x v="1"/>
    <s v="Sales Executive"/>
    <n v="1205"/>
    <n v="193982.72"/>
    <d v="2011-07-11T00:00:00"/>
    <s v="555-01005"/>
    <s v="205 Main St"/>
    <s v="Tokyo"/>
    <s v="TK"/>
    <x v="4"/>
    <n v="1.79"/>
    <n v="158"/>
  </r>
  <r>
    <s v="Cole"/>
    <n v="32"/>
    <x v="2"/>
    <x v="1"/>
    <s v="Sales Executive"/>
    <n v="1206"/>
    <n v="164553.85"/>
    <d v="2016-02-19T00:00:00"/>
    <s v="555-01006"/>
    <s v="206 Main St"/>
    <s v="New York"/>
    <s v="NK"/>
    <x v="0"/>
    <n v="3.59"/>
    <n v="124"/>
  </r>
  <r>
    <s v="Colette"/>
    <n v="59"/>
    <x v="0"/>
    <x v="0"/>
    <s v="Software Engineer"/>
    <n v="1207"/>
    <n v="192770.19"/>
    <d v="2006-10-05T00:00:00"/>
    <s v="555-01007"/>
    <s v="207 Main St"/>
    <s v="Paris"/>
    <s v="PA"/>
    <x v="1"/>
    <n v="3.97"/>
    <n v="46"/>
  </r>
  <r>
    <s v="Colin"/>
    <n v="50"/>
    <x v="2"/>
    <x v="1"/>
    <s v="HR Specialist"/>
    <n v="1208"/>
    <n v="101364.32"/>
    <d v="2006-11-06T00:00:00"/>
    <s v="555-01008"/>
    <s v="208 Main St"/>
    <s v="London"/>
    <s v="LN"/>
    <x v="2"/>
    <n v="2.82"/>
    <n v="67"/>
  </r>
  <r>
    <s v="Colleen"/>
    <n v="62"/>
    <x v="0"/>
    <x v="3"/>
    <s v="Project Manager"/>
    <n v="1209"/>
    <n v="138571.32999999999"/>
    <d v="2019-01-19T00:00:00"/>
    <s v="555-01009"/>
    <s v="209 Main St"/>
    <s v="Dubai"/>
    <s v="DB"/>
    <x v="3"/>
    <n v="4.29"/>
    <n v="57"/>
  </r>
  <r>
    <s v="Collin"/>
    <n v="24"/>
    <x v="0"/>
    <x v="2"/>
    <s v="Software Engineer"/>
    <n v="1210"/>
    <n v="182403.37"/>
    <d v="2012-08-29T00:00:00"/>
    <s v="555-01000"/>
    <s v="210 Main St"/>
    <s v="Tokyo"/>
    <s v="TK"/>
    <x v="4"/>
    <n v="3.19"/>
    <n v="19"/>
  </r>
  <r>
    <s v="Colt"/>
    <n v="49"/>
    <x v="1"/>
    <x v="4"/>
    <s v="Sales Executive"/>
    <n v="1211"/>
    <n v="99791.67"/>
    <d v="2014-07-07T00:00:00"/>
    <s v="555-01001"/>
    <s v="211 Main St"/>
    <s v="New York"/>
    <s v="NK"/>
    <x v="0"/>
    <n v="4.7300000000000004"/>
    <n v="161"/>
  </r>
  <r>
    <s v="Colton"/>
    <n v="41"/>
    <x v="0"/>
    <x v="2"/>
    <s v="Project Manager"/>
    <n v="1212"/>
    <n v="76041.3"/>
    <d v="2002-12-17T00:00:00"/>
    <s v="555-01002"/>
    <s v="212 Main St"/>
    <s v="Paris"/>
    <s v="PA"/>
    <x v="1"/>
    <n v="4.38"/>
    <n v="62"/>
  </r>
  <r>
    <s v="Conner"/>
    <n v="47"/>
    <x v="1"/>
    <x v="2"/>
    <s v="Project Manager"/>
    <n v="1213"/>
    <n v="89391.84"/>
    <d v="2015-07-21T00:00:00"/>
    <s v="555-01003"/>
    <s v="213 Main St"/>
    <s v="London"/>
    <s v="LN"/>
    <x v="2"/>
    <n v="3.52"/>
    <n v="53"/>
  </r>
  <r>
    <s v="Connor"/>
    <n v="45"/>
    <x v="2"/>
    <x v="2"/>
    <s v="Analyst"/>
    <n v="1214"/>
    <n v="89788.08"/>
    <d v="2017-01-19T00:00:00"/>
    <s v="555-01004"/>
    <s v="214 Main St"/>
    <s v="Dubai"/>
    <s v="DB"/>
    <x v="3"/>
    <n v="2.77"/>
    <n v="7"/>
  </r>
  <r>
    <s v="Conrad"/>
    <n v="42"/>
    <x v="1"/>
    <x v="2"/>
    <s v="Project Manager"/>
    <n v="1215"/>
    <n v="184949.46"/>
    <d v="2000-01-01T00:00:00"/>
    <s v="555-01005"/>
    <s v="215 Main St"/>
    <s v="Tokyo"/>
    <s v="TK"/>
    <x v="4"/>
    <n v="4.08"/>
    <n v="115"/>
  </r>
  <r>
    <s v="Cooper"/>
    <n v="51"/>
    <x v="1"/>
    <x v="2"/>
    <s v="HR Specialist"/>
    <n v="1216"/>
    <n v="167271.48000000001"/>
    <d v="2000-07-24T00:00:00"/>
    <s v="555-01006"/>
    <s v="216 Main St"/>
    <s v="New York"/>
    <s v="NK"/>
    <x v="0"/>
    <n v="2.2999999999999998"/>
    <n v="138"/>
  </r>
  <r>
    <s v="Coral"/>
    <n v="25"/>
    <x v="1"/>
    <x v="1"/>
    <s v="Software Engineer"/>
    <n v="1217"/>
    <n v="132362.87"/>
    <d v="2022-06-16T00:00:00"/>
    <s v="555-01007"/>
    <s v="217 Main St"/>
    <s v="Paris"/>
    <s v="PA"/>
    <x v="1"/>
    <n v="2.0299999999999998"/>
    <n v="173"/>
  </r>
  <r>
    <s v="Corey"/>
    <n v="57"/>
    <x v="2"/>
    <x v="2"/>
    <s v="HR Specialist"/>
    <n v="1218"/>
    <n v="131962.38"/>
    <d v="2019-07-29T00:00:00"/>
    <s v="555-01008"/>
    <s v="218 Main St"/>
    <s v="London"/>
    <s v="LN"/>
    <x v="2"/>
    <n v="1.5"/>
    <n v="12"/>
  </r>
  <r>
    <s v="Corinne"/>
    <n v="61"/>
    <x v="2"/>
    <x v="2"/>
    <s v="Analyst"/>
    <n v="1219"/>
    <n v="74255.320000000007"/>
    <d v="2007-07-31T00:00:00"/>
    <s v="555-01009"/>
    <s v="219 Main St"/>
    <s v="Dubai"/>
    <s v="DB"/>
    <x v="3"/>
    <n v="1.89"/>
    <n v="111"/>
  </r>
  <r>
    <s v="Cornelius"/>
    <n v="31"/>
    <x v="0"/>
    <x v="4"/>
    <s v="HR Specialist"/>
    <n v="1220"/>
    <n v="99664.94"/>
    <d v="2005-03-02T00:00:00"/>
    <s v="555-01000"/>
    <s v="220 Main St"/>
    <s v="Tokyo"/>
    <s v="TK"/>
    <x v="4"/>
    <n v="2.86"/>
    <n v="170"/>
  </r>
  <r>
    <s v="Cory"/>
    <n v="31"/>
    <x v="2"/>
    <x v="2"/>
    <s v="Project Manager"/>
    <n v="1221"/>
    <n v="81216.87"/>
    <d v="2006-01-13T00:00:00"/>
    <s v="555-01001"/>
    <s v="221 Main St"/>
    <s v="New York"/>
    <s v="NK"/>
    <x v="0"/>
    <n v="4.5599999999999996"/>
    <n v="84"/>
  </r>
  <r>
    <s v="Courtney"/>
    <n v="63"/>
    <x v="0"/>
    <x v="2"/>
    <s v="Project Manager"/>
    <n v="1222"/>
    <n v="112649.78"/>
    <d v="2001-05-16T00:00:00"/>
    <s v="555-01002"/>
    <s v="222 Main St"/>
    <s v="Paris"/>
    <s v="PA"/>
    <x v="1"/>
    <n v="2.9"/>
    <n v="27"/>
  </r>
  <r>
    <s v="Craig"/>
    <n v="45"/>
    <x v="2"/>
    <x v="2"/>
    <s v="Project Manager"/>
    <n v="1223"/>
    <n v="135377.04999999999"/>
    <d v="2022-12-07T00:00:00"/>
    <s v="555-01003"/>
    <s v="223 Main St"/>
    <s v="London"/>
    <s v="LN"/>
    <x v="2"/>
    <n v="1.82"/>
    <n v="109"/>
  </r>
  <r>
    <s v="Crystal"/>
    <n v="25"/>
    <x v="1"/>
    <x v="3"/>
    <s v="Software Engineer"/>
    <n v="1224"/>
    <n v="75203.62"/>
    <d v="2016-05-08T00:00:00"/>
    <s v="555-01004"/>
    <s v="224 Main St"/>
    <s v="Dubai"/>
    <s v="DB"/>
    <x v="3"/>
    <n v="2.17"/>
    <n v="105"/>
  </r>
  <r>
    <s v="Curtis"/>
    <n v="48"/>
    <x v="0"/>
    <x v="3"/>
    <s v="Sales Executive"/>
    <n v="1225"/>
    <n v="172822.37"/>
    <d v="2022-06-23T00:00:00"/>
    <s v="555-01005"/>
    <s v="225 Main St"/>
    <s v="Tokyo"/>
    <s v="TK"/>
    <x v="4"/>
    <n v="4.18"/>
    <n v="64"/>
  </r>
  <r>
    <s v="Cynthia"/>
    <n v="25"/>
    <x v="2"/>
    <x v="3"/>
    <s v="Sales Executive"/>
    <n v="1226"/>
    <n v="121301.24"/>
    <d v="2014-01-02T00:00:00"/>
    <s v="555-01006"/>
    <s v="226 Main St"/>
    <s v="New York"/>
    <s v="NK"/>
    <x v="0"/>
    <n v="3.99"/>
    <n v="40"/>
  </r>
  <r>
    <s v="Cyrus"/>
    <n v="53"/>
    <x v="2"/>
    <x v="2"/>
    <s v="Analyst"/>
    <n v="1227"/>
    <n v="81721.25"/>
    <d v="2016-08-11T00:00:00"/>
    <s v="555-01007"/>
    <s v="227 Main St"/>
    <s v="Paris"/>
    <s v="PA"/>
    <x v="1"/>
    <n v="4.8"/>
    <n v="170"/>
  </r>
  <r>
    <s v="Daisy"/>
    <n v="31"/>
    <x v="2"/>
    <x v="1"/>
    <s v="HR Specialist"/>
    <n v="1228"/>
    <n v="143421.70000000001"/>
    <d v="2002-02-27T00:00:00"/>
    <s v="555-01008"/>
    <s v="228 Main St"/>
    <s v="London"/>
    <s v="LN"/>
    <x v="2"/>
    <n v="1.03"/>
    <n v="63"/>
  </r>
  <r>
    <s v="Dakota"/>
    <n v="32"/>
    <x v="1"/>
    <x v="3"/>
    <s v="Sales Executive"/>
    <n v="1229"/>
    <n v="54925.41"/>
    <d v="2007-05-30T00:00:00"/>
    <s v="555-01009"/>
    <s v="229 Main St"/>
    <s v="Dubai"/>
    <s v="DB"/>
    <x v="3"/>
    <n v="1.78"/>
    <n v="33"/>
  </r>
  <r>
    <s v="Dale"/>
    <n v="49"/>
    <x v="0"/>
    <x v="0"/>
    <s v="Software Engineer"/>
    <n v="1230"/>
    <n v="118633.76"/>
    <d v="2015-05-20T00:00:00"/>
    <s v="555-01000"/>
    <s v="230 Main St"/>
    <s v="Tokyo"/>
    <s v="TK"/>
    <x v="4"/>
    <n v="4.45"/>
    <n v="58"/>
  </r>
  <r>
    <s v="Dallas"/>
    <n v="29"/>
    <x v="0"/>
    <x v="3"/>
    <s v="Project Manager"/>
    <n v="1231"/>
    <n v="59600.23"/>
    <d v="2022-12-20T00:00:00"/>
    <s v="555-01001"/>
    <s v="231 Main St"/>
    <s v="New York"/>
    <s v="NK"/>
    <x v="0"/>
    <n v="4.2699999999999996"/>
    <n v="6"/>
  </r>
  <r>
    <s v="Dalton"/>
    <n v="61"/>
    <x v="0"/>
    <x v="4"/>
    <s v="Analyst"/>
    <n v="1232"/>
    <n v="155324.64000000001"/>
    <d v="2021-08-09T00:00:00"/>
    <s v="555-01002"/>
    <s v="232 Main St"/>
    <s v="Paris"/>
    <s v="PA"/>
    <x v="1"/>
    <n v="1.71"/>
    <n v="91"/>
  </r>
  <r>
    <s v="Damon"/>
    <n v="43"/>
    <x v="2"/>
    <x v="1"/>
    <s v="Project Manager"/>
    <n v="1233"/>
    <n v="130433.43"/>
    <d v="2007-02-22T00:00:00"/>
    <s v="555-01003"/>
    <s v="233 Main St"/>
    <s v="London"/>
    <s v="LN"/>
    <x v="2"/>
    <n v="4.53"/>
    <n v="26"/>
  </r>
  <r>
    <s v="Dan"/>
    <n v="55"/>
    <x v="0"/>
    <x v="4"/>
    <s v="Software Engineer"/>
    <n v="1234"/>
    <n v="142181"/>
    <d v="2004-03-17T00:00:00"/>
    <s v="555-01004"/>
    <s v="234 Main St"/>
    <s v="Dubai"/>
    <s v="DB"/>
    <x v="3"/>
    <n v="1.93"/>
    <n v="161"/>
  </r>
  <r>
    <s v="Dana"/>
    <n v="56"/>
    <x v="0"/>
    <x v="4"/>
    <s v="Project Manager"/>
    <n v="1235"/>
    <n v="62515.58"/>
    <d v="2014-05-30T00:00:00"/>
    <s v="555-01005"/>
    <s v="235 Main St"/>
    <s v="Tokyo"/>
    <s v="TK"/>
    <x v="4"/>
    <n v="1.31"/>
    <n v="5"/>
  </r>
  <r>
    <s v="Dane"/>
    <n v="56"/>
    <x v="2"/>
    <x v="3"/>
    <s v="Software Engineer"/>
    <n v="1236"/>
    <n v="83871.509999999995"/>
    <d v="2012-02-19T00:00:00"/>
    <s v="555-01006"/>
    <s v="236 Main St"/>
    <s v="New York"/>
    <s v="NK"/>
    <x v="0"/>
    <n v="3.89"/>
    <n v="70"/>
  </r>
  <r>
    <s v="Dani"/>
    <n v="46"/>
    <x v="2"/>
    <x v="4"/>
    <s v="HR Specialist"/>
    <n v="1237"/>
    <n v="112677.21"/>
    <d v="2013-06-07T00:00:00"/>
    <s v="555-01007"/>
    <s v="237 Main St"/>
    <s v="Paris"/>
    <s v="PA"/>
    <x v="1"/>
    <n v="1.21"/>
    <n v="101"/>
  </r>
  <r>
    <s v="Daniel"/>
    <n v="55"/>
    <x v="2"/>
    <x v="4"/>
    <s v="Software Engineer"/>
    <n v="1238"/>
    <n v="175174.77"/>
    <d v="2012-11-22T00:00:00"/>
    <s v="555-01008"/>
    <s v="238 Main St"/>
    <s v="London"/>
    <s v="LN"/>
    <x v="2"/>
    <n v="4.43"/>
    <n v="180"/>
  </r>
  <r>
    <s v="Danielle"/>
    <n v="27"/>
    <x v="2"/>
    <x v="1"/>
    <s v="HR Specialist"/>
    <n v="1239"/>
    <n v="128635.02"/>
    <d v="2021-09-10T00:00:00"/>
    <s v="555-01009"/>
    <s v="239 Main St"/>
    <s v="Dubai"/>
    <s v="DB"/>
    <x v="3"/>
    <n v="4.13"/>
    <n v="18"/>
  </r>
  <r>
    <s v="Danny"/>
    <n v="62"/>
    <x v="1"/>
    <x v="3"/>
    <s v="HR Specialist"/>
    <n v="1240"/>
    <n v="113961.94"/>
    <d v="2006-04-27T00:00:00"/>
    <s v="555-01000"/>
    <s v="240 Main St"/>
    <s v="Tokyo"/>
    <s v="TK"/>
    <x v="4"/>
    <n v="1.1399999999999999"/>
    <n v="51"/>
  </r>
  <r>
    <s v="Daphne"/>
    <n v="58"/>
    <x v="1"/>
    <x v="1"/>
    <s v="HR Specialist"/>
    <n v="1241"/>
    <n v="100375.51"/>
    <d v="2002-07-23T00:00:00"/>
    <s v="555-01001"/>
    <s v="241 Main St"/>
    <s v="New York"/>
    <s v="NK"/>
    <x v="0"/>
    <n v="4.95"/>
    <n v="13"/>
  </r>
  <r>
    <s v="Darby"/>
    <n v="22"/>
    <x v="0"/>
    <x v="2"/>
    <s v="Project Manager"/>
    <n v="1242"/>
    <n v="84741.68"/>
    <d v="2002-08-24T00:00:00"/>
    <s v="555-01002"/>
    <s v="242 Main St"/>
    <s v="Paris"/>
    <s v="PA"/>
    <x v="1"/>
    <n v="3.25"/>
    <n v="13"/>
  </r>
  <r>
    <s v="Darcie"/>
    <n v="33"/>
    <x v="1"/>
    <x v="3"/>
    <s v="Project Manager"/>
    <n v="1243"/>
    <n v="57050.02"/>
    <d v="2010-10-30T00:00:00"/>
    <s v="555-01003"/>
    <s v="243 Main St"/>
    <s v="London"/>
    <s v="LN"/>
    <x v="2"/>
    <n v="1.29"/>
    <n v="130"/>
  </r>
  <r>
    <s v="Darla"/>
    <n v="56"/>
    <x v="2"/>
    <x v="4"/>
    <s v="Project Manager"/>
    <n v="1244"/>
    <n v="85831.32"/>
    <d v="2001-03-03T00:00:00"/>
    <s v="555-01004"/>
    <s v="244 Main St"/>
    <s v="Dubai"/>
    <s v="DB"/>
    <x v="3"/>
    <n v="4.91"/>
    <n v="51"/>
  </r>
  <r>
    <s v="Darlene"/>
    <n v="27"/>
    <x v="1"/>
    <x v="3"/>
    <s v="Analyst"/>
    <n v="1245"/>
    <n v="92977.95"/>
    <d v="2010-10-04T00:00:00"/>
    <s v="555-01005"/>
    <s v="245 Main St"/>
    <s v="Tokyo"/>
    <s v="TK"/>
    <x v="4"/>
    <n v="4.5199999999999996"/>
    <n v="57"/>
  </r>
  <r>
    <s v="Darnell"/>
    <n v="38"/>
    <x v="2"/>
    <x v="3"/>
    <s v="Analyst"/>
    <n v="1246"/>
    <n v="168191.05"/>
    <d v="2010-12-14T00:00:00"/>
    <s v="555-01006"/>
    <s v="246 Main St"/>
    <s v="New York"/>
    <s v="NK"/>
    <x v="0"/>
    <n v="4.92"/>
    <n v="115"/>
  </r>
  <r>
    <s v="Daron"/>
    <n v="30"/>
    <x v="1"/>
    <x v="2"/>
    <s v="Sales Executive"/>
    <n v="1247"/>
    <n v="170068.4"/>
    <d v="2009-01-08T00:00:00"/>
    <s v="555-01007"/>
    <s v="247 Main St"/>
    <s v="Paris"/>
    <s v="PA"/>
    <x v="1"/>
    <n v="4.5999999999999996"/>
    <n v="129"/>
  </r>
  <r>
    <s v="Darrell"/>
    <n v="23"/>
    <x v="2"/>
    <x v="1"/>
    <s v="Analyst"/>
    <n v="1248"/>
    <n v="106539.51"/>
    <d v="2020-06-10T00:00:00"/>
    <s v="555-01008"/>
    <s v="248 Main St"/>
    <s v="London"/>
    <s v="LN"/>
    <x v="2"/>
    <n v="3.23"/>
    <n v="7"/>
  </r>
  <r>
    <s v="Darren"/>
    <n v="39"/>
    <x v="0"/>
    <x v="3"/>
    <s v="Project Manager"/>
    <n v="1249"/>
    <n v="53768.17"/>
    <d v="2000-04-27T00:00:00"/>
    <s v="555-01009"/>
    <s v="249 Main St"/>
    <s v="Dubai"/>
    <s v="DB"/>
    <x v="3"/>
    <n v="4.59"/>
    <n v="11"/>
  </r>
  <r>
    <s v="Darrin"/>
    <n v="57"/>
    <x v="0"/>
    <x v="3"/>
    <s v="Analyst"/>
    <n v="1250"/>
    <n v="120671.16"/>
    <d v="2006-06-27T00:00:00"/>
    <s v="555-01000"/>
    <s v="250 Main St"/>
    <s v="Tokyo"/>
    <s v="TK"/>
    <x v="4"/>
    <n v="1.94"/>
    <n v="177"/>
  </r>
  <r>
    <s v="Daryl"/>
    <n v="49"/>
    <x v="1"/>
    <x v="0"/>
    <s v="Analyst"/>
    <n v="1251"/>
    <n v="184784.51"/>
    <d v="2012-06-10T00:00:00"/>
    <s v="555-01001"/>
    <s v="251 Main St"/>
    <s v="New York"/>
    <s v="NK"/>
    <x v="0"/>
    <n v="4.5199999999999996"/>
    <n v="92"/>
  </r>
  <r>
    <s v="Dave"/>
    <n v="62"/>
    <x v="2"/>
    <x v="3"/>
    <s v="Analyst"/>
    <n v="1252"/>
    <n v="159433.12"/>
    <d v="2004-07-22T00:00:00"/>
    <s v="555-01002"/>
    <s v="252 Main St"/>
    <s v="Paris"/>
    <s v="PA"/>
    <x v="1"/>
    <n v="2.62"/>
    <n v="56"/>
  </r>
  <r>
    <s v="David"/>
    <n v="58"/>
    <x v="0"/>
    <x v="1"/>
    <s v="Sales Executive"/>
    <n v="1253"/>
    <n v="61498.81"/>
    <d v="2003-07-30T00:00:00"/>
    <s v="555-01003"/>
    <s v="253 Main St"/>
    <s v="London"/>
    <s v="LN"/>
    <x v="2"/>
    <n v="2.25"/>
    <n v="119"/>
  </r>
  <r>
    <s v="Dawn"/>
    <n v="47"/>
    <x v="2"/>
    <x v="0"/>
    <s v="HR Specialist"/>
    <n v="1254"/>
    <n v="151849.89000000001"/>
    <d v="2000-08-13T00:00:00"/>
    <s v="555-01004"/>
    <s v="254 Main St"/>
    <s v="Dubai"/>
    <s v="DB"/>
    <x v="3"/>
    <n v="4.92"/>
    <n v="81"/>
  </r>
  <r>
    <s v="Dean"/>
    <n v="25"/>
    <x v="1"/>
    <x v="4"/>
    <s v="Project Manager"/>
    <n v="1255"/>
    <n v="138610.54"/>
    <d v="2008-10-06T00:00:00"/>
    <s v="555-01005"/>
    <s v="255 Main St"/>
    <s v="Tokyo"/>
    <s v="TK"/>
    <x v="4"/>
    <n v="1.92"/>
    <n v="92"/>
  </r>
  <r>
    <s v="Deanna"/>
    <n v="61"/>
    <x v="2"/>
    <x v="4"/>
    <s v="Project Manager"/>
    <n v="1256"/>
    <n v="177443.98"/>
    <d v="2015-02-21T00:00:00"/>
    <s v="555-01006"/>
    <s v="256 Main St"/>
    <s v="New York"/>
    <s v="NK"/>
    <x v="0"/>
    <n v="4.38"/>
    <n v="122"/>
  </r>
  <r>
    <s v="Deanne"/>
    <n v="57"/>
    <x v="2"/>
    <x v="3"/>
    <s v="Sales Executive"/>
    <n v="1257"/>
    <n v="120788.75"/>
    <d v="2017-12-20T00:00:00"/>
    <s v="555-01007"/>
    <s v="257 Main St"/>
    <s v="Paris"/>
    <s v="PA"/>
    <x v="1"/>
    <n v="2.34"/>
    <n v="126"/>
  </r>
  <r>
    <s v="Debbie"/>
    <n v="52"/>
    <x v="1"/>
    <x v="1"/>
    <s v="Software Engineer"/>
    <n v="1258"/>
    <n v="86559.05"/>
    <d v="2014-06-26T00:00:00"/>
    <s v="555-01008"/>
    <s v="258 Main St"/>
    <s v="London"/>
    <s v="LN"/>
    <x v="2"/>
    <n v="1.42"/>
    <n v="167"/>
  </r>
  <r>
    <s v="Deborah"/>
    <n v="51"/>
    <x v="0"/>
    <x v="3"/>
    <s v="HR Specialist"/>
    <n v="1259"/>
    <n v="178608.16"/>
    <d v="2000-04-01T00:00:00"/>
    <s v="555-01009"/>
    <s v="259 Main St"/>
    <s v="Dubai"/>
    <s v="DB"/>
    <x v="3"/>
    <n v="1.1299999999999999"/>
    <n v="172"/>
  </r>
  <r>
    <s v="Debra"/>
    <n v="55"/>
    <x v="1"/>
    <x v="4"/>
    <s v="Sales Executive"/>
    <n v="1260"/>
    <n v="164742.84"/>
    <d v="2021-08-10T00:00:00"/>
    <s v="555-01000"/>
    <s v="260 Main St"/>
    <s v="Tokyo"/>
    <s v="TK"/>
    <x v="4"/>
    <n v="3.79"/>
    <n v="45"/>
  </r>
  <r>
    <s v="Dee"/>
    <n v="40"/>
    <x v="2"/>
    <x v="3"/>
    <s v="Project Manager"/>
    <n v="1261"/>
    <n v="148731.92000000001"/>
    <d v="2017-07-29T00:00:00"/>
    <s v="555-01001"/>
    <s v="261 Main St"/>
    <s v="New York"/>
    <s v="NK"/>
    <x v="0"/>
    <n v="1.34"/>
    <n v="75"/>
  </r>
  <r>
    <s v="Deidre"/>
    <n v="39"/>
    <x v="1"/>
    <x v="3"/>
    <s v="Analyst"/>
    <n v="1262"/>
    <n v="54169.54"/>
    <d v="2003-11-18T00:00:00"/>
    <s v="555-01002"/>
    <s v="262 Main St"/>
    <s v="Paris"/>
    <s v="PA"/>
    <x v="1"/>
    <n v="2.98"/>
    <n v="118"/>
  </r>
  <r>
    <s v="Delaney"/>
    <n v="51"/>
    <x v="1"/>
    <x v="4"/>
    <s v="Sales Executive"/>
    <n v="1263"/>
    <n v="111304.76"/>
    <d v="2008-04-01T00:00:00"/>
    <s v="555-01003"/>
    <s v="263 Main St"/>
    <s v="London"/>
    <s v="LN"/>
    <x v="2"/>
    <n v="2.54"/>
    <n v="30"/>
  </r>
  <r>
    <s v="Delia"/>
    <n v="42"/>
    <x v="2"/>
    <x v="4"/>
    <s v="Software Engineer"/>
    <n v="1264"/>
    <n v="70896.56"/>
    <d v="2007-11-03T00:00:00"/>
    <s v="555-01004"/>
    <s v="264 Main St"/>
    <s v="Dubai"/>
    <s v="DB"/>
    <x v="3"/>
    <n v="4.12"/>
    <n v="28"/>
  </r>
  <r>
    <s v="Delilah"/>
    <n v="24"/>
    <x v="1"/>
    <x v="0"/>
    <s v="Sales Executive"/>
    <n v="1265"/>
    <n v="119251.38"/>
    <d v="2008-03-25T00:00:00"/>
    <s v="555-01005"/>
    <s v="265 Main St"/>
    <s v="Tokyo"/>
    <s v="TK"/>
    <x v="4"/>
    <n v="2.78"/>
    <n v="29"/>
  </r>
  <r>
    <s v="Dell"/>
    <n v="27"/>
    <x v="0"/>
    <x v="0"/>
    <s v="Software Engineer"/>
    <n v="1266"/>
    <n v="185497.47"/>
    <d v="2020-09-06T00:00:00"/>
    <s v="555-01006"/>
    <s v="266 Main St"/>
    <s v="New York"/>
    <s v="NK"/>
    <x v="0"/>
    <n v="3.7"/>
    <n v="85"/>
  </r>
  <r>
    <s v="Della"/>
    <n v="59"/>
    <x v="0"/>
    <x v="1"/>
    <s v="Sales Executive"/>
    <n v="1267"/>
    <n v="76888.94"/>
    <d v="2022-05-04T00:00:00"/>
    <s v="555-01007"/>
    <s v="267 Main St"/>
    <s v="Paris"/>
    <s v="PA"/>
    <x v="1"/>
    <n v="3.35"/>
    <n v="97"/>
  </r>
  <r>
    <s v="Denise"/>
    <n v="34"/>
    <x v="1"/>
    <x v="1"/>
    <s v="Software Engineer"/>
    <n v="1268"/>
    <n v="111964.28"/>
    <d v="2008-01-08T00:00:00"/>
    <s v="555-01008"/>
    <s v="268 Main St"/>
    <s v="London"/>
    <s v="LN"/>
    <x v="2"/>
    <n v="1.8"/>
    <n v="118"/>
  </r>
  <r>
    <s v="Dennis"/>
    <n v="24"/>
    <x v="2"/>
    <x v="4"/>
    <s v="Sales Executive"/>
    <n v="1269"/>
    <n v="99758.57"/>
    <d v="2014-07-22T00:00:00"/>
    <s v="555-01009"/>
    <s v="269 Main St"/>
    <s v="Dubai"/>
    <s v="DB"/>
    <x v="3"/>
    <n v="4.7"/>
    <n v="186"/>
  </r>
  <r>
    <s v="Derek"/>
    <n v="49"/>
    <x v="1"/>
    <x v="1"/>
    <s v="Software Engineer"/>
    <n v="1270"/>
    <n v="54618.06"/>
    <d v="2004-01-27T00:00:00"/>
    <s v="555-01000"/>
    <s v="270 Main St"/>
    <s v="Tokyo"/>
    <s v="TK"/>
    <x v="4"/>
    <n v="1.48"/>
    <n v="158"/>
  </r>
  <r>
    <s v="Desmond"/>
    <n v="43"/>
    <x v="1"/>
    <x v="1"/>
    <s v="Software Engineer"/>
    <n v="1271"/>
    <n v="74378.06"/>
    <d v="2019-06-07T00:00:00"/>
    <s v="555-01001"/>
    <s v="271 Main St"/>
    <s v="New York"/>
    <s v="NK"/>
    <x v="0"/>
    <n v="2.87"/>
    <n v="123"/>
  </r>
  <r>
    <s v="Devin"/>
    <n v="61"/>
    <x v="0"/>
    <x v="0"/>
    <s v="Sales Executive"/>
    <n v="1272"/>
    <n v="115673.3"/>
    <d v="2015-01-27T00:00:00"/>
    <s v="555-01002"/>
    <s v="272 Main St"/>
    <s v="Paris"/>
    <s v="PA"/>
    <x v="1"/>
    <n v="2.97"/>
    <n v="50"/>
  </r>
  <r>
    <s v="Devon"/>
    <n v="61"/>
    <x v="0"/>
    <x v="4"/>
    <s v="Project Manager"/>
    <n v="1273"/>
    <n v="169588.36"/>
    <d v="2007-01-07T00:00:00"/>
    <s v="555-01003"/>
    <s v="273 Main St"/>
    <s v="London"/>
    <s v="LN"/>
    <x v="2"/>
    <n v="3.08"/>
    <n v="68"/>
  </r>
  <r>
    <s v="Dexter"/>
    <n v="33"/>
    <x v="2"/>
    <x v="0"/>
    <s v="Sales Executive"/>
    <n v="1274"/>
    <n v="88571.34"/>
    <d v="2008-07-25T00:00:00"/>
    <s v="555-01004"/>
    <s v="274 Main St"/>
    <s v="Dubai"/>
    <s v="DB"/>
    <x v="3"/>
    <n v="3.7"/>
    <n v="176"/>
  </r>
  <r>
    <s v="Diana"/>
    <n v="44"/>
    <x v="2"/>
    <x v="3"/>
    <s v="Project Manager"/>
    <n v="1275"/>
    <n v="142590.68"/>
    <d v="2011-10-04T00:00:00"/>
    <s v="555-01005"/>
    <s v="275 Main St"/>
    <s v="Tokyo"/>
    <s v="TK"/>
    <x v="4"/>
    <n v="1.07"/>
    <n v="76"/>
  </r>
  <r>
    <s v="Diane"/>
    <n v="52"/>
    <x v="2"/>
    <x v="4"/>
    <s v="Software Engineer"/>
    <n v="1276"/>
    <n v="109148.24"/>
    <d v="2016-09-07T00:00:00"/>
    <s v="555-01006"/>
    <s v="276 Main St"/>
    <s v="New York"/>
    <s v="NK"/>
    <x v="0"/>
    <n v="1.52"/>
    <n v="23"/>
  </r>
  <r>
    <s v="Dianna"/>
    <n v="39"/>
    <x v="1"/>
    <x v="2"/>
    <s v="Sales Executive"/>
    <n v="1277"/>
    <n v="136160.51"/>
    <d v="2022-01-21T00:00:00"/>
    <s v="555-01007"/>
    <s v="277 Main St"/>
    <s v="Paris"/>
    <s v="PA"/>
    <x v="1"/>
    <n v="2.83"/>
    <n v="74"/>
  </r>
  <r>
    <s v="Diego"/>
    <n v="28"/>
    <x v="1"/>
    <x v="1"/>
    <s v="Software Engineer"/>
    <n v="1278"/>
    <n v="116788.28"/>
    <d v="2019-02-02T00:00:00"/>
    <s v="555-01008"/>
    <s v="278 Main St"/>
    <s v="London"/>
    <s v="LN"/>
    <x v="2"/>
    <n v="2"/>
    <n v="56"/>
  </r>
  <r>
    <s v="Dina"/>
    <n v="29"/>
    <x v="1"/>
    <x v="1"/>
    <s v="Project Manager"/>
    <n v="1279"/>
    <n v="161981.01"/>
    <d v="2016-06-19T00:00:00"/>
    <s v="555-01009"/>
    <s v="279 Main St"/>
    <s v="Dubai"/>
    <s v="DB"/>
    <x v="3"/>
    <n v="1.4"/>
    <n v="18"/>
  </r>
  <r>
    <s v="Dixie"/>
    <n v="40"/>
    <x v="1"/>
    <x v="4"/>
    <s v="Sales Executive"/>
    <n v="1280"/>
    <n v="103253.23"/>
    <d v="2006-06-30T00:00:00"/>
    <s v="555-01000"/>
    <s v="280 Main St"/>
    <s v="Tokyo"/>
    <s v="TK"/>
    <x v="4"/>
    <n v="3.34"/>
    <n v="151"/>
  </r>
  <r>
    <s v="Dolores"/>
    <n v="50"/>
    <x v="2"/>
    <x v="2"/>
    <s v="Sales Executive"/>
    <n v="1281"/>
    <n v="193535.9"/>
    <d v="2017-07-06T00:00:00"/>
    <s v="555-01001"/>
    <s v="281 Main St"/>
    <s v="New York"/>
    <s v="NK"/>
    <x v="0"/>
    <n v="3.48"/>
    <n v="199"/>
  </r>
  <r>
    <s v="Dominic"/>
    <n v="41"/>
    <x v="2"/>
    <x v="4"/>
    <s v="Sales Executive"/>
    <n v="1282"/>
    <n v="126059.32"/>
    <d v="2013-02-16T00:00:00"/>
    <s v="555-01002"/>
    <s v="282 Main St"/>
    <s v="Paris"/>
    <s v="PA"/>
    <x v="1"/>
    <n v="2.0099999999999998"/>
    <n v="80"/>
  </r>
  <r>
    <s v="Don"/>
    <n v="63"/>
    <x v="2"/>
    <x v="1"/>
    <s v="HR Specialist"/>
    <n v="1283"/>
    <n v="76570.59"/>
    <d v="2006-03-13T00:00:00"/>
    <s v="555-01003"/>
    <s v="283 Main St"/>
    <s v="London"/>
    <s v="LN"/>
    <x v="2"/>
    <n v="4.0999999999999996"/>
    <n v="104"/>
  </r>
  <r>
    <s v="Donald"/>
    <n v="51"/>
    <x v="1"/>
    <x v="1"/>
    <s v="Project Manager"/>
    <n v="1284"/>
    <n v="149758.34"/>
    <d v="2013-08-07T00:00:00"/>
    <s v="555-01004"/>
    <s v="284 Main St"/>
    <s v="Dubai"/>
    <s v="DB"/>
    <x v="3"/>
    <n v="4.8"/>
    <n v="20"/>
  </r>
  <r>
    <s v="Donna"/>
    <n v="43"/>
    <x v="1"/>
    <x v="4"/>
    <s v="Software Engineer"/>
    <n v="1285"/>
    <n v="108352.06"/>
    <d v="2014-09-26T00:00:00"/>
    <s v="555-01005"/>
    <s v="285 Main St"/>
    <s v="Tokyo"/>
    <s v="TK"/>
    <x v="4"/>
    <n v="1.3"/>
    <n v="91"/>
  </r>
  <r>
    <s v="Donnie"/>
    <n v="31"/>
    <x v="2"/>
    <x v="3"/>
    <s v="Software Engineer"/>
    <n v="1286"/>
    <n v="57802.47"/>
    <d v="2021-10-13T00:00:00"/>
    <s v="555-01006"/>
    <s v="286 Main St"/>
    <s v="New York"/>
    <s v="NK"/>
    <x v="0"/>
    <n v="4.5999999999999996"/>
    <n v="88"/>
  </r>
  <r>
    <s v="Donovan"/>
    <n v="47"/>
    <x v="0"/>
    <x v="0"/>
    <s v="Sales Executive"/>
    <n v="1287"/>
    <n v="97920.11"/>
    <d v="2009-01-18T00:00:00"/>
    <s v="555-01007"/>
    <s v="287 Main St"/>
    <s v="Paris"/>
    <s v="PA"/>
    <x v="1"/>
    <n v="4.4400000000000004"/>
    <n v="108"/>
  </r>
  <r>
    <s v="Dora"/>
    <n v="54"/>
    <x v="2"/>
    <x v="4"/>
    <s v="Analyst"/>
    <n v="1288"/>
    <n v="177253.69"/>
    <d v="2005-01-31T00:00:00"/>
    <s v="555-01008"/>
    <s v="288 Main St"/>
    <s v="London"/>
    <s v="LN"/>
    <x v="2"/>
    <n v="2.56"/>
    <n v="60"/>
  </r>
  <r>
    <s v="Doris"/>
    <n v="49"/>
    <x v="1"/>
    <x v="3"/>
    <s v="Analyst"/>
    <n v="1289"/>
    <n v="122504.48"/>
    <d v="2011-01-03T00:00:00"/>
    <s v="555-01009"/>
    <s v="289 Main St"/>
    <s v="Dubai"/>
    <s v="DB"/>
    <x v="3"/>
    <n v="2.6"/>
    <n v="115"/>
  </r>
  <r>
    <s v="Dorothy"/>
    <n v="31"/>
    <x v="1"/>
    <x v="2"/>
    <s v="HR Specialist"/>
    <n v="1290"/>
    <n v="111005.18"/>
    <d v="2013-01-27T00:00:00"/>
    <s v="555-01000"/>
    <s v="290 Main St"/>
    <s v="Tokyo"/>
    <s v="TK"/>
    <x v="4"/>
    <n v="3.41"/>
    <n v="85"/>
  </r>
  <r>
    <s v="Doug"/>
    <n v="50"/>
    <x v="2"/>
    <x v="1"/>
    <s v="Software Engineer"/>
    <n v="1291"/>
    <n v="186870.01"/>
    <d v="2022-02-25T00:00:00"/>
    <s v="555-01001"/>
    <s v="291 Main St"/>
    <s v="New York"/>
    <s v="NK"/>
    <x v="0"/>
    <n v="3.94"/>
    <n v="178"/>
  </r>
  <r>
    <s v="Douglas"/>
    <n v="39"/>
    <x v="0"/>
    <x v="1"/>
    <s v="Sales Executive"/>
    <n v="1292"/>
    <n v="144259.57"/>
    <d v="2017-02-13T00:00:00"/>
    <s v="555-01002"/>
    <s v="292 Main St"/>
    <s v="Paris"/>
    <s v="PA"/>
    <x v="1"/>
    <n v="1.92"/>
    <n v="182"/>
  </r>
  <r>
    <s v="Drake"/>
    <n v="63"/>
    <x v="0"/>
    <x v="4"/>
    <s v="HR Specialist"/>
    <n v="1293"/>
    <n v="102472.05"/>
    <d v="2004-07-23T00:00:00"/>
    <s v="555-01003"/>
    <s v="293 Main St"/>
    <s v="London"/>
    <s v="LN"/>
    <x v="2"/>
    <n v="2.0499999999999998"/>
    <n v="174"/>
  </r>
  <r>
    <s v="Drew"/>
    <n v="22"/>
    <x v="1"/>
    <x v="2"/>
    <s v="Sales Executive"/>
    <n v="1294"/>
    <n v="133219.37"/>
    <d v="2013-12-13T00:00:00"/>
    <s v="555-01004"/>
    <s v="294 Main St"/>
    <s v="Dubai"/>
    <s v="DB"/>
    <x v="3"/>
    <n v="3.59"/>
    <n v="173"/>
  </r>
  <r>
    <s v="Duane"/>
    <n v="44"/>
    <x v="1"/>
    <x v="4"/>
    <s v="Software Engineer"/>
    <n v="1295"/>
    <n v="113566.08"/>
    <d v="2009-10-27T00:00:00"/>
    <s v="555-01005"/>
    <s v="295 Main St"/>
    <s v="Tokyo"/>
    <s v="TK"/>
    <x v="4"/>
    <n v="3.49"/>
    <n v="172"/>
  </r>
  <r>
    <s v="Duke"/>
    <n v="38"/>
    <x v="1"/>
    <x v="0"/>
    <s v="Analyst"/>
    <n v="1296"/>
    <n v="98288.22"/>
    <d v="2004-04-05T00:00:00"/>
    <s v="555-01006"/>
    <s v="296 Main St"/>
    <s v="New York"/>
    <s v="NK"/>
    <x v="0"/>
    <n v="2.77"/>
    <n v="98"/>
  </r>
  <r>
    <s v="Duncan"/>
    <n v="64"/>
    <x v="2"/>
    <x v="4"/>
    <s v="Project Manager"/>
    <n v="1297"/>
    <n v="140831.62"/>
    <d v="2014-04-02T00:00:00"/>
    <s v="555-01007"/>
    <s v="297 Main St"/>
    <s v="Paris"/>
    <s v="PA"/>
    <x v="1"/>
    <n v="3.9"/>
    <n v="1"/>
  </r>
  <r>
    <s v="Dustin"/>
    <n v="58"/>
    <x v="1"/>
    <x v="1"/>
    <s v="Project Manager"/>
    <n v="1298"/>
    <n v="197069.33"/>
    <d v="2006-03-06T00:00:00"/>
    <s v="555-01008"/>
    <s v="298 Main St"/>
    <s v="London"/>
    <s v="LN"/>
    <x v="2"/>
    <n v="1.68"/>
    <n v="107"/>
  </r>
  <r>
    <s v="Dusty"/>
    <n v="52"/>
    <x v="1"/>
    <x v="1"/>
    <s v="Sales Executive"/>
    <n v="1299"/>
    <n v="107681.22"/>
    <d v="2008-02-02T00:00:00"/>
    <s v="555-01009"/>
    <s v="299 Main St"/>
    <s v="Dubai"/>
    <s v="DB"/>
    <x v="3"/>
    <n v="4.7"/>
    <n v="93"/>
  </r>
  <r>
    <s v="Dylan"/>
    <n v="46"/>
    <x v="1"/>
    <x v="3"/>
    <s v="HR Specialist"/>
    <n v="1300"/>
    <n v="57746.52"/>
    <d v="2005-10-13T00:00:00"/>
    <s v="555-01000"/>
    <s v="300 Main St"/>
    <s v="Tokyo"/>
    <s v="TK"/>
    <x v="4"/>
    <n v="3.62"/>
    <n v="136"/>
  </r>
  <r>
    <s v="Earl"/>
    <n v="25"/>
    <x v="0"/>
    <x v="0"/>
    <s v="Project Manager"/>
    <n v="1301"/>
    <n v="103918.72"/>
    <d v="2013-12-03T00:00:00"/>
    <s v="555-01001"/>
    <s v="301 Main St"/>
    <s v="New York"/>
    <s v="NK"/>
    <x v="0"/>
    <n v="1.88"/>
    <n v="14"/>
  </r>
  <r>
    <s v="Ebony"/>
    <n v="30"/>
    <x v="0"/>
    <x v="3"/>
    <s v="HR Specialist"/>
    <n v="1302"/>
    <n v="83447.59"/>
    <d v="2001-10-10T00:00:00"/>
    <s v="555-01002"/>
    <s v="302 Main St"/>
    <s v="Paris"/>
    <s v="PA"/>
    <x v="1"/>
    <n v="4.41"/>
    <n v="91"/>
  </r>
  <r>
    <s v="Ed"/>
    <n v="49"/>
    <x v="1"/>
    <x v="0"/>
    <s v="Software Engineer"/>
    <n v="1303"/>
    <n v="101062.39999999999"/>
    <d v="2000-04-14T00:00:00"/>
    <s v="555-01003"/>
    <s v="303 Main St"/>
    <s v="London"/>
    <s v="LN"/>
    <x v="2"/>
    <n v="1.89"/>
    <n v="69"/>
  </r>
  <r>
    <s v="Eddie"/>
    <n v="51"/>
    <x v="0"/>
    <x v="1"/>
    <s v="Sales Executive"/>
    <n v="1304"/>
    <n v="126103.43"/>
    <d v="2020-05-03T00:00:00"/>
    <s v="555-01004"/>
    <s v="304 Main St"/>
    <s v="Dubai"/>
    <s v="DB"/>
    <x v="3"/>
    <n v="4.21"/>
    <n v="110"/>
  </r>
  <r>
    <s v="Edgar"/>
    <n v="45"/>
    <x v="0"/>
    <x v="4"/>
    <s v="HR Specialist"/>
    <n v="1305"/>
    <n v="60969.99"/>
    <d v="2009-10-27T00:00:00"/>
    <s v="555-01005"/>
    <s v="305 Main St"/>
    <s v="Tokyo"/>
    <s v="TK"/>
    <x v="4"/>
    <n v="4.5"/>
    <n v="98"/>
  </r>
  <r>
    <s v="Edith"/>
    <n v="54"/>
    <x v="0"/>
    <x v="1"/>
    <s v="Sales Executive"/>
    <n v="1306"/>
    <n v="63775.95"/>
    <d v="2017-09-14T00:00:00"/>
    <s v="555-01006"/>
    <s v="306 Main St"/>
    <s v="New York"/>
    <s v="NK"/>
    <x v="0"/>
    <n v="1.59"/>
    <n v="175"/>
  </r>
  <r>
    <s v="Edmund"/>
    <n v="41"/>
    <x v="0"/>
    <x v="3"/>
    <s v="Project Manager"/>
    <n v="1307"/>
    <n v="134329.53"/>
    <d v="2003-07-09T00:00:00"/>
    <s v="555-01007"/>
    <s v="307 Main St"/>
    <s v="Paris"/>
    <s v="PA"/>
    <x v="1"/>
    <n v="1.71"/>
    <n v="10"/>
  </r>
  <r>
    <s v="Edna"/>
    <n v="30"/>
    <x v="2"/>
    <x v="3"/>
    <s v="Analyst"/>
    <n v="1308"/>
    <n v="180356.76"/>
    <d v="2007-11-06T00:00:00"/>
    <s v="555-01008"/>
    <s v="308 Main St"/>
    <s v="London"/>
    <s v="LN"/>
    <x v="2"/>
    <n v="3.07"/>
    <n v="71"/>
  </r>
  <r>
    <s v="Edward"/>
    <n v="29"/>
    <x v="0"/>
    <x v="4"/>
    <s v="Software Engineer"/>
    <n v="1309"/>
    <n v="119810.78"/>
    <d v="2018-01-21T00:00:00"/>
    <s v="555-01009"/>
    <s v="309 Main St"/>
    <s v="Dubai"/>
    <s v="DB"/>
    <x v="3"/>
    <n v="4.74"/>
    <n v="166"/>
  </r>
  <r>
    <s v="Edwin"/>
    <n v="45"/>
    <x v="0"/>
    <x v="2"/>
    <s v="Project Manager"/>
    <n v="1310"/>
    <n v="77884.77"/>
    <d v="2010-02-04T00:00:00"/>
    <s v="555-01000"/>
    <s v="310 Main St"/>
    <s v="Tokyo"/>
    <s v="TK"/>
    <x v="4"/>
    <n v="3.3"/>
    <n v="36"/>
  </r>
  <r>
    <s v="Eileen"/>
    <n v="35"/>
    <x v="0"/>
    <x v="1"/>
    <s v="Sales Executive"/>
    <n v="1311"/>
    <n v="189165.58"/>
    <d v="2022-04-30T00:00:00"/>
    <s v="555-01001"/>
    <s v="311 Main St"/>
    <s v="New York"/>
    <s v="NK"/>
    <x v="0"/>
    <n v="3.15"/>
    <n v="15"/>
  </r>
  <r>
    <s v="Elaine"/>
    <n v="39"/>
    <x v="0"/>
    <x v="3"/>
    <s v="HR Specialist"/>
    <n v="1312"/>
    <n v="146767.25"/>
    <d v="2003-01-13T00:00:00"/>
    <s v="555-01002"/>
    <s v="312 Main St"/>
    <s v="Paris"/>
    <s v="PA"/>
    <x v="1"/>
    <n v="5"/>
    <n v="147"/>
  </r>
  <r>
    <s v="Eleanor"/>
    <n v="22"/>
    <x v="2"/>
    <x v="2"/>
    <s v="Sales Executive"/>
    <n v="1313"/>
    <n v="144878.19"/>
    <d v="2007-01-11T00:00:00"/>
    <s v="555-01003"/>
    <s v="313 Main St"/>
    <s v="London"/>
    <s v="LN"/>
    <x v="2"/>
    <n v="4.13"/>
    <n v="53"/>
  </r>
  <r>
    <s v="Elena"/>
    <n v="33"/>
    <x v="2"/>
    <x v="2"/>
    <s v="HR Specialist"/>
    <n v="1314"/>
    <n v="169606.33"/>
    <d v="2015-08-28T00:00:00"/>
    <s v="555-01004"/>
    <s v="314 Main St"/>
    <s v="Dubai"/>
    <s v="DB"/>
    <x v="3"/>
    <n v="3.63"/>
    <n v="160"/>
  </r>
  <r>
    <s v="Eli"/>
    <n v="50"/>
    <x v="1"/>
    <x v="1"/>
    <s v="Sales Executive"/>
    <n v="1315"/>
    <n v="127384"/>
    <d v="2011-03-27T00:00:00"/>
    <s v="555-01005"/>
    <s v="315 Main St"/>
    <s v="Tokyo"/>
    <s v="TK"/>
    <x v="4"/>
    <n v="2.88"/>
    <n v="142"/>
  </r>
  <r>
    <s v="Eliana"/>
    <n v="58"/>
    <x v="0"/>
    <x v="3"/>
    <s v="Software Engineer"/>
    <n v="1316"/>
    <n v="184634.15"/>
    <d v="2019-01-19T00:00:00"/>
    <s v="555-01006"/>
    <s v="316 Main St"/>
    <s v="New York"/>
    <s v="NK"/>
    <x v="0"/>
    <n v="2.77"/>
    <n v="117"/>
  </r>
  <r>
    <s v="Elias"/>
    <n v="47"/>
    <x v="0"/>
    <x v="2"/>
    <s v="Analyst"/>
    <n v="1317"/>
    <n v="95364.7"/>
    <d v="2014-04-27T00:00:00"/>
    <s v="555-01007"/>
    <s v="317 Main St"/>
    <s v="Paris"/>
    <s v="PA"/>
    <x v="1"/>
    <n v="2.56"/>
    <n v="198"/>
  </r>
  <r>
    <s v="Elijah"/>
    <n v="54"/>
    <x v="1"/>
    <x v="3"/>
    <s v="HR Specialist"/>
    <n v="1318"/>
    <n v="190415.22"/>
    <d v="2016-03-04T00:00:00"/>
    <s v="555-01008"/>
    <s v="318 Main St"/>
    <s v="London"/>
    <s v="LN"/>
    <x v="2"/>
    <n v="1.7"/>
    <n v="84"/>
  </r>
  <r>
    <s v="Elise"/>
    <n v="64"/>
    <x v="2"/>
    <x v="2"/>
    <s v="Project Manager"/>
    <n v="1319"/>
    <n v="81866.41"/>
    <d v="2008-01-14T00:00:00"/>
    <s v="555-01009"/>
    <s v="319 Main St"/>
    <s v="Dubai"/>
    <s v="DB"/>
    <x v="3"/>
    <n v="1.18"/>
    <n v="174"/>
  </r>
  <r>
    <s v="Eliza"/>
    <n v="36"/>
    <x v="1"/>
    <x v="1"/>
    <s v="Analyst"/>
    <n v="1320"/>
    <n v="74136.89"/>
    <d v="2004-02-25T00:00:00"/>
    <s v="555-01000"/>
    <s v="320 Main St"/>
    <s v="Tokyo"/>
    <s v="TK"/>
    <x v="4"/>
    <n v="2.89"/>
    <n v="173"/>
  </r>
  <r>
    <s v="Elizabeth"/>
    <n v="44"/>
    <x v="2"/>
    <x v="1"/>
    <s v="Software Engineer"/>
    <n v="1321"/>
    <n v="92477.56"/>
    <d v="2012-03-18T00:00:00"/>
    <s v="555-01001"/>
    <s v="321 Main St"/>
    <s v="New York"/>
    <s v="NK"/>
    <x v="0"/>
    <n v="4.1900000000000004"/>
    <n v="78"/>
  </r>
  <r>
    <s v="Ella"/>
    <n v="50"/>
    <x v="1"/>
    <x v="3"/>
    <s v="HR Specialist"/>
    <n v="1322"/>
    <n v="93684.54"/>
    <d v="2005-09-01T00:00:00"/>
    <s v="555-01002"/>
    <s v="322 Main St"/>
    <s v="Paris"/>
    <s v="PA"/>
    <x v="1"/>
    <n v="3.36"/>
    <n v="63"/>
  </r>
  <r>
    <s v="Ellen"/>
    <n v="42"/>
    <x v="1"/>
    <x v="1"/>
    <s v="Sales Executive"/>
    <n v="1323"/>
    <n v="120886.15"/>
    <d v="2009-04-29T00:00:00"/>
    <s v="555-01003"/>
    <s v="323 Main St"/>
    <s v="London"/>
    <s v="LN"/>
    <x v="2"/>
    <n v="1.77"/>
    <n v="182"/>
  </r>
  <r>
    <s v="Ellie"/>
    <n v="40"/>
    <x v="0"/>
    <x v="0"/>
    <s v="Sales Executive"/>
    <n v="1324"/>
    <n v="66559.820000000007"/>
    <d v="2014-08-01T00:00:00"/>
    <s v="555-01004"/>
    <s v="324 Main St"/>
    <s v="Dubai"/>
    <s v="DB"/>
    <x v="3"/>
    <n v="3.93"/>
    <n v="156"/>
  </r>
  <r>
    <s v="Elliott"/>
    <n v="26"/>
    <x v="1"/>
    <x v="1"/>
    <s v="Analyst"/>
    <n v="1325"/>
    <n v="184012.3"/>
    <d v="2015-04-30T00:00:00"/>
    <s v="555-01005"/>
    <s v="325 Main St"/>
    <s v="Tokyo"/>
    <s v="TK"/>
    <x v="4"/>
    <n v="4.6399999999999997"/>
    <n v="25"/>
  </r>
  <r>
    <s v="Ellis"/>
    <n v="44"/>
    <x v="2"/>
    <x v="4"/>
    <s v="Sales Executive"/>
    <n v="1326"/>
    <n v="193604.34"/>
    <d v="2014-10-11T00:00:00"/>
    <s v="555-01006"/>
    <s v="326 Main St"/>
    <s v="New York"/>
    <s v="NK"/>
    <x v="0"/>
    <n v="4.3899999999999997"/>
    <n v="162"/>
  </r>
  <r>
    <s v="Elmer"/>
    <n v="57"/>
    <x v="2"/>
    <x v="1"/>
    <s v="Analyst"/>
    <n v="1327"/>
    <n v="69282.97"/>
    <d v="2016-10-21T00:00:00"/>
    <s v="555-01007"/>
    <s v="327 Main St"/>
    <s v="Paris"/>
    <s v="PA"/>
    <x v="1"/>
    <n v="1.79"/>
    <n v="133"/>
  </r>
  <r>
    <s v="Eloise"/>
    <n v="41"/>
    <x v="1"/>
    <x v="3"/>
    <s v="Analyst"/>
    <n v="1328"/>
    <n v="145482.03"/>
    <d v="2021-06-05T00:00:00"/>
    <s v="555-01008"/>
    <s v="328 Main St"/>
    <s v="London"/>
    <s v="LN"/>
    <x v="2"/>
    <n v="2.69"/>
    <n v="183"/>
  </r>
  <r>
    <s v="Elsa"/>
    <n v="29"/>
    <x v="2"/>
    <x v="2"/>
    <s v="Project Manager"/>
    <n v="1329"/>
    <n v="145083.01999999999"/>
    <d v="2015-08-23T00:00:00"/>
    <s v="555-01009"/>
    <s v="329 Main St"/>
    <s v="Dubai"/>
    <s v="DB"/>
    <x v="3"/>
    <n v="1.92"/>
    <n v="45"/>
  </r>
  <r>
    <s v="Elsie"/>
    <n v="30"/>
    <x v="1"/>
    <x v="0"/>
    <s v="Project Manager"/>
    <n v="1330"/>
    <n v="93335.37"/>
    <d v="2002-08-28T00:00:00"/>
    <s v="555-01000"/>
    <s v="330 Main St"/>
    <s v="Tokyo"/>
    <s v="TK"/>
    <x v="4"/>
    <n v="2.77"/>
    <n v="77"/>
  </r>
  <r>
    <s v="Elva"/>
    <n v="35"/>
    <x v="0"/>
    <x v="3"/>
    <s v="Project Manager"/>
    <n v="1331"/>
    <n v="184869.66"/>
    <d v="2014-09-29T00:00:00"/>
    <s v="555-01001"/>
    <s v="331 Main St"/>
    <s v="New York"/>
    <s v="NK"/>
    <x v="0"/>
    <n v="4.92"/>
    <n v="28"/>
  </r>
  <r>
    <s v="Elvin"/>
    <n v="27"/>
    <x v="0"/>
    <x v="3"/>
    <s v="Sales Executive"/>
    <n v="1332"/>
    <n v="148210.6"/>
    <d v="2007-04-08T00:00:00"/>
    <s v="555-01002"/>
    <s v="332 Main St"/>
    <s v="Paris"/>
    <s v="PA"/>
    <x v="1"/>
    <n v="2.91"/>
    <n v="78"/>
  </r>
  <r>
    <s v="Elvira"/>
    <n v="22"/>
    <x v="0"/>
    <x v="2"/>
    <s v="HR Specialist"/>
    <n v="1333"/>
    <n v="88084.17"/>
    <d v="2011-08-28T00:00:00"/>
    <s v="555-01003"/>
    <s v="333 Main St"/>
    <s v="London"/>
    <s v="LN"/>
    <x v="2"/>
    <n v="4.9800000000000004"/>
    <n v="79"/>
  </r>
  <r>
    <s v="Emelia"/>
    <n v="30"/>
    <x v="0"/>
    <x v="2"/>
    <s v="HR Specialist"/>
    <n v="1334"/>
    <n v="138753.64000000001"/>
    <d v="2012-06-07T00:00:00"/>
    <s v="555-01004"/>
    <s v="334 Main St"/>
    <s v="Dubai"/>
    <s v="DB"/>
    <x v="3"/>
    <n v="1.41"/>
    <n v="66"/>
  </r>
  <r>
    <s v="Emilia"/>
    <n v="37"/>
    <x v="1"/>
    <x v="4"/>
    <s v="Project Manager"/>
    <n v="1335"/>
    <n v="94405.37"/>
    <d v="2013-01-28T00:00:00"/>
    <s v="555-01005"/>
    <s v="335 Main St"/>
    <s v="Tokyo"/>
    <s v="TK"/>
    <x v="4"/>
    <n v="1.7"/>
    <n v="199"/>
  </r>
  <r>
    <s v="Emily"/>
    <n v="37"/>
    <x v="2"/>
    <x v="3"/>
    <s v="Project Manager"/>
    <n v="1336"/>
    <n v="73687.56"/>
    <d v="2010-03-17T00:00:00"/>
    <s v="555-01006"/>
    <s v="336 Main St"/>
    <s v="New York"/>
    <s v="NK"/>
    <x v="0"/>
    <n v="1.51"/>
    <n v="24"/>
  </r>
  <r>
    <s v="Emma"/>
    <n v="33"/>
    <x v="1"/>
    <x v="0"/>
    <s v="HR Specialist"/>
    <n v="1337"/>
    <n v="102137.01"/>
    <d v="2005-10-26T00:00:00"/>
    <s v="555-01007"/>
    <s v="337 Main St"/>
    <s v="Paris"/>
    <s v="PA"/>
    <x v="1"/>
    <n v="2.63"/>
    <n v="7"/>
  </r>
  <r>
    <s v="Emmett"/>
    <n v="26"/>
    <x v="2"/>
    <x v="4"/>
    <s v="Project Manager"/>
    <n v="1338"/>
    <n v="130733.75999999999"/>
    <d v="2006-07-07T00:00:00"/>
    <s v="555-01008"/>
    <s v="338 Main St"/>
    <s v="London"/>
    <s v="LN"/>
    <x v="2"/>
    <n v="3.95"/>
    <n v="187"/>
  </r>
  <r>
    <s v="Enid"/>
    <n v="61"/>
    <x v="1"/>
    <x v="4"/>
    <s v="Analyst"/>
    <n v="1339"/>
    <n v="147300"/>
    <d v="2022-05-23T00:00:00"/>
    <s v="555-01009"/>
    <s v="339 Main St"/>
    <s v="Dubai"/>
    <s v="DB"/>
    <x v="3"/>
    <n v="4.3600000000000003"/>
    <n v="196"/>
  </r>
  <r>
    <s v="Enzo"/>
    <n v="50"/>
    <x v="2"/>
    <x v="0"/>
    <s v="Software Engineer"/>
    <n v="1340"/>
    <n v="175109.59"/>
    <d v="2018-07-12T00:00:00"/>
    <s v="555-01000"/>
    <s v="340 Main St"/>
    <s v="Tokyo"/>
    <s v="TK"/>
    <x v="4"/>
    <n v="3.07"/>
    <n v="4"/>
  </r>
  <r>
    <s v="Eric"/>
    <n v="48"/>
    <x v="2"/>
    <x v="2"/>
    <s v="Analyst"/>
    <n v="1341"/>
    <n v="150809.65"/>
    <d v="2019-07-22T00:00:00"/>
    <s v="555-01001"/>
    <s v="341 Main St"/>
    <s v="New York"/>
    <s v="NK"/>
    <x v="0"/>
    <n v="4.42"/>
    <n v="52"/>
  </r>
  <r>
    <s v="Erica"/>
    <n v="32"/>
    <x v="1"/>
    <x v="2"/>
    <s v="HR Specialist"/>
    <n v="1342"/>
    <n v="94836.61"/>
    <d v="2004-04-22T00:00:00"/>
    <s v="555-01002"/>
    <s v="342 Main St"/>
    <s v="Paris"/>
    <s v="PA"/>
    <x v="1"/>
    <n v="4.82"/>
    <n v="132"/>
  </r>
  <r>
    <s v="Erik"/>
    <n v="49"/>
    <x v="0"/>
    <x v="3"/>
    <s v="Project Manager"/>
    <n v="1343"/>
    <n v="99829.42"/>
    <d v="2005-12-08T00:00:00"/>
    <s v="555-01003"/>
    <s v="343 Main St"/>
    <s v="London"/>
    <s v="LN"/>
    <x v="2"/>
    <n v="1.02"/>
    <n v="61"/>
  </r>
  <r>
    <s v="Erin"/>
    <n v="57"/>
    <x v="1"/>
    <x v="4"/>
    <s v="Software Engineer"/>
    <n v="1344"/>
    <n v="133304.69"/>
    <d v="2010-05-27T00:00:00"/>
    <s v="555-01004"/>
    <s v="344 Main St"/>
    <s v="Dubai"/>
    <s v="DB"/>
    <x v="3"/>
    <n v="1.66"/>
    <n v="103"/>
  </r>
  <r>
    <s v="Ernest"/>
    <n v="63"/>
    <x v="0"/>
    <x v="0"/>
    <s v="Project Manager"/>
    <n v="1345"/>
    <n v="176496.43"/>
    <d v="2017-05-13T00:00:00"/>
    <s v="555-01005"/>
    <s v="345 Main St"/>
    <s v="Tokyo"/>
    <s v="TK"/>
    <x v="4"/>
    <n v="1.72"/>
    <n v="69"/>
  </r>
  <r>
    <s v="Esme"/>
    <n v="40"/>
    <x v="1"/>
    <x v="0"/>
    <s v="Analyst"/>
    <n v="1346"/>
    <n v="128477.99"/>
    <d v="2009-11-13T00:00:00"/>
    <s v="555-01006"/>
    <s v="346 Main St"/>
    <s v="New York"/>
    <s v="NK"/>
    <x v="0"/>
    <n v="4.97"/>
    <n v="60"/>
  </r>
  <r>
    <s v="Esteban"/>
    <n v="56"/>
    <x v="2"/>
    <x v="0"/>
    <s v="Project Manager"/>
    <n v="1347"/>
    <n v="164126.15"/>
    <d v="2008-06-19T00:00:00"/>
    <s v="555-01007"/>
    <s v="347 Main St"/>
    <s v="Paris"/>
    <s v="PA"/>
    <x v="1"/>
    <n v="4.5999999999999996"/>
    <n v="31"/>
  </r>
  <r>
    <s v="Esther"/>
    <n v="52"/>
    <x v="0"/>
    <x v="4"/>
    <s v="Analyst"/>
    <n v="1348"/>
    <n v="135564.09"/>
    <d v="2008-01-28T00:00:00"/>
    <s v="555-01008"/>
    <s v="348 Main St"/>
    <s v="London"/>
    <s v="LN"/>
    <x v="2"/>
    <n v="1.42"/>
    <n v="11"/>
  </r>
  <r>
    <s v="Ethan"/>
    <n v="40"/>
    <x v="2"/>
    <x v="1"/>
    <s v="Software Engineer"/>
    <n v="1349"/>
    <n v="146714.74"/>
    <d v="2002-12-09T00:00:00"/>
    <s v="555-01009"/>
    <s v="349 Main St"/>
    <s v="Dubai"/>
    <s v="DB"/>
    <x v="3"/>
    <n v="4.97"/>
    <n v="71"/>
  </r>
  <r>
    <s v="Ethel"/>
    <n v="45"/>
    <x v="2"/>
    <x v="1"/>
    <s v="Sales Executive"/>
    <n v="1350"/>
    <n v="178454.62"/>
    <d v="2020-07-07T00:00:00"/>
    <s v="555-01000"/>
    <s v="350 Main St"/>
    <s v="Tokyo"/>
    <s v="TK"/>
    <x v="4"/>
    <n v="1.71"/>
    <n v="160"/>
  </r>
  <r>
    <s v="Eugene"/>
    <n v="23"/>
    <x v="2"/>
    <x v="3"/>
    <s v="Sales Executive"/>
    <n v="1351"/>
    <n v="115852.17"/>
    <d v="2017-11-04T00:00:00"/>
    <s v="555-01001"/>
    <s v="351 Main St"/>
    <s v="New York"/>
    <s v="NK"/>
    <x v="0"/>
    <n v="2.29"/>
    <n v="176"/>
  </r>
  <r>
    <s v="Eva"/>
    <n v="28"/>
    <x v="1"/>
    <x v="4"/>
    <s v="Software Engineer"/>
    <n v="1352"/>
    <n v="154631.42000000001"/>
    <d v="2010-09-25T00:00:00"/>
    <s v="555-01002"/>
    <s v="352 Main St"/>
    <s v="Paris"/>
    <s v="PA"/>
    <x v="1"/>
    <n v="4.5599999999999996"/>
    <n v="121"/>
  </r>
  <r>
    <s v="Evan"/>
    <n v="64"/>
    <x v="2"/>
    <x v="4"/>
    <s v="Project Manager"/>
    <n v="1353"/>
    <n v="175091.99"/>
    <d v="2019-06-26T00:00:00"/>
    <s v="555-01003"/>
    <s v="353 Main St"/>
    <s v="London"/>
    <s v="LN"/>
    <x v="2"/>
    <n v="1.0900000000000001"/>
    <n v="169"/>
  </r>
  <r>
    <s v="Evelyn"/>
    <n v="52"/>
    <x v="1"/>
    <x v="1"/>
    <s v="Sales Executive"/>
    <n v="1354"/>
    <n v="147273.34"/>
    <d v="2002-07-07T00:00:00"/>
    <s v="555-01004"/>
    <s v="354 Main St"/>
    <s v="Dubai"/>
    <s v="DB"/>
    <x v="3"/>
    <n v="2.2799999999999998"/>
    <n v="64"/>
  </r>
  <r>
    <s v="Everett"/>
    <n v="38"/>
    <x v="0"/>
    <x v="2"/>
    <s v="Analyst"/>
    <n v="1355"/>
    <n v="59352.45"/>
    <d v="2007-09-05T00:00:00"/>
    <s v="555-01005"/>
    <s v="355 Main St"/>
    <s v="Tokyo"/>
    <s v="TK"/>
    <x v="4"/>
    <n v="2.85"/>
    <n v="153"/>
  </r>
  <r>
    <s v="Ezra"/>
    <n v="48"/>
    <x v="2"/>
    <x v="1"/>
    <s v="Sales Executive"/>
    <n v="1356"/>
    <n v="122891.69"/>
    <d v="2011-10-13T00:00:00"/>
    <s v="555-01006"/>
    <s v="356 Main St"/>
    <s v="New York"/>
    <s v="NK"/>
    <x v="0"/>
    <n v="1.29"/>
    <n v="182"/>
  </r>
  <r>
    <s v="Fabian"/>
    <n v="57"/>
    <x v="0"/>
    <x v="4"/>
    <s v="Analyst"/>
    <n v="1357"/>
    <n v="139326.73000000001"/>
    <d v="2009-02-27T00:00:00"/>
    <s v="555-01007"/>
    <s v="357 Main St"/>
    <s v="Paris"/>
    <s v="PA"/>
    <x v="1"/>
    <n v="3.74"/>
    <n v="26"/>
  </r>
  <r>
    <s v="Faith"/>
    <n v="64"/>
    <x v="0"/>
    <x v="0"/>
    <s v="Software Engineer"/>
    <n v="1358"/>
    <n v="93443.82"/>
    <d v="2014-02-05T00:00:00"/>
    <s v="555-01008"/>
    <s v="358 Main St"/>
    <s v="London"/>
    <s v="LN"/>
    <x v="2"/>
    <n v="1.4"/>
    <n v="91"/>
  </r>
  <r>
    <s v="Fallon"/>
    <n v="31"/>
    <x v="1"/>
    <x v="4"/>
    <s v="Sales Executive"/>
    <n v="1359"/>
    <n v="141212.79"/>
    <d v="2021-05-29T00:00:00"/>
    <s v="555-01009"/>
    <s v="359 Main St"/>
    <s v="Dubai"/>
    <s v="DB"/>
    <x v="3"/>
    <n v="4.8499999999999996"/>
    <n v="70"/>
  </r>
  <r>
    <s v="Fanny"/>
    <n v="35"/>
    <x v="0"/>
    <x v="3"/>
    <s v="Software Engineer"/>
    <n v="1360"/>
    <n v="185599.66"/>
    <d v="2012-04-06T00:00:00"/>
    <s v="555-01000"/>
    <s v="360 Main St"/>
    <s v="Tokyo"/>
    <s v="TK"/>
    <x v="4"/>
    <n v="4.58"/>
    <n v="4"/>
  </r>
  <r>
    <s v="Farrah"/>
    <n v="28"/>
    <x v="1"/>
    <x v="1"/>
    <s v="HR Specialist"/>
    <n v="1361"/>
    <n v="140652.57999999999"/>
    <d v="2013-12-24T00:00:00"/>
    <s v="555-01001"/>
    <s v="361 Main St"/>
    <s v="New York"/>
    <s v="NK"/>
    <x v="0"/>
    <n v="1.2"/>
    <n v="84"/>
  </r>
  <r>
    <s v="Fatima"/>
    <n v="60"/>
    <x v="1"/>
    <x v="3"/>
    <s v="Software Engineer"/>
    <n v="1362"/>
    <n v="52839.72"/>
    <d v="2010-08-22T00:00:00"/>
    <s v="555-01002"/>
    <s v="362 Main St"/>
    <s v="Paris"/>
    <s v="PA"/>
    <x v="1"/>
    <n v="1.1599999999999999"/>
    <n v="2"/>
  </r>
  <r>
    <s v="Felicia"/>
    <n v="61"/>
    <x v="0"/>
    <x v="1"/>
    <s v="Sales Executive"/>
    <n v="1363"/>
    <n v="127516.1"/>
    <d v="2009-02-07T00:00:00"/>
    <s v="555-01003"/>
    <s v="363 Main St"/>
    <s v="London"/>
    <s v="LN"/>
    <x v="2"/>
    <n v="4.5"/>
    <n v="134"/>
  </r>
  <r>
    <s v="Felix"/>
    <n v="30"/>
    <x v="0"/>
    <x v="1"/>
    <s v="Analyst"/>
    <n v="1364"/>
    <n v="92964.75"/>
    <d v="2010-06-16T00:00:00"/>
    <s v="555-01004"/>
    <s v="364 Main St"/>
    <s v="Dubai"/>
    <s v="DB"/>
    <x v="3"/>
    <n v="1.35"/>
    <n v="44"/>
  </r>
  <r>
    <s v="Ferdinand"/>
    <n v="35"/>
    <x v="0"/>
    <x v="3"/>
    <s v="Software Engineer"/>
    <n v="1365"/>
    <n v="130541.47"/>
    <d v="2005-09-27T00:00:00"/>
    <s v="555-01005"/>
    <s v="365 Main St"/>
    <s v="Tokyo"/>
    <s v="TK"/>
    <x v="4"/>
    <n v="1.64"/>
    <n v="108"/>
  </r>
  <r>
    <s v="Fern"/>
    <n v="29"/>
    <x v="1"/>
    <x v="3"/>
    <s v="Sales Executive"/>
    <n v="1366"/>
    <n v="159085.45000000001"/>
    <d v="2019-12-14T00:00:00"/>
    <s v="555-01006"/>
    <s v="366 Main St"/>
    <s v="New York"/>
    <s v="NK"/>
    <x v="0"/>
    <n v="3.53"/>
    <n v="16"/>
  </r>
  <r>
    <s v="Fernando"/>
    <n v="38"/>
    <x v="1"/>
    <x v="0"/>
    <s v="Project Manager"/>
    <n v="1367"/>
    <n v="68096.73"/>
    <d v="2000-01-04T00:00:00"/>
    <s v="555-01007"/>
    <s v="367 Main St"/>
    <s v="Paris"/>
    <s v="PA"/>
    <x v="1"/>
    <n v="1.84"/>
    <n v="141"/>
  </r>
  <r>
    <s v="Fiona"/>
    <n v="44"/>
    <x v="0"/>
    <x v="3"/>
    <s v="Analyst"/>
    <n v="1368"/>
    <n v="55179.66"/>
    <d v="2019-02-23T00:00:00"/>
    <s v="555-01008"/>
    <s v="368 Main St"/>
    <s v="London"/>
    <s v="LN"/>
    <x v="2"/>
    <n v="2.36"/>
    <n v="56"/>
  </r>
  <r>
    <s v="Floyd"/>
    <n v="37"/>
    <x v="1"/>
    <x v="2"/>
    <s v="Project Manager"/>
    <n v="1369"/>
    <n v="199478.17"/>
    <d v="2016-10-31T00:00:00"/>
    <s v="555-01009"/>
    <s v="369 Main St"/>
    <s v="Dubai"/>
    <s v="DB"/>
    <x v="3"/>
    <n v="3.96"/>
    <n v="122"/>
  </r>
  <r>
    <s v="Flynn"/>
    <n v="47"/>
    <x v="0"/>
    <x v="4"/>
    <s v="Project Manager"/>
    <n v="1370"/>
    <n v="76369.25"/>
    <d v="2008-04-14T00:00:00"/>
    <s v="555-01000"/>
    <s v="370 Main St"/>
    <s v="Tokyo"/>
    <s v="TK"/>
    <x v="4"/>
    <n v="1.98"/>
    <n v="182"/>
  </r>
  <r>
    <s v="Ford"/>
    <n v="30"/>
    <x v="1"/>
    <x v="0"/>
    <s v="HR Specialist"/>
    <n v="1371"/>
    <n v="180074.03"/>
    <d v="2010-05-07T00:00:00"/>
    <s v="555-01001"/>
    <s v="371 Main St"/>
    <s v="New York"/>
    <s v="NK"/>
    <x v="0"/>
    <n v="1.47"/>
    <n v="172"/>
  </r>
  <r>
    <s v="Forest"/>
    <n v="57"/>
    <x v="1"/>
    <x v="1"/>
    <s v="Software Engineer"/>
    <n v="1372"/>
    <n v="90747.19"/>
    <d v="2000-12-04T00:00:00"/>
    <s v="555-01002"/>
    <s v="372 Main St"/>
    <s v="Paris"/>
    <s v="PA"/>
    <x v="1"/>
    <n v="4.21"/>
    <n v="137"/>
  </r>
  <r>
    <s v="Forrest"/>
    <n v="28"/>
    <x v="2"/>
    <x v="2"/>
    <s v="Project Manager"/>
    <n v="1373"/>
    <n v="136176.37"/>
    <d v="2016-03-24T00:00:00"/>
    <s v="555-01003"/>
    <s v="373 Main St"/>
    <s v="London"/>
    <s v="LN"/>
    <x v="2"/>
    <n v="1.1399999999999999"/>
    <n v="182"/>
  </r>
  <r>
    <s v="Frances"/>
    <n v="39"/>
    <x v="2"/>
    <x v="3"/>
    <s v="Analyst"/>
    <n v="1374"/>
    <n v="100792.17"/>
    <d v="2012-02-13T00:00:00"/>
    <s v="555-01004"/>
    <s v="374 Main St"/>
    <s v="Dubai"/>
    <s v="DB"/>
    <x v="3"/>
    <n v="2.09"/>
    <n v="96"/>
  </r>
  <r>
    <s v="Francesca"/>
    <n v="29"/>
    <x v="0"/>
    <x v="3"/>
    <s v="Project Manager"/>
    <n v="1375"/>
    <n v="78449.41"/>
    <d v="2015-12-20T00:00:00"/>
    <s v="555-01005"/>
    <s v="375 Main St"/>
    <s v="Tokyo"/>
    <s v="TK"/>
    <x v="4"/>
    <n v="2.2999999999999998"/>
    <n v="199"/>
  </r>
  <r>
    <s v="Francis"/>
    <n v="42"/>
    <x v="2"/>
    <x v="2"/>
    <s v="HR Specialist"/>
    <n v="1376"/>
    <n v="120435.9"/>
    <d v="2012-12-17T00:00:00"/>
    <s v="555-01006"/>
    <s v="376 Main St"/>
    <s v="New York"/>
    <s v="NK"/>
    <x v="0"/>
    <n v="2.11"/>
    <n v="170"/>
  </r>
  <r>
    <s v="Francisco"/>
    <n v="47"/>
    <x v="1"/>
    <x v="4"/>
    <s v="Sales Executive"/>
    <n v="1377"/>
    <n v="168409.03"/>
    <d v="2017-12-25T00:00:00"/>
    <s v="555-01007"/>
    <s v="377 Main St"/>
    <s v="Paris"/>
    <s v="PA"/>
    <x v="1"/>
    <n v="4.58"/>
    <n v="121"/>
  </r>
  <r>
    <s v="Frank"/>
    <n v="24"/>
    <x v="0"/>
    <x v="2"/>
    <s v="Analyst"/>
    <n v="1378"/>
    <n v="165542.69"/>
    <d v="2003-01-27T00:00:00"/>
    <s v="555-01008"/>
    <s v="378 Main St"/>
    <s v="London"/>
    <s v="LN"/>
    <x v="2"/>
    <n v="1.47"/>
    <n v="8"/>
  </r>
  <r>
    <s v="Frankie"/>
    <n v="38"/>
    <x v="2"/>
    <x v="1"/>
    <s v="Analyst"/>
    <n v="1379"/>
    <n v="158346.10999999999"/>
    <d v="2015-01-08T00:00:00"/>
    <s v="555-01009"/>
    <s v="379 Main St"/>
    <s v="Dubai"/>
    <s v="DB"/>
    <x v="3"/>
    <n v="1.21"/>
    <n v="49"/>
  </r>
  <r>
    <s v="Franklin"/>
    <n v="45"/>
    <x v="0"/>
    <x v="2"/>
    <s v="Sales Executive"/>
    <n v="1380"/>
    <n v="183095.37"/>
    <d v="2008-12-29T00:00:00"/>
    <s v="555-01000"/>
    <s v="380 Main St"/>
    <s v="Tokyo"/>
    <s v="TK"/>
    <x v="4"/>
    <n v="1.46"/>
    <n v="182"/>
  </r>
  <r>
    <s v="Fred"/>
    <n v="46"/>
    <x v="0"/>
    <x v="0"/>
    <s v="HR Specialist"/>
    <n v="1381"/>
    <n v="86625.51"/>
    <d v="2016-01-27T00:00:00"/>
    <s v="555-01001"/>
    <s v="381 Main St"/>
    <s v="New York"/>
    <s v="NK"/>
    <x v="0"/>
    <n v="1.42"/>
    <n v="104"/>
  </r>
  <r>
    <s v="Freddie"/>
    <n v="26"/>
    <x v="1"/>
    <x v="2"/>
    <s v="HR Specialist"/>
    <n v="1382"/>
    <n v="107360.69"/>
    <d v="2018-07-25T00:00:00"/>
    <s v="555-01002"/>
    <s v="382 Main St"/>
    <s v="Paris"/>
    <s v="PA"/>
    <x v="1"/>
    <n v="1.1100000000000001"/>
    <n v="9"/>
  </r>
  <r>
    <s v="Frederick"/>
    <n v="58"/>
    <x v="2"/>
    <x v="2"/>
    <s v="Software Engineer"/>
    <n v="1383"/>
    <n v="79133.89"/>
    <d v="2012-09-21T00:00:00"/>
    <s v="555-01003"/>
    <s v="383 Main St"/>
    <s v="London"/>
    <s v="LN"/>
    <x v="2"/>
    <n v="2.06"/>
    <n v="174"/>
  </r>
  <r>
    <s v="Fredrick"/>
    <n v="45"/>
    <x v="1"/>
    <x v="1"/>
    <s v="Analyst"/>
    <n v="1384"/>
    <n v="98849.600000000006"/>
    <d v="2007-09-10T00:00:00"/>
    <s v="555-01004"/>
    <s v="384 Main St"/>
    <s v="Dubai"/>
    <s v="DB"/>
    <x v="3"/>
    <n v="4.09"/>
    <n v="86"/>
  </r>
  <r>
    <s v="Frida"/>
    <n v="52"/>
    <x v="0"/>
    <x v="1"/>
    <s v="Software Engineer"/>
    <n v="1385"/>
    <n v="83955.17"/>
    <d v="2022-12-18T00:00:00"/>
    <s v="555-01005"/>
    <s v="385 Main St"/>
    <s v="Tokyo"/>
    <s v="TK"/>
    <x v="4"/>
    <n v="1.1299999999999999"/>
    <n v="7"/>
  </r>
  <r>
    <s v="Gabriel"/>
    <n v="47"/>
    <x v="0"/>
    <x v="4"/>
    <s v="Project Manager"/>
    <n v="1386"/>
    <n v="55945.15"/>
    <d v="2000-06-22T00:00:00"/>
    <s v="555-01006"/>
    <s v="386 Main St"/>
    <s v="New York"/>
    <s v="NK"/>
    <x v="0"/>
    <n v="4.34"/>
    <n v="140"/>
  </r>
  <r>
    <s v="Gabriella"/>
    <n v="42"/>
    <x v="0"/>
    <x v="1"/>
    <s v="Software Engineer"/>
    <n v="1387"/>
    <n v="189257.88"/>
    <d v="2018-05-02T00:00:00"/>
    <s v="555-01007"/>
    <s v="387 Main St"/>
    <s v="Paris"/>
    <s v="PA"/>
    <x v="1"/>
    <n v="2.86"/>
    <n v="162"/>
  </r>
  <r>
    <s v="Gabrielle"/>
    <n v="55"/>
    <x v="2"/>
    <x v="1"/>
    <s v="Software Engineer"/>
    <n v="1388"/>
    <n v="166063.21"/>
    <d v="2001-05-02T00:00:00"/>
    <s v="555-01008"/>
    <s v="388 Main St"/>
    <s v="London"/>
    <s v="LN"/>
    <x v="2"/>
    <n v="4.66"/>
    <n v="141"/>
  </r>
  <r>
    <s v="Gail"/>
    <n v="59"/>
    <x v="1"/>
    <x v="1"/>
    <s v="Sales Executive"/>
    <n v="1389"/>
    <n v="96180.12"/>
    <d v="2011-03-06T00:00:00"/>
    <s v="555-01009"/>
    <s v="389 Main St"/>
    <s v="Dubai"/>
    <s v="DB"/>
    <x v="3"/>
    <n v="2.89"/>
    <n v="128"/>
  </r>
  <r>
    <s v="Gale"/>
    <n v="45"/>
    <x v="1"/>
    <x v="2"/>
    <s v="Software Engineer"/>
    <n v="1390"/>
    <n v="146965.15"/>
    <d v="2006-05-23T00:00:00"/>
    <s v="555-01000"/>
    <s v="390 Main St"/>
    <s v="Tokyo"/>
    <s v="TK"/>
    <x v="4"/>
    <n v="3.38"/>
    <n v="165"/>
  </r>
  <r>
    <s v="Garrett"/>
    <n v="49"/>
    <x v="2"/>
    <x v="2"/>
    <s v="Project Manager"/>
    <n v="1391"/>
    <n v="50377.71"/>
    <d v="2007-12-07T00:00:00"/>
    <s v="555-01001"/>
    <s v="391 Main St"/>
    <s v="New York"/>
    <s v="NK"/>
    <x v="0"/>
    <n v="4.51"/>
    <n v="3"/>
  </r>
  <r>
    <s v="Gary"/>
    <n v="51"/>
    <x v="1"/>
    <x v="1"/>
    <s v="Software Engineer"/>
    <n v="1392"/>
    <n v="164374.14000000001"/>
    <d v="2009-05-12T00:00:00"/>
    <s v="555-01002"/>
    <s v="392 Main St"/>
    <s v="Paris"/>
    <s v="PA"/>
    <x v="1"/>
    <n v="1.35"/>
    <n v="28"/>
  </r>
  <r>
    <s v="Gavin"/>
    <n v="55"/>
    <x v="1"/>
    <x v="3"/>
    <s v="HR Specialist"/>
    <n v="1393"/>
    <n v="129558.01"/>
    <d v="2000-11-19T00:00:00"/>
    <s v="555-01003"/>
    <s v="393 Main St"/>
    <s v="London"/>
    <s v="LN"/>
    <x v="2"/>
    <n v="4.63"/>
    <n v="120"/>
  </r>
  <r>
    <s v="Gemma"/>
    <n v="44"/>
    <x v="0"/>
    <x v="1"/>
    <s v="Software Engineer"/>
    <n v="1394"/>
    <n v="69389.240000000005"/>
    <d v="2010-05-15T00:00:00"/>
    <s v="555-01004"/>
    <s v="394 Main St"/>
    <s v="Dubai"/>
    <s v="DB"/>
    <x v="3"/>
    <n v="2.88"/>
    <n v="101"/>
  </r>
  <r>
    <s v="Gene"/>
    <n v="29"/>
    <x v="0"/>
    <x v="1"/>
    <s v="Sales Executive"/>
    <n v="1395"/>
    <n v="108015.22"/>
    <d v="2002-06-02T00:00:00"/>
    <s v="555-01005"/>
    <s v="395 Main St"/>
    <s v="Tokyo"/>
    <s v="TK"/>
    <x v="4"/>
    <n v="2.92"/>
    <n v="121"/>
  </r>
  <r>
    <s v="Genesis"/>
    <n v="63"/>
    <x v="0"/>
    <x v="4"/>
    <s v="Sales Executive"/>
    <n v="1396"/>
    <n v="66325.66"/>
    <d v="2000-12-07T00:00:00"/>
    <s v="555-01006"/>
    <s v="396 Main St"/>
    <s v="New York"/>
    <s v="NK"/>
    <x v="0"/>
    <n v="3.48"/>
    <n v="187"/>
  </r>
  <r>
    <s v="Genevieve"/>
    <n v="31"/>
    <x v="2"/>
    <x v="1"/>
    <s v="Sales Executive"/>
    <n v="1397"/>
    <n v="131376"/>
    <d v="2011-06-28T00:00:00"/>
    <s v="555-01007"/>
    <s v="397 Main St"/>
    <s v="Paris"/>
    <s v="PA"/>
    <x v="1"/>
    <n v="4.5"/>
    <n v="16"/>
  </r>
  <r>
    <s v="George"/>
    <n v="22"/>
    <x v="0"/>
    <x v="1"/>
    <s v="Software Engineer"/>
    <n v="1398"/>
    <n v="92174.65"/>
    <d v="2003-11-07T00:00:00"/>
    <s v="555-01008"/>
    <s v="398 Main St"/>
    <s v="London"/>
    <s v="LN"/>
    <x v="2"/>
    <n v="3.88"/>
    <n v="42"/>
  </r>
  <r>
    <s v="Georgia"/>
    <n v="41"/>
    <x v="1"/>
    <x v="4"/>
    <s v="Project Manager"/>
    <n v="1399"/>
    <n v="152633.64000000001"/>
    <d v="2005-04-25T00:00:00"/>
    <s v="555-01009"/>
    <s v="399 Main St"/>
    <s v="Dubai"/>
    <s v="DB"/>
    <x v="3"/>
    <n v="3.8"/>
    <n v="39"/>
  </r>
  <r>
    <s v="Georgina"/>
    <n v="58"/>
    <x v="2"/>
    <x v="1"/>
    <s v="Analyst"/>
    <n v="1400"/>
    <n v="189097.28"/>
    <d v="2015-01-20T00:00:00"/>
    <s v="555-01000"/>
    <s v="400 Main St"/>
    <s v="Tokyo"/>
    <s v="TK"/>
    <x v="4"/>
    <n v="1.48"/>
    <n v="41"/>
  </r>
  <r>
    <s v="Gerald"/>
    <n v="39"/>
    <x v="1"/>
    <x v="1"/>
    <s v="Sales Executive"/>
    <n v="1401"/>
    <n v="56287.66"/>
    <d v="2010-02-10T00:00:00"/>
    <s v="555-01001"/>
    <s v="401 Main St"/>
    <s v="New York"/>
    <s v="NK"/>
    <x v="0"/>
    <n v="3.25"/>
    <n v="150"/>
  </r>
  <r>
    <s v="Geraldine"/>
    <n v="42"/>
    <x v="2"/>
    <x v="0"/>
    <s v="Software Engineer"/>
    <n v="1402"/>
    <n v="100083.47"/>
    <d v="2016-05-05T00:00:00"/>
    <s v="555-01002"/>
    <s v="402 Main St"/>
    <s v="Paris"/>
    <s v="PA"/>
    <x v="1"/>
    <n v="3.22"/>
    <n v="137"/>
  </r>
  <r>
    <s v="Gertrude"/>
    <n v="25"/>
    <x v="1"/>
    <x v="4"/>
    <s v="Analyst"/>
    <n v="1403"/>
    <n v="120298.18"/>
    <d v="2021-01-23T00:00:00"/>
    <s v="555-01003"/>
    <s v="403 Main St"/>
    <s v="London"/>
    <s v="LN"/>
    <x v="2"/>
    <n v="3.04"/>
    <n v="173"/>
  </r>
  <r>
    <s v="Gia"/>
    <n v="64"/>
    <x v="2"/>
    <x v="4"/>
    <s v="HR Specialist"/>
    <n v="1404"/>
    <n v="158702.24"/>
    <d v="2011-09-26T00:00:00"/>
    <s v="555-01004"/>
    <s v="404 Main St"/>
    <s v="Dubai"/>
    <s v="DB"/>
    <x v="3"/>
    <n v="1.1299999999999999"/>
    <n v="67"/>
  </r>
  <r>
    <s v="Gideon"/>
    <n v="23"/>
    <x v="1"/>
    <x v="0"/>
    <s v="HR Specialist"/>
    <n v="1405"/>
    <n v="77263.34"/>
    <d v="2022-01-25T00:00:00"/>
    <s v="555-01005"/>
    <s v="405 Main St"/>
    <s v="Tokyo"/>
    <s v="TK"/>
    <x v="4"/>
    <n v="4.07"/>
    <n v="145"/>
  </r>
  <r>
    <s v="Gilbert"/>
    <n v="42"/>
    <x v="0"/>
    <x v="4"/>
    <s v="Sales Executive"/>
    <n v="1406"/>
    <n v="81558.710000000006"/>
    <d v="2018-12-15T00:00:00"/>
    <s v="555-01006"/>
    <s v="406 Main St"/>
    <s v="New York"/>
    <s v="NK"/>
    <x v="0"/>
    <n v="2.29"/>
    <n v="169"/>
  </r>
  <r>
    <s v="Gillian"/>
    <n v="58"/>
    <x v="2"/>
    <x v="3"/>
    <s v="Sales Executive"/>
    <n v="1407"/>
    <n v="72396.899999999994"/>
    <d v="2013-01-03T00:00:00"/>
    <s v="555-01007"/>
    <s v="407 Main St"/>
    <s v="Paris"/>
    <s v="PA"/>
    <x v="1"/>
    <n v="2.75"/>
    <n v="140"/>
  </r>
  <r>
    <s v="Gina"/>
    <n v="26"/>
    <x v="1"/>
    <x v="2"/>
    <s v="HR Specialist"/>
    <n v="1408"/>
    <n v="78211.460000000006"/>
    <d v="2020-08-08T00:00:00"/>
    <s v="555-01008"/>
    <s v="408 Main St"/>
    <s v="London"/>
    <s v="LN"/>
    <x v="2"/>
    <n v="4.53"/>
    <n v="141"/>
  </r>
  <r>
    <s v="Ginger"/>
    <n v="38"/>
    <x v="1"/>
    <x v="2"/>
    <s v="Sales Executive"/>
    <n v="1409"/>
    <n v="91186.13"/>
    <d v="2017-05-16T00:00:00"/>
    <s v="555-01009"/>
    <s v="409 Main St"/>
    <s v="Dubai"/>
    <s v="DB"/>
    <x v="3"/>
    <n v="4.7300000000000004"/>
    <n v="19"/>
  </r>
  <r>
    <s v="Giovanna"/>
    <n v="32"/>
    <x v="1"/>
    <x v="4"/>
    <s v="HR Specialist"/>
    <n v="1410"/>
    <n v="198921.42"/>
    <d v="2011-06-01T00:00:00"/>
    <s v="555-01000"/>
    <s v="410 Main St"/>
    <s v="Tokyo"/>
    <s v="TK"/>
    <x v="4"/>
    <n v="1.05"/>
    <n v="118"/>
  </r>
  <r>
    <s v="Giovanni"/>
    <n v="62"/>
    <x v="1"/>
    <x v="2"/>
    <s v="Software Engineer"/>
    <n v="1411"/>
    <n v="56218.77"/>
    <d v="2020-06-04T00:00:00"/>
    <s v="555-01001"/>
    <s v="411 Main St"/>
    <s v="New York"/>
    <s v="NK"/>
    <x v="0"/>
    <n v="4.3600000000000003"/>
    <n v="116"/>
  </r>
  <r>
    <s v="Giselle"/>
    <n v="52"/>
    <x v="0"/>
    <x v="1"/>
    <s v="Analyst"/>
    <n v="1412"/>
    <n v="90202.02"/>
    <d v="2017-06-04T00:00:00"/>
    <s v="555-01002"/>
    <s v="412 Main St"/>
    <s v="Paris"/>
    <s v="PA"/>
    <x v="1"/>
    <n v="4.04"/>
    <n v="26"/>
  </r>
  <r>
    <s v="Gladys"/>
    <n v="49"/>
    <x v="0"/>
    <x v="1"/>
    <s v="Software Engineer"/>
    <n v="1413"/>
    <n v="113204.39"/>
    <d v="2014-02-19T00:00:00"/>
    <s v="555-01003"/>
    <s v="413 Main St"/>
    <s v="London"/>
    <s v="LN"/>
    <x v="2"/>
    <n v="4.83"/>
    <n v="69"/>
  </r>
  <r>
    <s v="Gloria"/>
    <n v="53"/>
    <x v="2"/>
    <x v="3"/>
    <s v="HR Specialist"/>
    <n v="1414"/>
    <n v="190124.27"/>
    <d v="2017-05-10T00:00:00"/>
    <s v="555-01004"/>
    <s v="414 Main St"/>
    <s v="Dubai"/>
    <s v="DB"/>
    <x v="3"/>
    <n v="4.83"/>
    <n v="181"/>
  </r>
  <r>
    <s v="Gordon"/>
    <n v="42"/>
    <x v="2"/>
    <x v="0"/>
    <s v="Software Engineer"/>
    <n v="1415"/>
    <n v="90825.03"/>
    <d v="2003-12-07T00:00:00"/>
    <s v="555-01005"/>
    <s v="415 Main St"/>
    <s v="Tokyo"/>
    <s v="TK"/>
    <x v="4"/>
    <n v="4.8600000000000003"/>
    <n v="130"/>
  </r>
  <r>
    <s v="Grace"/>
    <n v="28"/>
    <x v="1"/>
    <x v="2"/>
    <s v="HR Specialist"/>
    <n v="1416"/>
    <n v="102098.94"/>
    <d v="2019-08-26T00:00:00"/>
    <s v="555-01006"/>
    <s v="416 Main St"/>
    <s v="New York"/>
    <s v="NK"/>
    <x v="0"/>
    <n v="4.22"/>
    <n v="134"/>
  </r>
  <r>
    <s v="Gracie"/>
    <n v="31"/>
    <x v="2"/>
    <x v="3"/>
    <s v="Software Engineer"/>
    <n v="1417"/>
    <n v="126445.75"/>
    <d v="2020-11-30T00:00:00"/>
    <s v="555-01007"/>
    <s v="417 Main St"/>
    <s v="Paris"/>
    <s v="PA"/>
    <x v="1"/>
    <n v="4.88"/>
    <n v="67"/>
  </r>
  <r>
    <s v="Graham"/>
    <n v="49"/>
    <x v="1"/>
    <x v="2"/>
    <s v="Analyst"/>
    <n v="1418"/>
    <n v="59994.86"/>
    <d v="2006-11-18T00:00:00"/>
    <s v="555-01008"/>
    <s v="418 Main St"/>
    <s v="London"/>
    <s v="LN"/>
    <x v="2"/>
    <n v="1.58"/>
    <n v="3"/>
  </r>
  <r>
    <s v="Grant"/>
    <n v="57"/>
    <x v="2"/>
    <x v="1"/>
    <s v="HR Specialist"/>
    <n v="1419"/>
    <n v="63513.69"/>
    <d v="2004-11-01T00:00:00"/>
    <s v="555-01009"/>
    <s v="419 Main St"/>
    <s v="Dubai"/>
    <s v="DB"/>
    <x v="3"/>
    <n v="3.27"/>
    <n v="45"/>
  </r>
  <r>
    <s v="Grayson"/>
    <n v="41"/>
    <x v="2"/>
    <x v="3"/>
    <s v="Sales Executive"/>
    <n v="1420"/>
    <n v="77863.98"/>
    <d v="2015-02-01T00:00:00"/>
    <s v="555-01000"/>
    <s v="420 Main St"/>
    <s v="Tokyo"/>
    <s v="TK"/>
    <x v="4"/>
    <n v="4.2"/>
    <n v="118"/>
  </r>
  <r>
    <s v="Greg"/>
    <n v="34"/>
    <x v="1"/>
    <x v="3"/>
    <s v="Sales Executive"/>
    <n v="1421"/>
    <n v="89280.19"/>
    <d v="2004-06-05T00:00:00"/>
    <s v="555-01001"/>
    <s v="421 Main St"/>
    <s v="New York"/>
    <s v="NK"/>
    <x v="0"/>
    <n v="1.76"/>
    <n v="40"/>
  </r>
  <r>
    <s v="Gregg"/>
    <n v="40"/>
    <x v="0"/>
    <x v="0"/>
    <s v="Sales Executive"/>
    <n v="1422"/>
    <n v="127788.99"/>
    <d v="2000-03-26T00:00:00"/>
    <s v="555-01002"/>
    <s v="422 Main St"/>
    <s v="Paris"/>
    <s v="PA"/>
    <x v="1"/>
    <n v="2.38"/>
    <n v="50"/>
  </r>
  <r>
    <s v="Gregory"/>
    <n v="32"/>
    <x v="1"/>
    <x v="1"/>
    <s v="HR Specialist"/>
    <n v="1423"/>
    <n v="130275.07"/>
    <d v="2015-10-06T00:00:00"/>
    <s v="555-01003"/>
    <s v="423 Main St"/>
    <s v="London"/>
    <s v="LN"/>
    <x v="2"/>
    <n v="1.54"/>
    <n v="147"/>
  </r>
  <r>
    <s v="Greta"/>
    <n v="56"/>
    <x v="0"/>
    <x v="3"/>
    <s v="Sales Executive"/>
    <n v="1424"/>
    <n v="164451.89000000001"/>
    <d v="2017-05-18T00:00:00"/>
    <s v="555-01004"/>
    <s v="424 Main St"/>
    <s v="Dubai"/>
    <s v="DB"/>
    <x v="3"/>
    <n v="3.49"/>
    <n v="81"/>
  </r>
  <r>
    <s v="Gretchen"/>
    <n v="55"/>
    <x v="2"/>
    <x v="1"/>
    <s v="Project Manager"/>
    <n v="1425"/>
    <n v="117560.82"/>
    <d v="2001-02-13T00:00:00"/>
    <s v="555-01005"/>
    <s v="425 Main St"/>
    <s v="Tokyo"/>
    <s v="TK"/>
    <x v="4"/>
    <n v="1.83"/>
    <n v="18"/>
  </r>
  <r>
    <s v="Griffin"/>
    <n v="25"/>
    <x v="0"/>
    <x v="1"/>
    <s v="Analyst"/>
    <n v="1426"/>
    <n v="155677.67000000001"/>
    <d v="2017-07-17T00:00:00"/>
    <s v="555-01006"/>
    <s v="426 Main St"/>
    <s v="New York"/>
    <s v="NK"/>
    <x v="0"/>
    <n v="4.05"/>
    <n v="112"/>
  </r>
  <r>
    <s v="Guadalupe"/>
    <n v="34"/>
    <x v="1"/>
    <x v="4"/>
    <s v="Project Manager"/>
    <n v="1427"/>
    <n v="156137.44"/>
    <d v="2008-05-10T00:00:00"/>
    <s v="555-01007"/>
    <s v="427 Main St"/>
    <s v="Paris"/>
    <s v="PA"/>
    <x v="1"/>
    <n v="3.74"/>
    <n v="182"/>
  </r>
  <r>
    <s v="Guido"/>
    <n v="58"/>
    <x v="2"/>
    <x v="4"/>
    <s v="HR Specialist"/>
    <n v="1428"/>
    <n v="194305.68"/>
    <d v="2009-10-05T00:00:00"/>
    <s v="555-01008"/>
    <s v="428 Main St"/>
    <s v="London"/>
    <s v="LN"/>
    <x v="2"/>
    <n v="3.97"/>
    <n v="85"/>
  </r>
  <r>
    <s v="Gwen"/>
    <n v="23"/>
    <x v="0"/>
    <x v="0"/>
    <s v="HR Specialist"/>
    <n v="1429"/>
    <n v="99504.05"/>
    <d v="2010-11-22T00:00:00"/>
    <s v="555-01009"/>
    <s v="429 Main St"/>
    <s v="Dubai"/>
    <s v="DB"/>
    <x v="3"/>
    <n v="3.36"/>
    <n v="85"/>
  </r>
  <r>
    <s v="Gwendolyn"/>
    <n v="22"/>
    <x v="0"/>
    <x v="1"/>
    <s v="Analyst"/>
    <n v="1430"/>
    <n v="103949.47"/>
    <d v="2000-10-24T00:00:00"/>
    <s v="555-01000"/>
    <s v="430 Main St"/>
    <s v="Tokyo"/>
    <s v="TK"/>
    <x v="4"/>
    <n v="1.02"/>
    <n v="34"/>
  </r>
  <r>
    <s v="Hadley"/>
    <n v="61"/>
    <x v="1"/>
    <x v="4"/>
    <s v="Software Engineer"/>
    <n v="1431"/>
    <n v="154358.57999999999"/>
    <d v="2009-09-02T00:00:00"/>
    <s v="555-01001"/>
    <s v="431 Main St"/>
    <s v="New York"/>
    <s v="NK"/>
    <x v="0"/>
    <n v="1.45"/>
    <n v="137"/>
  </r>
  <r>
    <s v="Hailey"/>
    <n v="46"/>
    <x v="2"/>
    <x v="2"/>
    <s v="Analyst"/>
    <n v="1432"/>
    <n v="105989.57"/>
    <d v="2021-07-31T00:00:00"/>
    <s v="555-01002"/>
    <s v="432 Main St"/>
    <s v="Paris"/>
    <s v="PA"/>
    <x v="1"/>
    <n v="2.0299999999999998"/>
    <n v="154"/>
  </r>
  <r>
    <s v="Hal"/>
    <n v="58"/>
    <x v="2"/>
    <x v="1"/>
    <s v="Project Manager"/>
    <n v="1433"/>
    <n v="174286.48"/>
    <d v="2013-06-02T00:00:00"/>
    <s v="555-01003"/>
    <s v="433 Main St"/>
    <s v="London"/>
    <s v="LN"/>
    <x v="2"/>
    <n v="4.03"/>
    <n v="163"/>
  </r>
  <r>
    <s v="Haley"/>
    <n v="57"/>
    <x v="0"/>
    <x v="3"/>
    <s v="Project Manager"/>
    <n v="1434"/>
    <n v="63463.66"/>
    <d v="2010-07-03T00:00:00"/>
    <s v="555-01004"/>
    <s v="434 Main St"/>
    <s v="Dubai"/>
    <s v="DB"/>
    <x v="3"/>
    <n v="3.73"/>
    <n v="100"/>
  </r>
  <r>
    <s v="Hallie"/>
    <n v="27"/>
    <x v="0"/>
    <x v="1"/>
    <s v="Project Manager"/>
    <n v="1435"/>
    <n v="154150.01999999999"/>
    <d v="2013-10-28T00:00:00"/>
    <s v="555-01005"/>
    <s v="435 Main St"/>
    <s v="Tokyo"/>
    <s v="TK"/>
    <x v="4"/>
    <n v="1.65"/>
    <n v="19"/>
  </r>
  <r>
    <s v="Hank"/>
    <n v="28"/>
    <x v="0"/>
    <x v="3"/>
    <s v="Project Manager"/>
    <n v="1436"/>
    <n v="73321.13"/>
    <d v="2009-04-08T00:00:00"/>
    <s v="555-01006"/>
    <s v="436 Main St"/>
    <s v="New York"/>
    <s v="NK"/>
    <x v="0"/>
    <n v="3.07"/>
    <n v="134"/>
  </r>
  <r>
    <s v="Hannah"/>
    <n v="25"/>
    <x v="2"/>
    <x v="0"/>
    <s v="Software Engineer"/>
    <n v="1437"/>
    <n v="132586.35999999999"/>
    <d v="2002-12-03T00:00:00"/>
    <s v="555-01007"/>
    <s v="437 Main St"/>
    <s v="Paris"/>
    <s v="PA"/>
    <x v="1"/>
    <n v="1.08"/>
    <n v="173"/>
  </r>
  <r>
    <s v="Hans"/>
    <n v="56"/>
    <x v="0"/>
    <x v="4"/>
    <s v="HR Specialist"/>
    <n v="1438"/>
    <n v="125927.47"/>
    <d v="2015-08-30T00:00:00"/>
    <s v="555-01008"/>
    <s v="438 Main St"/>
    <s v="London"/>
    <s v="LN"/>
    <x v="2"/>
    <n v="2.7"/>
    <n v="152"/>
  </r>
  <r>
    <s v="Harley"/>
    <n v="62"/>
    <x v="0"/>
    <x v="2"/>
    <s v="HR Specialist"/>
    <n v="1439"/>
    <n v="151680.64000000001"/>
    <d v="2015-10-13T00:00:00"/>
    <s v="555-01009"/>
    <s v="439 Main St"/>
    <s v="Dubai"/>
    <s v="DB"/>
    <x v="3"/>
    <n v="4.08"/>
    <n v="185"/>
  </r>
  <r>
    <s v="Harold"/>
    <n v="55"/>
    <x v="2"/>
    <x v="4"/>
    <s v="Analyst"/>
    <n v="1440"/>
    <n v="134217.37"/>
    <d v="2017-06-01T00:00:00"/>
    <s v="555-01000"/>
    <s v="440 Main St"/>
    <s v="Tokyo"/>
    <s v="TK"/>
    <x v="4"/>
    <n v="1.56"/>
    <n v="162"/>
  </r>
  <r>
    <s v="Harmony"/>
    <n v="50"/>
    <x v="2"/>
    <x v="3"/>
    <s v="HR Specialist"/>
    <n v="1441"/>
    <n v="131330.39000000001"/>
    <d v="2005-09-06T00:00:00"/>
    <s v="555-01001"/>
    <s v="441 Main St"/>
    <s v="New York"/>
    <s v="NK"/>
    <x v="0"/>
    <n v="3.2"/>
    <n v="95"/>
  </r>
  <r>
    <s v="Harper"/>
    <n v="26"/>
    <x v="1"/>
    <x v="0"/>
    <s v="HR Specialist"/>
    <n v="1442"/>
    <n v="126730.18"/>
    <d v="2022-01-08T00:00:00"/>
    <s v="555-01002"/>
    <s v="442 Main St"/>
    <s v="Paris"/>
    <s v="PA"/>
    <x v="1"/>
    <n v="4.03"/>
    <n v="163"/>
  </r>
  <r>
    <s v="Harrison"/>
    <n v="48"/>
    <x v="2"/>
    <x v="3"/>
    <s v="HR Specialist"/>
    <n v="1443"/>
    <n v="166801.68"/>
    <d v="2019-06-15T00:00:00"/>
    <s v="555-01003"/>
    <s v="443 Main St"/>
    <s v="London"/>
    <s v="LN"/>
    <x v="2"/>
    <n v="3.77"/>
    <n v="30"/>
  </r>
  <r>
    <s v="Harry"/>
    <n v="54"/>
    <x v="2"/>
    <x v="0"/>
    <s v="Software Engineer"/>
    <n v="1444"/>
    <n v="90293.06"/>
    <d v="2015-06-04T00:00:00"/>
    <s v="555-01004"/>
    <s v="444 Main St"/>
    <s v="Dubai"/>
    <s v="DB"/>
    <x v="3"/>
    <n v="1.72"/>
    <n v="127"/>
  </r>
  <r>
    <s v="Harvey"/>
    <n v="31"/>
    <x v="1"/>
    <x v="0"/>
    <s v="Software Engineer"/>
    <n v="1445"/>
    <n v="74141.320000000007"/>
    <d v="2022-01-23T00:00:00"/>
    <s v="555-01005"/>
    <s v="445 Main St"/>
    <s v="Tokyo"/>
    <s v="TK"/>
    <x v="4"/>
    <n v="4.7699999999999996"/>
    <n v="13"/>
  </r>
  <r>
    <s v="Hattie"/>
    <n v="27"/>
    <x v="2"/>
    <x v="2"/>
    <s v="HR Specialist"/>
    <n v="1446"/>
    <n v="51891.32"/>
    <d v="2012-01-24T00:00:00"/>
    <s v="555-01006"/>
    <s v="446 Main St"/>
    <s v="New York"/>
    <s v="NK"/>
    <x v="0"/>
    <n v="4.2"/>
    <n v="43"/>
  </r>
  <r>
    <s v="Hayden"/>
    <n v="55"/>
    <x v="1"/>
    <x v="2"/>
    <s v="Project Manager"/>
    <n v="1447"/>
    <n v="69781.47"/>
    <d v="2011-04-10T00:00:00"/>
    <s v="555-01007"/>
    <s v="447 Main St"/>
    <s v="Paris"/>
    <s v="PA"/>
    <x v="1"/>
    <n v="1.74"/>
    <n v="72"/>
  </r>
  <r>
    <s v="Hazel"/>
    <n v="29"/>
    <x v="2"/>
    <x v="4"/>
    <s v="HR Specialist"/>
    <n v="1448"/>
    <n v="146761.14000000001"/>
    <d v="2019-12-24T00:00:00"/>
    <s v="555-01008"/>
    <s v="448 Main St"/>
    <s v="London"/>
    <s v="LN"/>
    <x v="2"/>
    <n v="4.13"/>
    <n v="69"/>
  </r>
  <r>
    <s v="Heath"/>
    <n v="52"/>
    <x v="1"/>
    <x v="2"/>
    <s v="Analyst"/>
    <n v="1449"/>
    <n v="158157.91"/>
    <d v="2014-03-09T00:00:00"/>
    <s v="555-01009"/>
    <s v="449 Main St"/>
    <s v="Dubai"/>
    <s v="DB"/>
    <x v="3"/>
    <n v="2.0299999999999998"/>
    <n v="172"/>
  </r>
  <r>
    <s v="Heather"/>
    <n v="30"/>
    <x v="0"/>
    <x v="3"/>
    <s v="Sales Executive"/>
    <n v="1450"/>
    <n v="144438.03"/>
    <d v="2000-09-30T00:00:00"/>
    <s v="555-01000"/>
    <s v="450 Main St"/>
    <s v="Tokyo"/>
    <s v="TK"/>
    <x v="4"/>
    <n v="4.62"/>
    <n v="65"/>
  </r>
  <r>
    <s v="Hector"/>
    <n v="42"/>
    <x v="0"/>
    <x v="3"/>
    <s v="Analyst"/>
    <n v="1451"/>
    <n v="60293.13"/>
    <d v="2014-05-18T00:00:00"/>
    <s v="555-01001"/>
    <s v="451 Main St"/>
    <s v="New York"/>
    <s v="NK"/>
    <x v="0"/>
    <n v="4.4000000000000004"/>
    <n v="65"/>
  </r>
  <r>
    <s v="Heidi"/>
    <n v="29"/>
    <x v="0"/>
    <x v="0"/>
    <s v="Sales Executive"/>
    <n v="1452"/>
    <n v="165890.32999999999"/>
    <d v="2014-10-20T00:00:00"/>
    <s v="555-01002"/>
    <s v="452 Main St"/>
    <s v="Paris"/>
    <s v="PA"/>
    <x v="1"/>
    <n v="3.55"/>
    <n v="39"/>
  </r>
  <r>
    <s v="Helen"/>
    <n v="25"/>
    <x v="1"/>
    <x v="4"/>
    <s v="Software Engineer"/>
    <n v="1453"/>
    <n v="127434.94"/>
    <d v="2000-06-21T00:00:00"/>
    <s v="555-01003"/>
    <s v="453 Main St"/>
    <s v="London"/>
    <s v="LN"/>
    <x v="2"/>
    <n v="3.62"/>
    <n v="178"/>
  </r>
  <r>
    <s v="Helena"/>
    <n v="43"/>
    <x v="0"/>
    <x v="4"/>
    <s v="Software Engineer"/>
    <n v="1454"/>
    <n v="86011.97"/>
    <d v="2009-04-01T00:00:00"/>
    <s v="555-01004"/>
    <s v="454 Main St"/>
    <s v="Dubai"/>
    <s v="DB"/>
    <x v="3"/>
    <n v="1.29"/>
    <n v="73"/>
  </r>
  <r>
    <s v="Helene"/>
    <n v="49"/>
    <x v="2"/>
    <x v="4"/>
    <s v="HR Specialist"/>
    <n v="1455"/>
    <n v="137986.93"/>
    <d v="2018-06-11T00:00:00"/>
    <s v="555-01005"/>
    <s v="455 Main St"/>
    <s v="Tokyo"/>
    <s v="TK"/>
    <x v="4"/>
    <n v="2.34"/>
    <n v="49"/>
  </r>
  <r>
    <s v="Henry"/>
    <n v="25"/>
    <x v="1"/>
    <x v="0"/>
    <s v="Sales Executive"/>
    <n v="1456"/>
    <n v="112388.59"/>
    <d v="2012-02-28T00:00:00"/>
    <s v="555-01006"/>
    <s v="456 Main St"/>
    <s v="New York"/>
    <s v="NK"/>
    <x v="0"/>
    <n v="4.55"/>
    <n v="71"/>
  </r>
  <r>
    <s v="Herbert"/>
    <n v="60"/>
    <x v="2"/>
    <x v="2"/>
    <s v="Software Engineer"/>
    <n v="1457"/>
    <n v="154603.26"/>
    <d v="2004-06-15T00:00:00"/>
    <s v="555-01007"/>
    <s v="457 Main St"/>
    <s v="Paris"/>
    <s v="PA"/>
    <x v="1"/>
    <n v="2.25"/>
    <n v="117"/>
  </r>
  <r>
    <s v="Herman"/>
    <n v="42"/>
    <x v="2"/>
    <x v="1"/>
    <s v="Software Engineer"/>
    <n v="1458"/>
    <n v="124353.39"/>
    <d v="2004-09-12T00:00:00"/>
    <s v="555-01008"/>
    <s v="458 Main St"/>
    <s v="London"/>
    <s v="LN"/>
    <x v="2"/>
    <n v="2.2000000000000002"/>
    <n v="56"/>
  </r>
  <r>
    <s v="Hilary"/>
    <n v="29"/>
    <x v="2"/>
    <x v="3"/>
    <s v="HR Specialist"/>
    <n v="1459"/>
    <n v="55397.05"/>
    <d v="2017-07-20T00:00:00"/>
    <s v="555-01009"/>
    <s v="459 Main St"/>
    <s v="Dubai"/>
    <s v="DB"/>
    <x v="3"/>
    <n v="2.84"/>
    <n v="21"/>
  </r>
  <r>
    <s v="Hillary"/>
    <n v="41"/>
    <x v="1"/>
    <x v="0"/>
    <s v="Software Engineer"/>
    <n v="1460"/>
    <n v="146694"/>
    <d v="2021-05-19T00:00:00"/>
    <s v="555-01000"/>
    <s v="460 Main St"/>
    <s v="Tokyo"/>
    <s v="TK"/>
    <x v="4"/>
    <n v="1.75"/>
    <n v="109"/>
  </r>
  <r>
    <s v="Holly"/>
    <n v="53"/>
    <x v="2"/>
    <x v="3"/>
    <s v="Sales Executive"/>
    <n v="1461"/>
    <n v="156708.01"/>
    <d v="2010-01-06T00:00:00"/>
    <s v="555-01001"/>
    <s v="461 Main St"/>
    <s v="New York"/>
    <s v="NK"/>
    <x v="0"/>
    <n v="4.5"/>
    <n v="186"/>
  </r>
  <r>
    <s v="Hope"/>
    <n v="22"/>
    <x v="0"/>
    <x v="2"/>
    <s v="Analyst"/>
    <n v="1462"/>
    <n v="147059.89000000001"/>
    <d v="2004-04-26T00:00:00"/>
    <s v="555-01002"/>
    <s v="462 Main St"/>
    <s v="Paris"/>
    <s v="PA"/>
    <x v="1"/>
    <n v="4.13"/>
    <n v="2"/>
  </r>
  <r>
    <s v="Howard"/>
    <n v="27"/>
    <x v="1"/>
    <x v="2"/>
    <s v="Software Engineer"/>
    <n v="1463"/>
    <n v="187200.93"/>
    <d v="2003-02-04T00:00:00"/>
    <s v="555-01003"/>
    <s v="463 Main St"/>
    <s v="London"/>
    <s v="LN"/>
    <x v="2"/>
    <n v="1.52"/>
    <n v="106"/>
  </r>
  <r>
    <s v="Hudson"/>
    <n v="49"/>
    <x v="0"/>
    <x v="0"/>
    <s v="Project Manager"/>
    <n v="1464"/>
    <n v="99966.81"/>
    <d v="2009-11-22T00:00:00"/>
    <s v="555-01004"/>
    <s v="464 Main St"/>
    <s v="Dubai"/>
    <s v="DB"/>
    <x v="3"/>
    <n v="2.29"/>
    <n v="5"/>
  </r>
  <r>
    <s v="Hugh"/>
    <n v="52"/>
    <x v="1"/>
    <x v="0"/>
    <s v="Software Engineer"/>
    <n v="1465"/>
    <n v="84205.47"/>
    <d v="2019-07-02T00:00:00"/>
    <s v="555-01005"/>
    <s v="465 Main St"/>
    <s v="Tokyo"/>
    <s v="TK"/>
    <x v="4"/>
    <n v="1.59"/>
    <n v="93"/>
  </r>
  <r>
    <s v="Hugo"/>
    <n v="31"/>
    <x v="2"/>
    <x v="1"/>
    <s v="Analyst"/>
    <n v="1466"/>
    <n v="126542.11"/>
    <d v="2010-01-08T00:00:00"/>
    <s v="555-01006"/>
    <s v="466 Main St"/>
    <s v="New York"/>
    <s v="NK"/>
    <x v="0"/>
    <n v="2.5499999999999998"/>
    <n v="66"/>
  </r>
  <r>
    <s v="Hunter"/>
    <n v="41"/>
    <x v="0"/>
    <x v="4"/>
    <s v="HR Specialist"/>
    <n v="1467"/>
    <n v="171027.43"/>
    <d v="2000-07-11T00:00:00"/>
    <s v="555-01007"/>
    <s v="467 Main St"/>
    <s v="Paris"/>
    <s v="PA"/>
    <x v="1"/>
    <n v="3.61"/>
    <n v="84"/>
  </r>
  <r>
    <s v="Ian"/>
    <n v="29"/>
    <x v="1"/>
    <x v="1"/>
    <s v="HR Specialist"/>
    <n v="1468"/>
    <n v="153019.21"/>
    <d v="2005-08-24T00:00:00"/>
    <s v="555-01008"/>
    <s v="468 Main St"/>
    <s v="London"/>
    <s v="LN"/>
    <x v="2"/>
    <n v="2.04"/>
    <n v="175"/>
  </r>
  <r>
    <s v="Ibrahim"/>
    <n v="43"/>
    <x v="2"/>
    <x v="0"/>
    <s v="Analyst"/>
    <n v="1469"/>
    <n v="113713.19"/>
    <d v="2005-08-20T00:00:00"/>
    <s v="555-01009"/>
    <s v="469 Main St"/>
    <s v="Dubai"/>
    <s v="DB"/>
    <x v="3"/>
    <n v="4.0599999999999996"/>
    <n v="67"/>
  </r>
  <r>
    <s v="Ida"/>
    <n v="59"/>
    <x v="2"/>
    <x v="1"/>
    <s v="HR Specialist"/>
    <n v="1470"/>
    <n v="75135.62"/>
    <d v="2004-03-12T00:00:00"/>
    <s v="555-01000"/>
    <s v="470 Main St"/>
    <s v="Tokyo"/>
    <s v="TK"/>
    <x v="4"/>
    <n v="4.8600000000000003"/>
    <n v="145"/>
  </r>
  <r>
    <s v="Ignatius"/>
    <n v="50"/>
    <x v="1"/>
    <x v="3"/>
    <s v="Software Engineer"/>
    <n v="1471"/>
    <n v="75361.929999999993"/>
    <d v="2015-03-29T00:00:00"/>
    <s v="555-01001"/>
    <s v="471 Main St"/>
    <s v="New York"/>
    <s v="NK"/>
    <x v="0"/>
    <n v="3.44"/>
    <n v="48"/>
  </r>
  <r>
    <s v="Ike"/>
    <n v="30"/>
    <x v="1"/>
    <x v="2"/>
    <s v="Sales Executive"/>
    <n v="1472"/>
    <n v="115512.88"/>
    <d v="2018-12-08T00:00:00"/>
    <s v="555-01002"/>
    <s v="472 Main St"/>
    <s v="Paris"/>
    <s v="PA"/>
    <x v="1"/>
    <n v="2.33"/>
    <n v="17"/>
  </r>
  <r>
    <s v="Iliana"/>
    <n v="22"/>
    <x v="1"/>
    <x v="2"/>
    <s v="Software Engineer"/>
    <n v="1473"/>
    <n v="184602.8"/>
    <d v="2018-10-14T00:00:00"/>
    <s v="555-01003"/>
    <s v="473 Main St"/>
    <s v="London"/>
    <s v="LN"/>
    <x v="2"/>
    <n v="3.93"/>
    <n v="76"/>
  </r>
  <r>
    <s v="Imani"/>
    <n v="62"/>
    <x v="1"/>
    <x v="1"/>
    <s v="Sales Executive"/>
    <n v="1474"/>
    <n v="113763.54"/>
    <d v="2013-01-31T00:00:00"/>
    <s v="555-01004"/>
    <s v="474 Main St"/>
    <s v="Dubai"/>
    <s v="DB"/>
    <x v="3"/>
    <n v="2.06"/>
    <n v="149"/>
  </r>
  <r>
    <s v="Imogen"/>
    <n v="60"/>
    <x v="0"/>
    <x v="4"/>
    <s v="Project Manager"/>
    <n v="1475"/>
    <n v="190227.15"/>
    <d v="2015-03-15T00:00:00"/>
    <s v="555-01005"/>
    <s v="475 Main St"/>
    <s v="Tokyo"/>
    <s v="TK"/>
    <x v="4"/>
    <n v="4.54"/>
    <n v="160"/>
  </r>
  <r>
    <s v="India"/>
    <n v="47"/>
    <x v="1"/>
    <x v="0"/>
    <s v="Analyst"/>
    <n v="1476"/>
    <n v="120272.36"/>
    <d v="2003-10-06T00:00:00"/>
    <s v="555-01006"/>
    <s v="476 Main St"/>
    <s v="New York"/>
    <s v="NK"/>
    <x v="0"/>
    <n v="4.05"/>
    <n v="105"/>
  </r>
  <r>
    <s v="Indigo"/>
    <n v="32"/>
    <x v="2"/>
    <x v="2"/>
    <s v="Analyst"/>
    <n v="1477"/>
    <n v="55507.31"/>
    <d v="2018-02-22T00:00:00"/>
    <s v="555-01007"/>
    <s v="477 Main St"/>
    <s v="Paris"/>
    <s v="PA"/>
    <x v="1"/>
    <n v="2.68"/>
    <n v="122"/>
  </r>
  <r>
    <s v="Inez"/>
    <n v="56"/>
    <x v="0"/>
    <x v="1"/>
    <s v="Software Engineer"/>
    <n v="1478"/>
    <n v="89186.42"/>
    <d v="2010-01-09T00:00:00"/>
    <s v="555-01008"/>
    <s v="478 Main St"/>
    <s v="London"/>
    <s v="LN"/>
    <x v="2"/>
    <n v="3.93"/>
    <n v="143"/>
  </r>
  <r>
    <s v="Ingrid"/>
    <n v="45"/>
    <x v="2"/>
    <x v="0"/>
    <s v="HR Specialist"/>
    <n v="1479"/>
    <n v="51788.23"/>
    <d v="2014-12-20T00:00:00"/>
    <s v="555-01009"/>
    <s v="479 Main St"/>
    <s v="Dubai"/>
    <s v="DB"/>
    <x v="3"/>
    <n v="1"/>
    <n v="167"/>
  </r>
  <r>
    <s v="Ira"/>
    <n v="54"/>
    <x v="2"/>
    <x v="2"/>
    <s v="Analyst"/>
    <n v="1480"/>
    <n v="79831.399999999994"/>
    <d v="2000-02-09T00:00:00"/>
    <s v="555-01000"/>
    <s v="480 Main St"/>
    <s v="Tokyo"/>
    <s v="TK"/>
    <x v="4"/>
    <n v="4.13"/>
    <n v="140"/>
  </r>
  <r>
    <s v="Irene"/>
    <n v="41"/>
    <x v="1"/>
    <x v="1"/>
    <s v="Sales Executive"/>
    <n v="1481"/>
    <n v="119117.35"/>
    <d v="2009-07-29T00:00:00"/>
    <s v="555-01001"/>
    <s v="481 Main St"/>
    <s v="New York"/>
    <s v="NK"/>
    <x v="0"/>
    <n v="3.96"/>
    <n v="14"/>
  </r>
  <r>
    <s v="Iris"/>
    <n v="48"/>
    <x v="0"/>
    <x v="0"/>
    <s v="HR Specialist"/>
    <n v="1482"/>
    <n v="121215.02"/>
    <d v="2000-01-18T00:00:00"/>
    <s v="555-01002"/>
    <s v="482 Main St"/>
    <s v="Paris"/>
    <s v="PA"/>
    <x v="1"/>
    <n v="2.5099999999999998"/>
    <n v="47"/>
  </r>
  <r>
    <s v="Irma"/>
    <n v="36"/>
    <x v="1"/>
    <x v="4"/>
    <s v="Sales Executive"/>
    <n v="1483"/>
    <n v="198606.98"/>
    <d v="2008-02-29T00:00:00"/>
    <s v="555-01003"/>
    <s v="483 Main St"/>
    <s v="London"/>
    <s v="LN"/>
    <x v="2"/>
    <n v="1.27"/>
    <n v="1"/>
  </r>
  <r>
    <s v="Isaac"/>
    <n v="54"/>
    <x v="2"/>
    <x v="1"/>
    <s v="Analyst"/>
    <n v="1484"/>
    <n v="70899.87"/>
    <d v="2022-10-14T00:00:00"/>
    <s v="555-01004"/>
    <s v="484 Main St"/>
    <s v="Dubai"/>
    <s v="DB"/>
    <x v="3"/>
    <n v="2.72"/>
    <n v="169"/>
  </r>
  <r>
    <s v="Isabel"/>
    <n v="28"/>
    <x v="1"/>
    <x v="1"/>
    <s v="Sales Executive"/>
    <n v="1485"/>
    <n v="138019.17000000001"/>
    <d v="2005-06-03T00:00:00"/>
    <s v="555-01005"/>
    <s v="485 Main St"/>
    <s v="Tokyo"/>
    <s v="TK"/>
    <x v="4"/>
    <n v="1.01"/>
    <n v="8"/>
  </r>
  <r>
    <s v="Isabella"/>
    <n v="55"/>
    <x v="1"/>
    <x v="1"/>
    <s v="Project Manager"/>
    <n v="1486"/>
    <n v="66822.259999999995"/>
    <d v="2006-08-22T00:00:00"/>
    <s v="555-01006"/>
    <s v="486 Main St"/>
    <s v="New York"/>
    <s v="NK"/>
    <x v="0"/>
    <n v="1.54"/>
    <n v="141"/>
  </r>
  <r>
    <s v="Isabelle"/>
    <n v="63"/>
    <x v="1"/>
    <x v="2"/>
    <s v="Sales Executive"/>
    <n v="1487"/>
    <n v="102914.86"/>
    <d v="2022-09-20T00:00:00"/>
    <s v="555-01007"/>
    <s v="487 Main St"/>
    <s v="Paris"/>
    <s v="PA"/>
    <x v="1"/>
    <n v="2.0299999999999998"/>
    <n v="125"/>
  </r>
  <r>
    <s v="Isadora"/>
    <n v="26"/>
    <x v="1"/>
    <x v="4"/>
    <s v="Software Engineer"/>
    <n v="1488"/>
    <n v="148622.15"/>
    <d v="2015-12-15T00:00:00"/>
    <s v="555-01008"/>
    <s v="488 Main St"/>
    <s v="London"/>
    <s v="LN"/>
    <x v="2"/>
    <n v="1.1499999999999999"/>
    <n v="2"/>
  </r>
  <r>
    <s v="Isaiah"/>
    <n v="51"/>
    <x v="1"/>
    <x v="4"/>
    <s v="Project Manager"/>
    <n v="1489"/>
    <n v="135477.45000000001"/>
    <d v="2014-09-16T00:00:00"/>
    <s v="555-01009"/>
    <s v="489 Main St"/>
    <s v="Dubai"/>
    <s v="DB"/>
    <x v="3"/>
    <n v="3.43"/>
    <n v="147"/>
  </r>
  <r>
    <s v="Isaias"/>
    <n v="49"/>
    <x v="1"/>
    <x v="1"/>
    <s v="Software Engineer"/>
    <n v="1490"/>
    <n v="99591.17"/>
    <d v="2001-03-04T00:00:00"/>
    <s v="555-01000"/>
    <s v="490 Main St"/>
    <s v="Tokyo"/>
    <s v="TK"/>
    <x v="4"/>
    <n v="4.59"/>
    <n v="45"/>
  </r>
  <r>
    <s v="Isla"/>
    <n v="39"/>
    <x v="0"/>
    <x v="1"/>
    <s v="Sales Executive"/>
    <n v="1491"/>
    <n v="150677.26"/>
    <d v="2001-09-29T00:00:00"/>
    <s v="555-01001"/>
    <s v="491 Main St"/>
    <s v="New York"/>
    <s v="NK"/>
    <x v="0"/>
    <n v="2.63"/>
    <n v="68"/>
  </r>
  <r>
    <s v="Israel"/>
    <n v="57"/>
    <x v="1"/>
    <x v="4"/>
    <s v="HR Specialist"/>
    <n v="1492"/>
    <n v="152633.1"/>
    <d v="2022-04-15T00:00:00"/>
    <s v="555-01002"/>
    <s v="492 Main St"/>
    <s v="Paris"/>
    <s v="PA"/>
    <x v="1"/>
    <n v="3.79"/>
    <n v="175"/>
  </r>
  <r>
    <s v="Issac"/>
    <n v="24"/>
    <x v="0"/>
    <x v="0"/>
    <s v="Software Engineer"/>
    <n v="1493"/>
    <n v="82335"/>
    <d v="2003-05-25T00:00:00"/>
    <s v="555-01003"/>
    <s v="493 Main St"/>
    <s v="London"/>
    <s v="LN"/>
    <x v="2"/>
    <n v="1.47"/>
    <n v="67"/>
  </r>
  <r>
    <s v="Ivan"/>
    <n v="42"/>
    <x v="1"/>
    <x v="1"/>
    <s v="HR Specialist"/>
    <n v="1494"/>
    <n v="109142.71"/>
    <d v="2010-02-25T00:00:00"/>
    <s v="555-01004"/>
    <s v="494 Main St"/>
    <s v="Dubai"/>
    <s v="DB"/>
    <x v="3"/>
    <n v="4.74"/>
    <n v="151"/>
  </r>
  <r>
    <s v="Ivy"/>
    <n v="37"/>
    <x v="0"/>
    <x v="4"/>
    <s v="Project Manager"/>
    <n v="1495"/>
    <n v="110719.86"/>
    <d v="2005-02-12T00:00:00"/>
    <s v="555-01005"/>
    <s v="495 Main St"/>
    <s v="Tokyo"/>
    <s v="TK"/>
    <x v="4"/>
    <n v="4.45"/>
    <n v="125"/>
  </r>
  <r>
    <s v="Izabella"/>
    <n v="58"/>
    <x v="2"/>
    <x v="2"/>
    <s v="Sales Executive"/>
    <n v="1496"/>
    <n v="182157.79"/>
    <d v="2012-08-16T00:00:00"/>
    <s v="555-01006"/>
    <s v="496 Main St"/>
    <s v="New York"/>
    <s v="NK"/>
    <x v="0"/>
    <n v="4.47"/>
    <n v="155"/>
  </r>
  <r>
    <s v="Jace"/>
    <n v="63"/>
    <x v="0"/>
    <x v="4"/>
    <s v="HR Specialist"/>
    <n v="1497"/>
    <n v="147571.76"/>
    <d v="2019-11-07T00:00:00"/>
    <s v="555-01007"/>
    <s v="497 Main St"/>
    <s v="Paris"/>
    <s v="PA"/>
    <x v="1"/>
    <n v="4.82"/>
    <n v="190"/>
  </r>
  <r>
    <s v="Jack"/>
    <n v="26"/>
    <x v="0"/>
    <x v="0"/>
    <s v="Software Engineer"/>
    <n v="1498"/>
    <n v="154991.28"/>
    <d v="2001-05-15T00:00:00"/>
    <s v="555-01008"/>
    <s v="498 Main St"/>
    <s v="London"/>
    <s v="LN"/>
    <x v="2"/>
    <n v="4.88"/>
    <n v="19"/>
  </r>
  <r>
    <s v="Jackie"/>
    <n v="35"/>
    <x v="2"/>
    <x v="1"/>
    <s v="Analyst"/>
    <n v="1499"/>
    <n v="76122.87"/>
    <d v="2017-10-03T00:00:00"/>
    <s v="555-01009"/>
    <s v="499 Main St"/>
    <s v="Dubai"/>
    <s v="DB"/>
    <x v="3"/>
    <n v="4.6399999999999997"/>
    <n v="163"/>
  </r>
  <r>
    <s v="Jackson"/>
    <n v="52"/>
    <x v="1"/>
    <x v="4"/>
    <s v="Project Manager"/>
    <n v="1500"/>
    <n v="198098.61"/>
    <d v="2007-04-15T00:00:00"/>
    <s v="555-01000"/>
    <s v="500 Main St"/>
    <s v="Tokyo"/>
    <s v="TK"/>
    <x v="4"/>
    <n v="4.83"/>
    <n v="52"/>
  </r>
  <r>
    <s v="Jacob"/>
    <n v="45"/>
    <x v="1"/>
    <x v="3"/>
    <s v="Project Manager"/>
    <n v="1501"/>
    <n v="96385.88"/>
    <d v="2012-07-07T00:00:00"/>
    <s v="555-01001"/>
    <s v="501 Main St"/>
    <s v="New York"/>
    <s v="NK"/>
    <x v="0"/>
    <n v="2.11"/>
    <n v="68"/>
  </r>
  <r>
    <s v="Jacquelyn"/>
    <n v="56"/>
    <x v="0"/>
    <x v="1"/>
    <s v="HR Specialist"/>
    <n v="1502"/>
    <n v="126163.48"/>
    <d v="2010-11-25T00:00:00"/>
    <s v="555-01002"/>
    <s v="502 Main St"/>
    <s v="Paris"/>
    <s v="PA"/>
    <x v="1"/>
    <n v="3.76"/>
    <n v="42"/>
  </r>
  <r>
    <s v="Jade"/>
    <n v="57"/>
    <x v="1"/>
    <x v="1"/>
    <s v="Project Manager"/>
    <n v="1503"/>
    <n v="66406.78"/>
    <d v="2019-02-20T00:00:00"/>
    <s v="555-01003"/>
    <s v="503 Main St"/>
    <s v="London"/>
    <s v="LN"/>
    <x v="2"/>
    <n v="4.34"/>
    <n v="39"/>
  </r>
  <r>
    <s v="Jaden"/>
    <n v="31"/>
    <x v="1"/>
    <x v="3"/>
    <s v="Sales Executive"/>
    <n v="1504"/>
    <n v="87081.07"/>
    <d v="2014-01-21T00:00:00"/>
    <s v="555-01004"/>
    <s v="504 Main St"/>
    <s v="Dubai"/>
    <s v="DB"/>
    <x v="3"/>
    <n v="4.82"/>
    <n v="113"/>
  </r>
  <r>
    <s v="Jadyn"/>
    <n v="48"/>
    <x v="2"/>
    <x v="1"/>
    <s v="Project Manager"/>
    <n v="1505"/>
    <n v="75125.34"/>
    <d v="2006-02-07T00:00:00"/>
    <s v="555-01005"/>
    <s v="505 Main St"/>
    <s v="Tokyo"/>
    <s v="TK"/>
    <x v="4"/>
    <n v="1.85"/>
    <n v="30"/>
  </r>
  <r>
    <s v="Jaelyn"/>
    <n v="48"/>
    <x v="1"/>
    <x v="2"/>
    <s v="Sales Executive"/>
    <n v="1506"/>
    <n v="167094.56"/>
    <d v="2012-01-03T00:00:00"/>
    <s v="555-01006"/>
    <s v="506 Main St"/>
    <s v="New York"/>
    <s v="NK"/>
    <x v="0"/>
    <n v="4.4000000000000004"/>
    <n v="66"/>
  </r>
  <r>
    <s v="Jagger"/>
    <n v="44"/>
    <x v="1"/>
    <x v="2"/>
    <s v="Project Manager"/>
    <n v="1507"/>
    <n v="189006.14"/>
    <d v="2016-09-03T00:00:00"/>
    <s v="555-01007"/>
    <s v="507 Main St"/>
    <s v="Paris"/>
    <s v="PA"/>
    <x v="1"/>
    <n v="2.4900000000000002"/>
    <n v="53"/>
  </r>
  <r>
    <s v="Jaime"/>
    <n v="34"/>
    <x v="0"/>
    <x v="0"/>
    <s v="Sales Executive"/>
    <n v="1508"/>
    <n v="151604.91"/>
    <d v="2019-09-20T00:00:00"/>
    <s v="555-01008"/>
    <s v="508 Main St"/>
    <s v="London"/>
    <s v="LN"/>
    <x v="2"/>
    <n v="3.43"/>
    <n v="32"/>
  </r>
  <r>
    <s v="Jake"/>
    <n v="37"/>
    <x v="1"/>
    <x v="0"/>
    <s v="Software Engineer"/>
    <n v="1509"/>
    <n v="168991.2"/>
    <d v="2018-09-24T00:00:00"/>
    <s v="555-01009"/>
    <s v="509 Main St"/>
    <s v="Dubai"/>
    <s v="DB"/>
    <x v="3"/>
    <n v="2.39"/>
    <n v="156"/>
  </r>
  <r>
    <s v="Jakob"/>
    <n v="56"/>
    <x v="1"/>
    <x v="4"/>
    <s v="Software Engineer"/>
    <n v="1510"/>
    <n v="74633.440000000002"/>
    <d v="2022-04-07T00:00:00"/>
    <s v="555-01000"/>
    <s v="510 Main St"/>
    <s v="Tokyo"/>
    <s v="TK"/>
    <x v="4"/>
    <n v="4.1900000000000004"/>
    <n v="128"/>
  </r>
  <r>
    <s v="Jamal"/>
    <n v="48"/>
    <x v="0"/>
    <x v="4"/>
    <s v="Project Manager"/>
    <n v="1511"/>
    <n v="115998.24"/>
    <d v="2021-01-24T00:00:00"/>
    <s v="555-01001"/>
    <s v="511 Main St"/>
    <s v="New York"/>
    <s v="NK"/>
    <x v="0"/>
    <n v="1.1100000000000001"/>
    <n v="9"/>
  </r>
  <r>
    <s v="James"/>
    <n v="60"/>
    <x v="0"/>
    <x v="2"/>
    <s v="Project Manager"/>
    <n v="1512"/>
    <n v="65451.54"/>
    <d v="2005-03-03T00:00:00"/>
    <s v="555-01002"/>
    <s v="512 Main St"/>
    <s v="Paris"/>
    <s v="PA"/>
    <x v="1"/>
    <n v="2.62"/>
    <n v="146"/>
  </r>
  <r>
    <s v="Jameson"/>
    <n v="38"/>
    <x v="0"/>
    <x v="1"/>
    <s v="Project Manager"/>
    <n v="1513"/>
    <n v="188640.81"/>
    <d v="2016-09-29T00:00:00"/>
    <s v="555-01003"/>
    <s v="513 Main St"/>
    <s v="London"/>
    <s v="LN"/>
    <x v="2"/>
    <n v="2.4500000000000002"/>
    <n v="25"/>
  </r>
  <r>
    <s v="Jamie"/>
    <n v="62"/>
    <x v="1"/>
    <x v="3"/>
    <s v="Sales Executive"/>
    <n v="1514"/>
    <n v="152927.76"/>
    <d v="2003-10-08T00:00:00"/>
    <s v="555-01004"/>
    <s v="514 Main St"/>
    <s v="Dubai"/>
    <s v="DB"/>
    <x v="3"/>
    <n v="3.57"/>
    <n v="7"/>
  </r>
  <r>
    <s v="Jamison"/>
    <n v="22"/>
    <x v="1"/>
    <x v="2"/>
    <s v="Analyst"/>
    <n v="1515"/>
    <n v="65150.71"/>
    <d v="2002-08-28T00:00:00"/>
    <s v="555-01005"/>
    <s v="515 Main St"/>
    <s v="Tokyo"/>
    <s v="TK"/>
    <x v="4"/>
    <n v="1.75"/>
    <n v="111"/>
  </r>
  <r>
    <s v="Jan"/>
    <n v="32"/>
    <x v="1"/>
    <x v="0"/>
    <s v="Project Manager"/>
    <n v="1516"/>
    <n v="160695.57"/>
    <d v="2019-06-12T00:00:00"/>
    <s v="555-01006"/>
    <s v="516 Main St"/>
    <s v="New York"/>
    <s v="NK"/>
    <x v="0"/>
    <n v="3.65"/>
    <n v="7"/>
  </r>
  <r>
    <s v="Jana"/>
    <n v="33"/>
    <x v="1"/>
    <x v="0"/>
    <s v="Project Manager"/>
    <n v="1517"/>
    <n v="95513.48"/>
    <d v="2015-01-08T00:00:00"/>
    <s v="555-01007"/>
    <s v="517 Main St"/>
    <s v="Paris"/>
    <s v="PA"/>
    <x v="1"/>
    <n v="2.2200000000000002"/>
    <n v="91"/>
  </r>
  <r>
    <s v="Janae"/>
    <n v="35"/>
    <x v="1"/>
    <x v="0"/>
    <s v="HR Specialist"/>
    <n v="1518"/>
    <n v="188053.94"/>
    <d v="2019-11-05T00:00:00"/>
    <s v="555-01008"/>
    <s v="518 Main St"/>
    <s v="London"/>
    <s v="LN"/>
    <x v="2"/>
    <n v="1.04"/>
    <n v="140"/>
  </r>
  <r>
    <s v="Jane"/>
    <n v="29"/>
    <x v="1"/>
    <x v="3"/>
    <s v="Project Manager"/>
    <n v="1519"/>
    <n v="59547.38"/>
    <d v="2014-10-24T00:00:00"/>
    <s v="555-01009"/>
    <s v="519 Main St"/>
    <s v="Dubai"/>
    <s v="DB"/>
    <x v="3"/>
    <n v="4.95"/>
    <n v="189"/>
  </r>
  <r>
    <s v="Janelle"/>
    <n v="52"/>
    <x v="0"/>
    <x v="0"/>
    <s v="Analyst"/>
    <n v="1520"/>
    <n v="96702.42"/>
    <d v="2019-12-16T00:00:00"/>
    <s v="555-01000"/>
    <s v="520 Main St"/>
    <s v="Tokyo"/>
    <s v="TK"/>
    <x v="4"/>
    <n v="4.1399999999999997"/>
    <n v="88"/>
  </r>
  <r>
    <s v="Janet"/>
    <n v="28"/>
    <x v="0"/>
    <x v="0"/>
    <s v="Software Engineer"/>
    <n v="1521"/>
    <n v="177881.94"/>
    <d v="2021-02-06T00:00:00"/>
    <s v="555-01001"/>
    <s v="521 Main St"/>
    <s v="New York"/>
    <s v="NK"/>
    <x v="0"/>
    <n v="4.9400000000000004"/>
    <n v="96"/>
  </r>
  <r>
    <s v="Janice"/>
    <n v="52"/>
    <x v="1"/>
    <x v="4"/>
    <s v="HR Specialist"/>
    <n v="1522"/>
    <n v="65496.39"/>
    <d v="2012-10-25T00:00:00"/>
    <s v="555-01002"/>
    <s v="522 Main St"/>
    <s v="Paris"/>
    <s v="PA"/>
    <x v="1"/>
    <n v="4.8"/>
    <n v="81"/>
  </r>
  <r>
    <s v="Jared"/>
    <n v="37"/>
    <x v="2"/>
    <x v="1"/>
    <s v="HR Specialist"/>
    <n v="1523"/>
    <n v="91073.46"/>
    <d v="2022-03-19T00:00:00"/>
    <s v="555-01003"/>
    <s v="523 Main St"/>
    <s v="London"/>
    <s v="LN"/>
    <x v="2"/>
    <n v="2.91"/>
    <n v="30"/>
  </r>
  <r>
    <s v="Jarrett"/>
    <n v="63"/>
    <x v="0"/>
    <x v="1"/>
    <s v="HR Specialist"/>
    <n v="1524"/>
    <n v="76208.539999999994"/>
    <d v="2007-07-04T00:00:00"/>
    <s v="555-01004"/>
    <s v="524 Main St"/>
    <s v="Dubai"/>
    <s v="DB"/>
    <x v="3"/>
    <n v="2.19"/>
    <n v="110"/>
  </r>
  <r>
    <s v="Jarvis"/>
    <n v="60"/>
    <x v="1"/>
    <x v="3"/>
    <s v="Software Engineer"/>
    <n v="1525"/>
    <n v="183878.99"/>
    <d v="2008-05-28T00:00:00"/>
    <s v="555-01005"/>
    <s v="525 Main St"/>
    <s v="Tokyo"/>
    <s v="TK"/>
    <x v="4"/>
    <n v="4.58"/>
    <n v="37"/>
  </r>
  <r>
    <s v="Jasmin"/>
    <n v="40"/>
    <x v="0"/>
    <x v="0"/>
    <s v="Sales Executive"/>
    <n v="1526"/>
    <n v="121979.56"/>
    <d v="2005-10-01T00:00:00"/>
    <s v="555-01006"/>
    <s v="526 Main St"/>
    <s v="New York"/>
    <s v="NK"/>
    <x v="0"/>
    <n v="1.08"/>
    <n v="90"/>
  </r>
  <r>
    <s v="Jasmine"/>
    <n v="29"/>
    <x v="2"/>
    <x v="4"/>
    <s v="Sales Executive"/>
    <n v="1527"/>
    <n v="178407.2"/>
    <d v="2014-06-05T00:00:00"/>
    <s v="555-01007"/>
    <s v="527 Main St"/>
    <s v="Paris"/>
    <s v="PA"/>
    <x v="1"/>
    <n v="1.83"/>
    <n v="102"/>
  </r>
  <r>
    <s v="Jason"/>
    <n v="50"/>
    <x v="0"/>
    <x v="1"/>
    <s v="Software Engineer"/>
    <n v="1528"/>
    <n v="98966.52"/>
    <d v="2010-10-19T00:00:00"/>
    <s v="555-01008"/>
    <s v="528 Main St"/>
    <s v="London"/>
    <s v="LN"/>
    <x v="2"/>
    <n v="3.19"/>
    <n v="146"/>
  </r>
  <r>
    <s v="Jasper"/>
    <n v="23"/>
    <x v="0"/>
    <x v="3"/>
    <s v="HR Specialist"/>
    <n v="1529"/>
    <n v="150357.47"/>
    <d v="2000-01-29T00:00:00"/>
    <s v="555-01009"/>
    <s v="529 Main St"/>
    <s v="Dubai"/>
    <s v="DB"/>
    <x v="3"/>
    <n v="1.78"/>
    <n v="147"/>
  </r>
  <r>
    <s v="Javier"/>
    <n v="63"/>
    <x v="0"/>
    <x v="4"/>
    <s v="Analyst"/>
    <n v="1530"/>
    <n v="65094.53"/>
    <d v="2003-07-29T00:00:00"/>
    <s v="555-01000"/>
    <s v="530 Main St"/>
    <s v="Tokyo"/>
    <s v="TK"/>
    <x v="4"/>
    <n v="2.5099999999999998"/>
    <n v="174"/>
  </r>
  <r>
    <s v="Jax"/>
    <n v="24"/>
    <x v="0"/>
    <x v="0"/>
    <s v="Software Engineer"/>
    <n v="1531"/>
    <n v="114556.85"/>
    <d v="2020-11-02T00:00:00"/>
    <s v="555-01001"/>
    <s v="531 Main St"/>
    <s v="New York"/>
    <s v="NK"/>
    <x v="0"/>
    <n v="3.38"/>
    <n v="119"/>
  </r>
  <r>
    <s v="Jaxon"/>
    <n v="50"/>
    <x v="1"/>
    <x v="3"/>
    <s v="HR Specialist"/>
    <n v="1532"/>
    <n v="88674.65"/>
    <d v="2020-12-15T00:00:00"/>
    <s v="555-01002"/>
    <s v="532 Main St"/>
    <s v="Paris"/>
    <s v="PA"/>
    <x v="1"/>
    <n v="4.55"/>
    <n v="151"/>
  </r>
  <r>
    <s v="Jaxson"/>
    <n v="36"/>
    <x v="2"/>
    <x v="4"/>
    <s v="HR Specialist"/>
    <n v="1533"/>
    <n v="90758.03"/>
    <d v="2007-12-08T00:00:00"/>
    <s v="555-01003"/>
    <s v="533 Main St"/>
    <s v="London"/>
    <s v="LN"/>
    <x v="2"/>
    <n v="4.33"/>
    <n v="60"/>
  </r>
  <r>
    <s v="Jay"/>
    <n v="59"/>
    <x v="1"/>
    <x v="1"/>
    <s v="Project Manager"/>
    <n v="1534"/>
    <n v="67876.03"/>
    <d v="2005-09-19T00:00:00"/>
    <s v="555-01004"/>
    <s v="534 Main St"/>
    <s v="Dubai"/>
    <s v="DB"/>
    <x v="3"/>
    <n v="4.1500000000000004"/>
    <n v="3"/>
  </r>
  <r>
    <s v="Jayden"/>
    <n v="49"/>
    <x v="0"/>
    <x v="2"/>
    <s v="Software Engineer"/>
    <n v="1535"/>
    <n v="108246.99"/>
    <d v="2016-02-15T00:00:00"/>
    <s v="555-01005"/>
    <s v="535 Main St"/>
    <s v="Tokyo"/>
    <s v="TK"/>
    <x v="4"/>
    <n v="3.43"/>
    <n v="102"/>
  </r>
  <r>
    <s v="Jayla"/>
    <n v="58"/>
    <x v="0"/>
    <x v="1"/>
    <s v="Sales Executive"/>
    <n v="1536"/>
    <n v="75886.649999999994"/>
    <d v="2021-02-27T00:00:00"/>
    <s v="555-01006"/>
    <s v="536 Main St"/>
    <s v="New York"/>
    <s v="NK"/>
    <x v="0"/>
    <n v="4.0999999999999996"/>
    <n v="175"/>
  </r>
  <r>
    <s v="Jaylen"/>
    <n v="53"/>
    <x v="0"/>
    <x v="2"/>
    <s v="HR Specialist"/>
    <n v="1537"/>
    <n v="152481.53"/>
    <d v="2006-02-14T00:00:00"/>
    <s v="555-01007"/>
    <s v="537 Main St"/>
    <s v="Paris"/>
    <s v="PA"/>
    <x v="1"/>
    <n v="1.65"/>
    <n v="10"/>
  </r>
  <r>
    <s v="Jaylene"/>
    <n v="51"/>
    <x v="2"/>
    <x v="3"/>
    <s v="Sales Executive"/>
    <n v="1538"/>
    <n v="127607.52"/>
    <d v="2015-02-28T00:00:00"/>
    <s v="555-01008"/>
    <s v="538 Main St"/>
    <s v="London"/>
    <s v="LN"/>
    <x v="2"/>
    <n v="4.34"/>
    <n v="169"/>
  </r>
  <r>
    <s v="Jazlyn"/>
    <n v="51"/>
    <x v="2"/>
    <x v="4"/>
    <s v="Sales Executive"/>
    <n v="1539"/>
    <n v="118750.39999999999"/>
    <d v="2014-05-12T00:00:00"/>
    <s v="555-01009"/>
    <s v="539 Main St"/>
    <s v="Dubai"/>
    <s v="DB"/>
    <x v="3"/>
    <n v="2.23"/>
    <n v="179"/>
  </r>
  <r>
    <s v="Jazmin"/>
    <n v="55"/>
    <x v="1"/>
    <x v="4"/>
    <s v="Project Manager"/>
    <n v="1540"/>
    <n v="181100.9"/>
    <d v="2008-03-02T00:00:00"/>
    <s v="555-01000"/>
    <s v="540 Main St"/>
    <s v="Tokyo"/>
    <s v="TK"/>
    <x v="4"/>
    <n v="1.67"/>
    <n v="194"/>
  </r>
  <r>
    <s v="Jazmine"/>
    <n v="34"/>
    <x v="0"/>
    <x v="4"/>
    <s v="Project Manager"/>
    <n v="1541"/>
    <n v="77795.33"/>
    <d v="2001-02-15T00:00:00"/>
    <s v="555-01001"/>
    <s v="541 Main St"/>
    <s v="New York"/>
    <s v="NK"/>
    <x v="0"/>
    <n v="2.56"/>
    <n v="156"/>
  </r>
  <r>
    <s v="Jean"/>
    <n v="54"/>
    <x v="2"/>
    <x v="0"/>
    <s v="Software Engineer"/>
    <n v="1542"/>
    <n v="154880.85"/>
    <d v="2001-12-25T00:00:00"/>
    <s v="555-01002"/>
    <s v="542 Main St"/>
    <s v="Paris"/>
    <s v="PA"/>
    <x v="1"/>
    <n v="1.38"/>
    <n v="173"/>
  </r>
  <r>
    <s v="Jeanette"/>
    <n v="63"/>
    <x v="0"/>
    <x v="1"/>
    <s v="Software Engineer"/>
    <n v="1543"/>
    <n v="77774.16"/>
    <d v="2004-08-16T00:00:00"/>
    <s v="555-01003"/>
    <s v="543 Main St"/>
    <s v="London"/>
    <s v="LN"/>
    <x v="2"/>
    <n v="4.4800000000000004"/>
    <n v="174"/>
  </r>
  <r>
    <s v="Jeanne"/>
    <n v="38"/>
    <x v="1"/>
    <x v="2"/>
    <s v="HR Specialist"/>
    <n v="1544"/>
    <n v="144280.99"/>
    <d v="2003-09-22T00:00:00"/>
    <s v="555-01004"/>
    <s v="544 Main St"/>
    <s v="Dubai"/>
    <s v="DB"/>
    <x v="3"/>
    <n v="2.36"/>
    <n v="77"/>
  </r>
  <r>
    <s v="Jeannette"/>
    <n v="24"/>
    <x v="1"/>
    <x v="0"/>
    <s v="Analyst"/>
    <n v="1545"/>
    <n v="55860.97"/>
    <d v="2018-09-23T00:00:00"/>
    <s v="555-01005"/>
    <s v="545 Main St"/>
    <s v="Tokyo"/>
    <s v="TK"/>
    <x v="4"/>
    <n v="1.63"/>
    <n v="7"/>
  </r>
  <r>
    <s v="Jeannie"/>
    <n v="30"/>
    <x v="2"/>
    <x v="3"/>
    <s v="HR Specialist"/>
    <n v="1546"/>
    <n v="55158.9"/>
    <d v="2020-02-06T00:00:00"/>
    <s v="555-01006"/>
    <s v="546 Main St"/>
    <s v="New York"/>
    <s v="NK"/>
    <x v="0"/>
    <n v="4.6500000000000004"/>
    <n v="112"/>
  </r>
  <r>
    <s v="Jeannine"/>
    <n v="32"/>
    <x v="1"/>
    <x v="3"/>
    <s v="Sales Executive"/>
    <n v="1547"/>
    <n v="112106.12"/>
    <d v="2018-05-31T00:00:00"/>
    <s v="555-01007"/>
    <s v="547 Main St"/>
    <s v="Paris"/>
    <s v="PA"/>
    <x v="1"/>
    <n v="1.4"/>
    <n v="84"/>
  </r>
  <r>
    <s v="Jed"/>
    <n v="48"/>
    <x v="2"/>
    <x v="0"/>
    <s v="Software Engineer"/>
    <n v="1548"/>
    <n v="198979.47"/>
    <d v="2010-07-09T00:00:00"/>
    <s v="555-01008"/>
    <s v="548 Main St"/>
    <s v="London"/>
    <s v="LN"/>
    <x v="2"/>
    <n v="4.21"/>
    <n v="53"/>
  </r>
  <r>
    <s v="Jeff"/>
    <n v="49"/>
    <x v="0"/>
    <x v="2"/>
    <s v="Software Engineer"/>
    <n v="1549"/>
    <n v="72123.34"/>
    <d v="2018-09-10T00:00:00"/>
    <s v="555-01009"/>
    <s v="549 Main St"/>
    <s v="Dubai"/>
    <s v="DB"/>
    <x v="3"/>
    <n v="4.17"/>
    <n v="41"/>
  </r>
  <r>
    <s v="Jeffery"/>
    <n v="23"/>
    <x v="2"/>
    <x v="3"/>
    <s v="Software Engineer"/>
    <n v="1550"/>
    <n v="162984.54"/>
    <d v="2010-01-30T00:00:00"/>
    <s v="555-01000"/>
    <s v="550 Main St"/>
    <s v="Tokyo"/>
    <s v="TK"/>
    <x v="4"/>
    <n v="4.4800000000000004"/>
    <n v="176"/>
  </r>
  <r>
    <s v="Jefferson"/>
    <n v="22"/>
    <x v="1"/>
    <x v="1"/>
    <s v="Software Engineer"/>
    <n v="1551"/>
    <n v="136079.5"/>
    <d v="2022-08-08T00:00:00"/>
    <s v="555-01001"/>
    <s v="551 Main St"/>
    <s v="New York"/>
    <s v="NK"/>
    <x v="0"/>
    <n v="2.04"/>
    <n v="114"/>
  </r>
  <r>
    <s v="Jeffrey"/>
    <n v="27"/>
    <x v="0"/>
    <x v="3"/>
    <s v="Analyst"/>
    <n v="1552"/>
    <n v="92116.47"/>
    <d v="2000-09-05T00:00:00"/>
    <s v="555-01002"/>
    <s v="552 Main St"/>
    <s v="Paris"/>
    <s v="PA"/>
    <x v="1"/>
    <n v="4.91"/>
    <n v="160"/>
  </r>
  <r>
    <s v="Jenna"/>
    <n v="46"/>
    <x v="1"/>
    <x v="2"/>
    <s v="HR Specialist"/>
    <n v="1553"/>
    <n v="165222.51"/>
    <d v="2002-09-09T00:00:00"/>
    <s v="555-01003"/>
    <s v="553 Main St"/>
    <s v="London"/>
    <s v="LN"/>
    <x v="2"/>
    <n v="2.78"/>
    <n v="192"/>
  </r>
  <r>
    <s v="Jennifer"/>
    <n v="56"/>
    <x v="0"/>
    <x v="1"/>
    <s v="Software Engineer"/>
    <n v="1554"/>
    <n v="94306.51"/>
    <d v="2001-11-05T00:00:00"/>
    <s v="555-01004"/>
    <s v="554 Main St"/>
    <s v="Dubai"/>
    <s v="DB"/>
    <x v="3"/>
    <n v="3.16"/>
    <n v="195"/>
  </r>
  <r>
    <s v="Jenny"/>
    <n v="37"/>
    <x v="0"/>
    <x v="0"/>
    <s v="Analyst"/>
    <n v="1555"/>
    <n v="75310.399999999994"/>
    <d v="2007-02-28T00:00:00"/>
    <s v="555-01005"/>
    <s v="555 Main St"/>
    <s v="Tokyo"/>
    <s v="TK"/>
    <x v="4"/>
    <n v="1.96"/>
    <n v="79"/>
  </r>
  <r>
    <s v="Jeremiah"/>
    <n v="25"/>
    <x v="0"/>
    <x v="2"/>
    <s v="Project Manager"/>
    <n v="1556"/>
    <n v="79117.16"/>
    <d v="2019-05-21T00:00:00"/>
    <s v="555-01006"/>
    <s v="556 Main St"/>
    <s v="New York"/>
    <s v="NK"/>
    <x v="0"/>
    <n v="4.4800000000000004"/>
    <n v="13"/>
  </r>
  <r>
    <s v="Jeremy"/>
    <n v="59"/>
    <x v="0"/>
    <x v="1"/>
    <s v="Analyst"/>
    <n v="1557"/>
    <n v="78253.77"/>
    <d v="2022-08-28T00:00:00"/>
    <s v="555-01007"/>
    <s v="557 Main St"/>
    <s v="Paris"/>
    <s v="PA"/>
    <x v="1"/>
    <n v="2.4900000000000002"/>
    <n v="73"/>
  </r>
  <r>
    <s v="Jeri"/>
    <n v="41"/>
    <x v="1"/>
    <x v="1"/>
    <s v="Software Engineer"/>
    <n v="1558"/>
    <n v="163784.25"/>
    <d v="2004-03-08T00:00:00"/>
    <s v="555-01008"/>
    <s v="558 Main St"/>
    <s v="London"/>
    <s v="LN"/>
    <x v="2"/>
    <n v="4.7699999999999996"/>
    <n v="25"/>
  </r>
  <r>
    <s v="Jericho"/>
    <n v="46"/>
    <x v="2"/>
    <x v="1"/>
    <s v="Software Engineer"/>
    <n v="1559"/>
    <n v="129267.95"/>
    <d v="2010-04-28T00:00:00"/>
    <s v="555-01009"/>
    <s v="559 Main St"/>
    <s v="Dubai"/>
    <s v="DB"/>
    <x v="3"/>
    <n v="1.36"/>
    <n v="116"/>
  </r>
  <r>
    <s v="Jerome"/>
    <n v="28"/>
    <x v="0"/>
    <x v="2"/>
    <s v="Analyst"/>
    <n v="1560"/>
    <n v="148034.73000000001"/>
    <d v="2019-01-29T00:00:00"/>
    <s v="555-01000"/>
    <s v="560 Main St"/>
    <s v="Tokyo"/>
    <s v="TK"/>
    <x v="4"/>
    <n v="3.48"/>
    <n v="14"/>
  </r>
  <r>
    <s v="Jerry"/>
    <n v="42"/>
    <x v="1"/>
    <x v="4"/>
    <s v="Software Engineer"/>
    <n v="1561"/>
    <n v="184148.21"/>
    <d v="2008-05-18T00:00:00"/>
    <s v="555-01001"/>
    <s v="561 Main St"/>
    <s v="New York"/>
    <s v="NK"/>
    <x v="0"/>
    <n v="2.27"/>
    <n v="138"/>
  </r>
  <r>
    <s v="Jess"/>
    <n v="28"/>
    <x v="1"/>
    <x v="3"/>
    <s v="Software Engineer"/>
    <n v="1562"/>
    <n v="75235.11"/>
    <d v="2005-08-08T00:00:00"/>
    <s v="555-01002"/>
    <s v="562 Main St"/>
    <s v="Paris"/>
    <s v="PA"/>
    <x v="1"/>
    <n v="3.61"/>
    <n v="103"/>
  </r>
  <r>
    <s v="Jesse"/>
    <n v="50"/>
    <x v="1"/>
    <x v="4"/>
    <s v="Analyst"/>
    <n v="1563"/>
    <n v="113352.93"/>
    <d v="2002-07-24T00:00:00"/>
    <s v="555-01003"/>
    <s v="563 Main St"/>
    <s v="London"/>
    <s v="LN"/>
    <x v="2"/>
    <n v="4.91"/>
    <n v="74"/>
  </r>
  <r>
    <s v="Jessica"/>
    <n v="28"/>
    <x v="2"/>
    <x v="3"/>
    <s v="HR Specialist"/>
    <n v="1564"/>
    <n v="152013.65"/>
    <d v="2007-03-18T00:00:00"/>
    <s v="555-01004"/>
    <s v="564 Main St"/>
    <s v="Dubai"/>
    <s v="DB"/>
    <x v="3"/>
    <n v="1.9"/>
    <n v="170"/>
  </r>
  <r>
    <s v="Jessie"/>
    <n v="24"/>
    <x v="1"/>
    <x v="2"/>
    <s v="Sales Executive"/>
    <n v="1565"/>
    <n v="102467.66"/>
    <d v="2013-12-18T00:00:00"/>
    <s v="555-01005"/>
    <s v="565 Main St"/>
    <s v="Tokyo"/>
    <s v="TK"/>
    <x v="4"/>
    <n v="4.87"/>
    <n v="111"/>
  </r>
  <r>
    <s v="Jesus"/>
    <n v="50"/>
    <x v="1"/>
    <x v="3"/>
    <s v="HR Specialist"/>
    <n v="1566"/>
    <n v="149240.94"/>
    <d v="2012-10-14T00:00:00"/>
    <s v="555-01006"/>
    <s v="566 Main St"/>
    <s v="New York"/>
    <s v="NK"/>
    <x v="0"/>
    <n v="1.27"/>
    <n v="100"/>
  </r>
  <r>
    <s v="Jewel"/>
    <n v="50"/>
    <x v="2"/>
    <x v="2"/>
    <s v="Analyst"/>
    <n v="1567"/>
    <n v="103959.8"/>
    <d v="2021-12-14T00:00:00"/>
    <s v="555-01007"/>
    <s v="567 Main St"/>
    <s v="Paris"/>
    <s v="PA"/>
    <x v="1"/>
    <n v="4.8099999999999996"/>
    <n v="67"/>
  </r>
  <r>
    <s v="Jewell"/>
    <n v="60"/>
    <x v="1"/>
    <x v="1"/>
    <s v="Software Engineer"/>
    <n v="1568"/>
    <n v="76806.81"/>
    <d v="2019-01-20T00:00:00"/>
    <s v="555-01008"/>
    <s v="568 Main St"/>
    <s v="London"/>
    <s v="LN"/>
    <x v="2"/>
    <n v="3.77"/>
    <n v="58"/>
  </r>
  <r>
    <s v="Jilian"/>
    <n v="59"/>
    <x v="1"/>
    <x v="0"/>
    <s v="HR Specialist"/>
    <n v="1569"/>
    <n v="130105.82"/>
    <d v="2010-08-25T00:00:00"/>
    <s v="555-01009"/>
    <s v="569 Main St"/>
    <s v="Dubai"/>
    <s v="DB"/>
    <x v="3"/>
    <n v="1.04"/>
    <n v="41"/>
  </r>
  <r>
    <s v="Jill"/>
    <n v="27"/>
    <x v="2"/>
    <x v="4"/>
    <s v="Analyst"/>
    <n v="1570"/>
    <n v="52307.44"/>
    <d v="2014-11-17T00:00:00"/>
    <s v="555-01000"/>
    <s v="570 Main St"/>
    <s v="Tokyo"/>
    <s v="TK"/>
    <x v="4"/>
    <n v="3.96"/>
    <n v="88"/>
  </r>
  <r>
    <s v="Jillian"/>
    <n v="31"/>
    <x v="2"/>
    <x v="4"/>
    <s v="Analyst"/>
    <n v="1571"/>
    <n v="107761.93"/>
    <d v="2009-01-03T00:00:00"/>
    <s v="555-01001"/>
    <s v="571 Main St"/>
    <s v="New York"/>
    <s v="NK"/>
    <x v="0"/>
    <n v="1.88"/>
    <n v="183"/>
  </r>
  <r>
    <s v="Jim"/>
    <n v="58"/>
    <x v="2"/>
    <x v="2"/>
    <s v="Project Manager"/>
    <n v="1572"/>
    <n v="152804.75"/>
    <d v="2002-04-29T00:00:00"/>
    <s v="555-01002"/>
    <s v="572 Main St"/>
    <s v="Paris"/>
    <s v="PA"/>
    <x v="1"/>
    <n v="3.95"/>
    <n v="101"/>
  </r>
  <r>
    <s v="Jimmy"/>
    <n v="35"/>
    <x v="0"/>
    <x v="3"/>
    <s v="Software Engineer"/>
    <n v="1573"/>
    <n v="89658.78"/>
    <d v="2003-06-19T00:00:00"/>
    <s v="555-01003"/>
    <s v="573 Main St"/>
    <s v="London"/>
    <s v="LN"/>
    <x v="2"/>
    <n v="2.36"/>
    <n v="99"/>
  </r>
  <r>
    <s v="Joan"/>
    <n v="43"/>
    <x v="2"/>
    <x v="3"/>
    <s v="Project Manager"/>
    <n v="1574"/>
    <n v="158924.78"/>
    <d v="2001-04-18T00:00:00"/>
    <s v="555-01004"/>
    <s v="574 Main St"/>
    <s v="Dubai"/>
    <s v="DB"/>
    <x v="3"/>
    <n v="4.83"/>
    <n v="113"/>
  </r>
  <r>
    <s v="Joanna"/>
    <n v="53"/>
    <x v="0"/>
    <x v="0"/>
    <s v="Sales Executive"/>
    <n v="1575"/>
    <n v="123959.3"/>
    <d v="2021-09-07T00:00:00"/>
    <s v="555-01005"/>
    <s v="575 Main St"/>
    <s v="Tokyo"/>
    <s v="TK"/>
    <x v="4"/>
    <n v="3.4"/>
    <n v="14"/>
  </r>
  <r>
    <s v="Joanne"/>
    <n v="39"/>
    <x v="0"/>
    <x v="1"/>
    <s v="Analyst"/>
    <n v="1576"/>
    <n v="93166.6"/>
    <d v="2008-03-10T00:00:00"/>
    <s v="555-01006"/>
    <s v="576 Main St"/>
    <s v="New York"/>
    <s v="NK"/>
    <x v="0"/>
    <n v="3.91"/>
    <n v="37"/>
  </r>
  <r>
    <s v="Jocelyn"/>
    <n v="57"/>
    <x v="2"/>
    <x v="3"/>
    <s v="Analyst"/>
    <n v="1577"/>
    <n v="114703.67"/>
    <d v="2004-05-07T00:00:00"/>
    <s v="555-01007"/>
    <s v="577 Main St"/>
    <s v="Paris"/>
    <s v="PA"/>
    <x v="1"/>
    <n v="1.79"/>
    <n v="75"/>
  </r>
  <r>
    <s v="Jodi"/>
    <n v="30"/>
    <x v="0"/>
    <x v="3"/>
    <s v="Software Engineer"/>
    <n v="1578"/>
    <n v="59843.18"/>
    <d v="2004-02-21T00:00:00"/>
    <s v="555-01008"/>
    <s v="578 Main St"/>
    <s v="London"/>
    <s v="LN"/>
    <x v="2"/>
    <n v="3.66"/>
    <n v="80"/>
  </r>
  <r>
    <s v="Jodie"/>
    <n v="47"/>
    <x v="1"/>
    <x v="1"/>
    <s v="Project Manager"/>
    <n v="1579"/>
    <n v="122224.49"/>
    <d v="2015-12-28T00:00:00"/>
    <s v="555-01009"/>
    <s v="579 Main St"/>
    <s v="Dubai"/>
    <s v="DB"/>
    <x v="3"/>
    <n v="3.56"/>
    <n v="43"/>
  </r>
  <r>
    <s v="Jody"/>
    <n v="43"/>
    <x v="1"/>
    <x v="0"/>
    <s v="Project Manager"/>
    <n v="1580"/>
    <n v="111441.57"/>
    <d v="2015-04-03T00:00:00"/>
    <s v="555-01000"/>
    <s v="580 Main St"/>
    <s v="Tokyo"/>
    <s v="TK"/>
    <x v="4"/>
    <n v="4.66"/>
    <n v="167"/>
  </r>
  <r>
    <s v="Joe"/>
    <n v="59"/>
    <x v="2"/>
    <x v="3"/>
    <s v="Software Engineer"/>
    <n v="1581"/>
    <n v="119168.51"/>
    <d v="2001-02-07T00:00:00"/>
    <s v="555-01001"/>
    <s v="581 Main St"/>
    <s v="New York"/>
    <s v="NK"/>
    <x v="0"/>
    <n v="1.43"/>
    <n v="95"/>
  </r>
  <r>
    <s v="Joel"/>
    <n v="44"/>
    <x v="0"/>
    <x v="2"/>
    <s v="Project Manager"/>
    <n v="1582"/>
    <n v="65315.76"/>
    <d v="2003-10-22T00:00:00"/>
    <s v="555-01002"/>
    <s v="582 Main St"/>
    <s v="Paris"/>
    <s v="PA"/>
    <x v="1"/>
    <n v="2.82"/>
    <n v="172"/>
  </r>
  <r>
    <s v="Joelle"/>
    <n v="38"/>
    <x v="1"/>
    <x v="1"/>
    <s v="Software Engineer"/>
    <n v="1583"/>
    <n v="54137.82"/>
    <d v="2002-07-20T00:00:00"/>
    <s v="555-01003"/>
    <s v="583 Main St"/>
    <s v="London"/>
    <s v="LN"/>
    <x v="2"/>
    <n v="3.25"/>
    <n v="22"/>
  </r>
  <r>
    <s v="Joey"/>
    <n v="47"/>
    <x v="0"/>
    <x v="3"/>
    <s v="Project Manager"/>
    <n v="1584"/>
    <n v="69720.009999999995"/>
    <d v="2020-03-29T00:00:00"/>
    <s v="555-01004"/>
    <s v="584 Main St"/>
    <s v="Dubai"/>
    <s v="DB"/>
    <x v="3"/>
    <n v="3.31"/>
    <n v="68"/>
  </r>
  <r>
    <s v="Johan"/>
    <n v="59"/>
    <x v="0"/>
    <x v="0"/>
    <s v="Software Engineer"/>
    <n v="1585"/>
    <n v="96543.07"/>
    <d v="2012-06-09T00:00:00"/>
    <s v="555-01005"/>
    <s v="585 Main St"/>
    <s v="Tokyo"/>
    <s v="TK"/>
    <x v="4"/>
    <n v="4.42"/>
    <n v="19"/>
  </r>
  <r>
    <s v="Johanna"/>
    <n v="23"/>
    <x v="1"/>
    <x v="4"/>
    <s v="Sales Executive"/>
    <n v="1586"/>
    <n v="66204.36"/>
    <d v="2016-07-28T00:00:00"/>
    <s v="555-01006"/>
    <s v="586 Main St"/>
    <s v="New York"/>
    <s v="NK"/>
    <x v="0"/>
    <n v="2.04"/>
    <n v="146"/>
  </r>
  <r>
    <s v="John"/>
    <n v="27"/>
    <x v="2"/>
    <x v="2"/>
    <s v="Software Engineer"/>
    <n v="1587"/>
    <n v="165098.76"/>
    <d v="2011-03-07T00:00:00"/>
    <s v="555-01007"/>
    <s v="587 Main St"/>
    <s v="Paris"/>
    <s v="PA"/>
    <x v="1"/>
    <n v="2.6"/>
    <n v="95"/>
  </r>
  <r>
    <s v="Johnathan"/>
    <n v="28"/>
    <x v="0"/>
    <x v="2"/>
    <s v="Software Engineer"/>
    <n v="1588"/>
    <n v="179512.19"/>
    <d v="2016-10-13T00:00:00"/>
    <s v="555-01008"/>
    <s v="588 Main St"/>
    <s v="London"/>
    <s v="LN"/>
    <x v="2"/>
    <n v="1.69"/>
    <n v="187"/>
  </r>
  <r>
    <s v="Johnny"/>
    <n v="34"/>
    <x v="1"/>
    <x v="2"/>
    <s v="Project Manager"/>
    <n v="1589"/>
    <n v="137398.88"/>
    <d v="2017-03-11T00:00:00"/>
    <s v="555-01009"/>
    <s v="589 Main St"/>
    <s v="Dubai"/>
    <s v="DB"/>
    <x v="3"/>
    <n v="3.39"/>
    <n v="167"/>
  </r>
  <r>
    <s v="Jonas"/>
    <n v="48"/>
    <x v="2"/>
    <x v="2"/>
    <s v="Project Manager"/>
    <n v="1590"/>
    <n v="144189.63"/>
    <d v="2004-11-28T00:00:00"/>
    <s v="555-01000"/>
    <s v="590 Main St"/>
    <s v="Tokyo"/>
    <s v="TK"/>
    <x v="4"/>
    <n v="4.49"/>
    <n v="85"/>
  </r>
  <r>
    <s v="Jonathan"/>
    <n v="32"/>
    <x v="0"/>
    <x v="4"/>
    <s v="Software Engineer"/>
    <n v="1591"/>
    <n v="194005.54"/>
    <d v="2002-01-16T00:00:00"/>
    <s v="555-01001"/>
    <s v="591 Main St"/>
    <s v="New York"/>
    <s v="NK"/>
    <x v="0"/>
    <n v="2.91"/>
    <n v="46"/>
  </r>
  <r>
    <s v="Jonathon"/>
    <n v="36"/>
    <x v="0"/>
    <x v="4"/>
    <s v="Software Engineer"/>
    <n v="1592"/>
    <n v="132712.63"/>
    <d v="2005-04-06T00:00:00"/>
    <s v="555-01002"/>
    <s v="592 Main St"/>
    <s v="Paris"/>
    <s v="PA"/>
    <x v="1"/>
    <n v="1.36"/>
    <n v="178"/>
  </r>
  <r>
    <s v="Joni"/>
    <n v="30"/>
    <x v="0"/>
    <x v="4"/>
    <s v="Project Manager"/>
    <n v="1593"/>
    <n v="180303.16"/>
    <d v="2003-01-21T00:00:00"/>
    <s v="555-01003"/>
    <s v="593 Main St"/>
    <s v="London"/>
    <s v="LN"/>
    <x v="2"/>
    <n v="1.74"/>
    <n v="33"/>
  </r>
  <r>
    <s v="Jordan"/>
    <n v="29"/>
    <x v="0"/>
    <x v="4"/>
    <s v="Analyst"/>
    <n v="1594"/>
    <n v="159094.14000000001"/>
    <d v="2021-08-27T00:00:00"/>
    <s v="555-01004"/>
    <s v="594 Main St"/>
    <s v="Dubai"/>
    <s v="DB"/>
    <x v="3"/>
    <n v="1.97"/>
    <n v="115"/>
  </r>
  <r>
    <s v="Jordyn"/>
    <n v="27"/>
    <x v="2"/>
    <x v="0"/>
    <s v="HR Specialist"/>
    <n v="1595"/>
    <n v="133133.51999999999"/>
    <d v="2016-05-30T00:00:00"/>
    <s v="555-01005"/>
    <s v="595 Main St"/>
    <s v="Tokyo"/>
    <s v="TK"/>
    <x v="4"/>
    <n v="2.44"/>
    <n v="62"/>
  </r>
  <r>
    <s v="Jorge"/>
    <n v="64"/>
    <x v="0"/>
    <x v="3"/>
    <s v="Sales Executive"/>
    <n v="1596"/>
    <n v="126717.08"/>
    <d v="2016-04-24T00:00:00"/>
    <s v="555-01006"/>
    <s v="596 Main St"/>
    <s v="New York"/>
    <s v="NK"/>
    <x v="0"/>
    <n v="4.57"/>
    <n v="5"/>
  </r>
  <r>
    <s v="Jose"/>
    <n v="25"/>
    <x v="1"/>
    <x v="4"/>
    <s v="Software Engineer"/>
    <n v="1597"/>
    <n v="54476.87"/>
    <d v="2010-06-17T00:00:00"/>
    <s v="555-01007"/>
    <s v="597 Main St"/>
    <s v="Paris"/>
    <s v="PA"/>
    <x v="1"/>
    <n v="2.38"/>
    <n v="36"/>
  </r>
  <r>
    <s v="Joseph"/>
    <n v="32"/>
    <x v="1"/>
    <x v="4"/>
    <s v="Project Manager"/>
    <n v="1598"/>
    <n v="94627.61"/>
    <d v="2016-09-05T00:00:00"/>
    <s v="555-01008"/>
    <s v="598 Main St"/>
    <s v="London"/>
    <s v="LN"/>
    <x v="2"/>
    <n v="1.17"/>
    <n v="180"/>
  </r>
  <r>
    <s v="Josephine"/>
    <n v="49"/>
    <x v="1"/>
    <x v="0"/>
    <s v="HR Specialist"/>
    <n v="1599"/>
    <n v="85578.67"/>
    <d v="2015-09-27T00:00:00"/>
    <s v="555-01009"/>
    <s v="599 Main St"/>
    <s v="Dubai"/>
    <s v="DB"/>
    <x v="3"/>
    <n v="2.2799999999999998"/>
    <n v="132"/>
  </r>
  <r>
    <s v="Josh"/>
    <n v="47"/>
    <x v="2"/>
    <x v="1"/>
    <s v="Software Engineer"/>
    <n v="1600"/>
    <n v="93873.05"/>
    <d v="2001-09-15T00:00:00"/>
    <s v="555-01000"/>
    <s v="600 Main St"/>
    <s v="Tokyo"/>
    <s v="TK"/>
    <x v="4"/>
    <n v="4"/>
    <n v="168"/>
  </r>
  <r>
    <s v="Joshua"/>
    <n v="25"/>
    <x v="1"/>
    <x v="0"/>
    <s v="Project Manager"/>
    <n v="1601"/>
    <n v="149907.38"/>
    <d v="2014-10-12T00:00:00"/>
    <s v="555-01001"/>
    <s v="601 Main St"/>
    <s v="New York"/>
    <s v="NK"/>
    <x v="0"/>
    <n v="1.75"/>
    <n v="181"/>
  </r>
  <r>
    <s v="Josiah"/>
    <n v="36"/>
    <x v="0"/>
    <x v="1"/>
    <s v="Project Manager"/>
    <n v="1602"/>
    <n v="127407.79"/>
    <d v="2012-03-08T00:00:00"/>
    <s v="555-01002"/>
    <s v="602 Main St"/>
    <s v="Paris"/>
    <s v="PA"/>
    <x v="1"/>
    <n v="3.02"/>
    <n v="156"/>
  </r>
  <r>
    <s v="Josie"/>
    <n v="40"/>
    <x v="0"/>
    <x v="2"/>
    <s v="Analyst"/>
    <n v="1603"/>
    <n v="110672.6"/>
    <d v="2010-03-16T00:00:00"/>
    <s v="555-01003"/>
    <s v="603 Main St"/>
    <s v="London"/>
    <s v="LN"/>
    <x v="2"/>
    <n v="3.39"/>
    <n v="150"/>
  </r>
  <r>
    <s v="Joy"/>
    <n v="27"/>
    <x v="1"/>
    <x v="0"/>
    <s v="Software Engineer"/>
    <n v="1604"/>
    <n v="147956.4"/>
    <d v="2003-07-01T00:00:00"/>
    <s v="555-01004"/>
    <s v="604 Main St"/>
    <s v="Dubai"/>
    <s v="DB"/>
    <x v="3"/>
    <n v="4.4000000000000004"/>
    <n v="59"/>
  </r>
  <r>
    <s v="Joyce"/>
    <n v="26"/>
    <x v="2"/>
    <x v="2"/>
    <s v="HR Specialist"/>
    <n v="1605"/>
    <n v="76904.960000000006"/>
    <d v="2013-01-16T00:00:00"/>
    <s v="555-01005"/>
    <s v="605 Main St"/>
    <s v="Tokyo"/>
    <s v="TK"/>
    <x v="4"/>
    <n v="4.5199999999999996"/>
    <n v="22"/>
  </r>
  <r>
    <s v="Juan"/>
    <n v="39"/>
    <x v="2"/>
    <x v="1"/>
    <s v="Sales Executive"/>
    <n v="1606"/>
    <n v="85472.35"/>
    <d v="2004-08-15T00:00:00"/>
    <s v="555-01006"/>
    <s v="606 Main St"/>
    <s v="New York"/>
    <s v="NK"/>
    <x v="0"/>
    <n v="2.19"/>
    <n v="19"/>
  </r>
  <r>
    <s v="Juanita"/>
    <n v="27"/>
    <x v="0"/>
    <x v="0"/>
    <s v="Analyst"/>
    <n v="1607"/>
    <n v="122192.26"/>
    <d v="2013-06-19T00:00:00"/>
    <s v="555-01007"/>
    <s v="607 Main St"/>
    <s v="Paris"/>
    <s v="PA"/>
    <x v="1"/>
    <n v="4.6500000000000004"/>
    <n v="24"/>
  </r>
  <r>
    <s v="Judah"/>
    <n v="52"/>
    <x v="0"/>
    <x v="1"/>
    <s v="Sales Executive"/>
    <n v="1608"/>
    <n v="155865.62"/>
    <d v="2006-10-19T00:00:00"/>
    <s v="555-01008"/>
    <s v="608 Main St"/>
    <s v="London"/>
    <s v="LN"/>
    <x v="2"/>
    <n v="4.0599999999999996"/>
    <n v="128"/>
  </r>
  <r>
    <s v="Jude"/>
    <n v="46"/>
    <x v="1"/>
    <x v="1"/>
    <s v="Software Engineer"/>
    <n v="1609"/>
    <n v="66372.600000000006"/>
    <d v="2019-02-17T00:00:00"/>
    <s v="555-01009"/>
    <s v="609 Main St"/>
    <s v="Dubai"/>
    <s v="DB"/>
    <x v="3"/>
    <n v="2.36"/>
    <n v="154"/>
  </r>
  <r>
    <s v="Judith"/>
    <n v="25"/>
    <x v="2"/>
    <x v="2"/>
    <s v="HR Specialist"/>
    <n v="1610"/>
    <n v="176904.31"/>
    <d v="2019-01-14T00:00:00"/>
    <s v="555-01000"/>
    <s v="610 Main St"/>
    <s v="Tokyo"/>
    <s v="TK"/>
    <x v="4"/>
    <n v="4.49"/>
    <n v="55"/>
  </r>
  <r>
    <s v="Judy"/>
    <n v="27"/>
    <x v="1"/>
    <x v="1"/>
    <s v="HR Specialist"/>
    <n v="1611"/>
    <n v="163598.23000000001"/>
    <d v="2005-08-07T00:00:00"/>
    <s v="555-01001"/>
    <s v="611 Main St"/>
    <s v="New York"/>
    <s v="NK"/>
    <x v="0"/>
    <n v="1"/>
    <n v="33"/>
  </r>
  <r>
    <s v="Julia"/>
    <n v="62"/>
    <x v="0"/>
    <x v="3"/>
    <s v="HR Specialist"/>
    <n v="1612"/>
    <n v="146340.24"/>
    <d v="2021-09-30T00:00:00"/>
    <s v="555-01002"/>
    <s v="612 Main St"/>
    <s v="Paris"/>
    <s v="PA"/>
    <x v="1"/>
    <n v="1.6"/>
    <n v="25"/>
  </r>
  <r>
    <s v="Julian"/>
    <n v="58"/>
    <x v="0"/>
    <x v="4"/>
    <s v="Project Manager"/>
    <n v="1613"/>
    <n v="116439.74"/>
    <d v="2002-10-05T00:00:00"/>
    <s v="555-01003"/>
    <s v="613 Main St"/>
    <s v="London"/>
    <s v="LN"/>
    <x v="2"/>
    <n v="2.79"/>
    <n v="5"/>
  </r>
  <r>
    <s v="Juliana"/>
    <n v="46"/>
    <x v="1"/>
    <x v="0"/>
    <s v="HR Specialist"/>
    <n v="1614"/>
    <n v="172137.66"/>
    <d v="2014-09-27T00:00:00"/>
    <s v="555-01004"/>
    <s v="614 Main St"/>
    <s v="Dubai"/>
    <s v="DB"/>
    <x v="3"/>
    <n v="1.37"/>
    <n v="127"/>
  </r>
  <r>
    <s v="Julianna"/>
    <n v="55"/>
    <x v="2"/>
    <x v="2"/>
    <s v="Project Manager"/>
    <n v="1615"/>
    <n v="107062.89"/>
    <d v="2017-11-12T00:00:00"/>
    <s v="555-01005"/>
    <s v="615 Main St"/>
    <s v="Tokyo"/>
    <s v="TK"/>
    <x v="4"/>
    <n v="1.46"/>
    <n v="81"/>
  </r>
  <r>
    <s v="Julianne"/>
    <n v="40"/>
    <x v="0"/>
    <x v="4"/>
    <s v="HR Specialist"/>
    <n v="1616"/>
    <n v="79768.45"/>
    <d v="2001-02-22T00:00:00"/>
    <s v="555-01006"/>
    <s v="616 Main St"/>
    <s v="New York"/>
    <s v="NK"/>
    <x v="0"/>
    <n v="2.75"/>
    <n v="106"/>
  </r>
  <r>
    <s v="Julie"/>
    <n v="55"/>
    <x v="0"/>
    <x v="2"/>
    <s v="Sales Executive"/>
    <n v="1617"/>
    <n v="79643.06"/>
    <d v="2006-08-15T00:00:00"/>
    <s v="555-01007"/>
    <s v="617 Main St"/>
    <s v="Paris"/>
    <s v="PA"/>
    <x v="1"/>
    <n v="3.97"/>
    <n v="5"/>
  </r>
  <r>
    <s v="Juliet"/>
    <n v="36"/>
    <x v="2"/>
    <x v="3"/>
    <s v="Sales Executive"/>
    <n v="1618"/>
    <n v="186910.81"/>
    <d v="2003-10-13T00:00:00"/>
    <s v="555-01008"/>
    <s v="618 Main St"/>
    <s v="London"/>
    <s v="LN"/>
    <x v="2"/>
    <n v="1.6"/>
    <n v="90"/>
  </r>
  <r>
    <s v="Juliette"/>
    <n v="29"/>
    <x v="0"/>
    <x v="4"/>
    <s v="HR Specialist"/>
    <n v="1619"/>
    <n v="139021.10999999999"/>
    <d v="2016-01-09T00:00:00"/>
    <s v="555-01009"/>
    <s v="619 Main St"/>
    <s v="Dubai"/>
    <s v="DB"/>
    <x v="3"/>
    <n v="4.5"/>
    <n v="41"/>
  </r>
  <r>
    <s v="Julio"/>
    <n v="55"/>
    <x v="2"/>
    <x v="0"/>
    <s v="HR Specialist"/>
    <n v="1620"/>
    <n v="86153.05"/>
    <d v="2004-07-20T00:00:00"/>
    <s v="555-01000"/>
    <s v="620 Main St"/>
    <s v="Tokyo"/>
    <s v="TK"/>
    <x v="4"/>
    <n v="3.6"/>
    <n v="78"/>
  </r>
  <r>
    <s v="June"/>
    <n v="39"/>
    <x v="2"/>
    <x v="1"/>
    <s v="Project Manager"/>
    <n v="1621"/>
    <n v="84826.23"/>
    <d v="2004-05-23T00:00:00"/>
    <s v="555-01001"/>
    <s v="621 Main St"/>
    <s v="New York"/>
    <s v="NK"/>
    <x v="0"/>
    <n v="4.63"/>
    <n v="144"/>
  </r>
  <r>
    <s v="Junior"/>
    <n v="51"/>
    <x v="0"/>
    <x v="1"/>
    <s v="Project Manager"/>
    <n v="1622"/>
    <n v="121962.51"/>
    <d v="2019-08-26T00:00:00"/>
    <s v="555-01002"/>
    <s v="622 Main St"/>
    <s v="Paris"/>
    <s v="PA"/>
    <x v="1"/>
    <n v="4.92"/>
    <n v="51"/>
  </r>
  <r>
    <s v="Justin"/>
    <n v="34"/>
    <x v="1"/>
    <x v="4"/>
    <s v="Project Manager"/>
    <n v="1623"/>
    <n v="133995.53"/>
    <d v="2014-12-11T00:00:00"/>
    <s v="555-01003"/>
    <s v="623 Main St"/>
    <s v="London"/>
    <s v="LN"/>
    <x v="2"/>
    <n v="2.12"/>
    <n v="180"/>
  </r>
  <r>
    <s v="Justine"/>
    <n v="54"/>
    <x v="0"/>
    <x v="2"/>
    <s v="Software Engineer"/>
    <n v="1624"/>
    <n v="184492.29"/>
    <d v="2020-08-15T00:00:00"/>
    <s v="555-01004"/>
    <s v="624 Main St"/>
    <s v="Dubai"/>
    <s v="DB"/>
    <x v="3"/>
    <n v="3.43"/>
    <n v="188"/>
  </r>
  <r>
    <s v="Kaden"/>
    <n v="56"/>
    <x v="0"/>
    <x v="0"/>
    <s v="Project Manager"/>
    <n v="1625"/>
    <n v="88349.22"/>
    <d v="2010-01-26T00:00:00"/>
    <s v="555-01005"/>
    <s v="625 Main St"/>
    <s v="Tokyo"/>
    <s v="TK"/>
    <x v="4"/>
    <n v="4"/>
    <n v="93"/>
  </r>
  <r>
    <s v="Kai"/>
    <n v="45"/>
    <x v="0"/>
    <x v="1"/>
    <s v="Project Manager"/>
    <n v="1626"/>
    <n v="149020.12"/>
    <d v="2016-02-13T00:00:00"/>
    <s v="555-01006"/>
    <s v="626 Main St"/>
    <s v="New York"/>
    <s v="NK"/>
    <x v="0"/>
    <n v="4.18"/>
    <n v="68"/>
  </r>
  <r>
    <s v="Kaiden"/>
    <n v="47"/>
    <x v="0"/>
    <x v="4"/>
    <s v="Software Engineer"/>
    <n v="1627"/>
    <n v="158918.78"/>
    <d v="2005-09-13T00:00:00"/>
    <s v="555-01007"/>
    <s v="627 Main St"/>
    <s v="Paris"/>
    <s v="PA"/>
    <x v="1"/>
    <n v="4.6100000000000003"/>
    <n v="1"/>
  </r>
  <r>
    <s v="Kaitlin"/>
    <n v="63"/>
    <x v="1"/>
    <x v="4"/>
    <s v="HR Specialist"/>
    <n v="1628"/>
    <n v="182301.05"/>
    <d v="2000-06-22T00:00:00"/>
    <s v="555-01008"/>
    <s v="628 Main St"/>
    <s v="London"/>
    <s v="LN"/>
    <x v="2"/>
    <n v="1.06"/>
    <n v="18"/>
  </r>
  <r>
    <s v="Kaitlyn"/>
    <n v="22"/>
    <x v="1"/>
    <x v="3"/>
    <s v="Analyst"/>
    <n v="1629"/>
    <n v="181295.7"/>
    <d v="2009-07-08T00:00:00"/>
    <s v="555-01009"/>
    <s v="629 Main St"/>
    <s v="Dubai"/>
    <s v="DB"/>
    <x v="3"/>
    <n v="2.42"/>
    <n v="112"/>
  </r>
  <r>
    <s v="Kala"/>
    <n v="34"/>
    <x v="1"/>
    <x v="0"/>
    <s v="Software Engineer"/>
    <n v="1630"/>
    <n v="135718.99"/>
    <d v="2007-08-08T00:00:00"/>
    <s v="555-01000"/>
    <s v="630 Main St"/>
    <s v="Tokyo"/>
    <s v="TK"/>
    <x v="4"/>
    <n v="2.9"/>
    <n v="78"/>
  </r>
  <r>
    <s v="Kale"/>
    <n v="31"/>
    <x v="2"/>
    <x v="0"/>
    <s v="Project Manager"/>
    <n v="1631"/>
    <n v="98972.26"/>
    <d v="2000-05-23T00:00:00"/>
    <s v="555-01001"/>
    <s v="631 Main St"/>
    <s v="New York"/>
    <s v="NK"/>
    <x v="0"/>
    <n v="2.88"/>
    <n v="138"/>
  </r>
  <r>
    <s v="Kaleb"/>
    <n v="40"/>
    <x v="1"/>
    <x v="2"/>
    <s v="Software Engineer"/>
    <n v="1632"/>
    <n v="93392.17"/>
    <d v="2000-02-25T00:00:00"/>
    <s v="555-01002"/>
    <s v="632 Main St"/>
    <s v="Paris"/>
    <s v="PA"/>
    <x v="1"/>
    <n v="2.34"/>
    <n v="141"/>
  </r>
  <r>
    <s v="Kaleigh"/>
    <n v="26"/>
    <x v="2"/>
    <x v="2"/>
    <s v="Sales Executive"/>
    <n v="1633"/>
    <n v="153205.43"/>
    <d v="2011-01-21T00:00:00"/>
    <s v="555-01003"/>
    <s v="633 Main St"/>
    <s v="London"/>
    <s v="LN"/>
    <x v="2"/>
    <n v="4.8600000000000003"/>
    <n v="137"/>
  </r>
  <r>
    <s v="Kali"/>
    <n v="29"/>
    <x v="0"/>
    <x v="4"/>
    <s v="Sales Executive"/>
    <n v="1634"/>
    <n v="169668.18"/>
    <d v="2020-01-10T00:00:00"/>
    <s v="555-01004"/>
    <s v="634 Main St"/>
    <s v="Dubai"/>
    <s v="DB"/>
    <x v="3"/>
    <n v="1.23"/>
    <n v="63"/>
  </r>
  <r>
    <s v="Kallie"/>
    <n v="25"/>
    <x v="1"/>
    <x v="3"/>
    <s v="HR Specialist"/>
    <n v="1635"/>
    <n v="111696.18"/>
    <d v="2020-12-06T00:00:00"/>
    <s v="555-01005"/>
    <s v="635 Main St"/>
    <s v="Tokyo"/>
    <s v="TK"/>
    <x v="4"/>
    <n v="4.1399999999999997"/>
    <n v="69"/>
  </r>
  <r>
    <s v="Kamryn"/>
    <n v="34"/>
    <x v="1"/>
    <x v="4"/>
    <s v="Project Manager"/>
    <n v="1636"/>
    <n v="158624.41"/>
    <d v="2022-04-14T00:00:00"/>
    <s v="555-01006"/>
    <s v="636 Main St"/>
    <s v="New York"/>
    <s v="NK"/>
    <x v="0"/>
    <n v="2.1"/>
    <n v="12"/>
  </r>
  <r>
    <s v="Kane"/>
    <n v="59"/>
    <x v="1"/>
    <x v="2"/>
    <s v="Sales Executive"/>
    <n v="1637"/>
    <n v="64248.01"/>
    <d v="2012-09-08T00:00:00"/>
    <s v="555-01007"/>
    <s v="637 Main St"/>
    <s v="Paris"/>
    <s v="PA"/>
    <x v="1"/>
    <n v="2.5299999999999998"/>
    <n v="30"/>
  </r>
  <r>
    <s v="Kara"/>
    <n v="40"/>
    <x v="1"/>
    <x v="1"/>
    <s v="Software Engineer"/>
    <n v="1638"/>
    <n v="68255.63"/>
    <d v="2010-12-11T00:00:00"/>
    <s v="555-01008"/>
    <s v="638 Main St"/>
    <s v="London"/>
    <s v="LN"/>
    <x v="2"/>
    <n v="1.56"/>
    <n v="32"/>
  </r>
  <r>
    <s v="Karen"/>
    <n v="29"/>
    <x v="1"/>
    <x v="3"/>
    <s v="Project Manager"/>
    <n v="1639"/>
    <n v="112412.55"/>
    <d v="2011-03-28T00:00:00"/>
    <s v="555-01009"/>
    <s v="639 Main St"/>
    <s v="Dubai"/>
    <s v="DB"/>
    <x v="3"/>
    <n v="3.53"/>
    <n v="26"/>
  </r>
  <r>
    <s v="Kari"/>
    <n v="48"/>
    <x v="0"/>
    <x v="0"/>
    <s v="HR Specialist"/>
    <n v="1640"/>
    <n v="158607.1"/>
    <d v="2007-12-18T00:00:00"/>
    <s v="555-01000"/>
    <s v="640 Main St"/>
    <s v="Tokyo"/>
    <s v="TK"/>
    <x v="4"/>
    <n v="2.0299999999999998"/>
    <n v="105"/>
  </r>
  <r>
    <s v="Karina"/>
    <n v="51"/>
    <x v="1"/>
    <x v="1"/>
    <s v="Project Manager"/>
    <n v="1641"/>
    <n v="187233.17"/>
    <d v="2001-11-09T00:00:00"/>
    <s v="555-01001"/>
    <s v="641 Main St"/>
    <s v="New York"/>
    <s v="NK"/>
    <x v="0"/>
    <n v="2.09"/>
    <n v="161"/>
  </r>
  <r>
    <s v="Karl"/>
    <n v="25"/>
    <x v="2"/>
    <x v="1"/>
    <s v="Project Manager"/>
    <n v="1642"/>
    <n v="150847.21"/>
    <d v="2000-12-26T00:00:00"/>
    <s v="555-01002"/>
    <s v="642 Main St"/>
    <s v="Paris"/>
    <s v="PA"/>
    <x v="1"/>
    <n v="3.31"/>
    <n v="107"/>
  </r>
  <r>
    <s v="Karla"/>
    <n v="32"/>
    <x v="2"/>
    <x v="0"/>
    <s v="Software Engineer"/>
    <n v="1643"/>
    <n v="76919.47"/>
    <d v="2019-04-11T00:00:00"/>
    <s v="555-01003"/>
    <s v="643 Main St"/>
    <s v="London"/>
    <s v="LN"/>
    <x v="2"/>
    <n v="2.17"/>
    <n v="94"/>
  </r>
  <r>
    <s v="Karlee"/>
    <n v="42"/>
    <x v="1"/>
    <x v="4"/>
    <s v="Project Manager"/>
    <n v="1644"/>
    <n v="113011.89"/>
    <d v="2001-01-13T00:00:00"/>
    <s v="555-01004"/>
    <s v="644 Main St"/>
    <s v="Dubai"/>
    <s v="DB"/>
    <x v="3"/>
    <n v="4.95"/>
    <n v="134"/>
  </r>
  <r>
    <s v="Karlie"/>
    <n v="64"/>
    <x v="2"/>
    <x v="3"/>
    <s v="Software Engineer"/>
    <n v="1645"/>
    <n v="90982.91"/>
    <d v="2012-07-14T00:00:00"/>
    <s v="555-01005"/>
    <s v="645 Main St"/>
    <s v="Tokyo"/>
    <s v="TK"/>
    <x v="4"/>
    <n v="4.93"/>
    <n v="1"/>
  </r>
  <r>
    <s v="Karol"/>
    <n v="23"/>
    <x v="1"/>
    <x v="1"/>
    <s v="Software Engineer"/>
    <n v="1646"/>
    <n v="60115.79"/>
    <d v="2018-08-30T00:00:00"/>
    <s v="555-01006"/>
    <s v="646 Main St"/>
    <s v="New York"/>
    <s v="NK"/>
    <x v="0"/>
    <n v="3.76"/>
    <n v="142"/>
  </r>
  <r>
    <s v="Karson"/>
    <n v="42"/>
    <x v="0"/>
    <x v="4"/>
    <s v="Project Manager"/>
    <n v="1647"/>
    <n v="173867.8"/>
    <d v="2014-02-27T00:00:00"/>
    <s v="555-01007"/>
    <s v="647 Main St"/>
    <s v="Paris"/>
    <s v="PA"/>
    <x v="1"/>
    <n v="1.63"/>
    <n v="75"/>
  </r>
  <r>
    <s v="Kasey"/>
    <n v="38"/>
    <x v="2"/>
    <x v="0"/>
    <s v="HR Specialist"/>
    <n v="1648"/>
    <n v="101529.57"/>
    <d v="2015-09-11T00:00:00"/>
    <s v="555-01008"/>
    <s v="648 Main St"/>
    <s v="London"/>
    <s v="LN"/>
    <x v="2"/>
    <n v="3.14"/>
    <n v="29"/>
  </r>
  <r>
    <s v="Kash"/>
    <n v="64"/>
    <x v="1"/>
    <x v="4"/>
    <s v="HR Specialist"/>
    <n v="1649"/>
    <n v="127649.35"/>
    <d v="2021-08-10T00:00:00"/>
    <s v="555-01009"/>
    <s v="649 Main St"/>
    <s v="Dubai"/>
    <s v="DB"/>
    <x v="3"/>
    <n v="1.21"/>
    <n v="197"/>
  </r>
  <r>
    <s v="Kate"/>
    <n v="50"/>
    <x v="2"/>
    <x v="1"/>
    <s v="Analyst"/>
    <n v="1650"/>
    <n v="136504.01999999999"/>
    <d v="2018-09-24T00:00:00"/>
    <s v="555-01000"/>
    <s v="650 Main St"/>
    <s v="Tokyo"/>
    <s v="TK"/>
    <x v="4"/>
    <n v="2.75"/>
    <n v="176"/>
  </r>
  <r>
    <s v="Katelyn"/>
    <n v="48"/>
    <x v="1"/>
    <x v="3"/>
    <s v="Sales Executive"/>
    <n v="1651"/>
    <n v="188112.37"/>
    <d v="2007-01-02T00:00:00"/>
    <s v="555-01001"/>
    <s v="651 Main St"/>
    <s v="New York"/>
    <s v="NK"/>
    <x v="0"/>
    <n v="1.28"/>
    <n v="179"/>
  </r>
  <r>
    <s v="Katherine"/>
    <n v="45"/>
    <x v="2"/>
    <x v="3"/>
    <s v="Project Manager"/>
    <n v="1652"/>
    <n v="65045.99"/>
    <d v="2022-06-09T00:00:00"/>
    <s v="555-01002"/>
    <s v="652 Main St"/>
    <s v="Paris"/>
    <s v="PA"/>
    <x v="1"/>
    <n v="2.58"/>
    <n v="118"/>
  </r>
  <r>
    <s v="Kathleen"/>
    <n v="24"/>
    <x v="0"/>
    <x v="0"/>
    <s v="Project Manager"/>
    <n v="1653"/>
    <n v="195862.91"/>
    <d v="2020-04-30T00:00:00"/>
    <s v="555-01003"/>
    <s v="653 Main St"/>
    <s v="London"/>
    <s v="LN"/>
    <x v="2"/>
    <n v="4.4000000000000004"/>
    <n v="166"/>
  </r>
  <r>
    <s v="Kathryn"/>
    <n v="60"/>
    <x v="2"/>
    <x v="4"/>
    <s v="Software Engineer"/>
    <n v="1654"/>
    <n v="116902.96"/>
    <d v="2008-04-27T00:00:00"/>
    <s v="555-01004"/>
    <s v="654 Main St"/>
    <s v="Dubai"/>
    <s v="DB"/>
    <x v="3"/>
    <n v="1.1599999999999999"/>
    <n v="32"/>
  </r>
  <r>
    <s v="Kathy"/>
    <n v="31"/>
    <x v="2"/>
    <x v="2"/>
    <s v="HR Specialist"/>
    <n v="1655"/>
    <n v="127929.26"/>
    <d v="2001-09-17T00:00:00"/>
    <s v="555-01005"/>
    <s v="655 Main St"/>
    <s v="Tokyo"/>
    <s v="TK"/>
    <x v="4"/>
    <n v="3.94"/>
    <n v="18"/>
  </r>
  <r>
    <s v="Katie"/>
    <n v="24"/>
    <x v="2"/>
    <x v="3"/>
    <s v="Project Manager"/>
    <n v="1656"/>
    <n v="198719.92"/>
    <d v="2000-05-19T00:00:00"/>
    <s v="555-01006"/>
    <s v="656 Main St"/>
    <s v="New York"/>
    <s v="NK"/>
    <x v="0"/>
    <n v="3.71"/>
    <n v="42"/>
  </r>
  <r>
    <s v="Katlyn"/>
    <n v="63"/>
    <x v="2"/>
    <x v="2"/>
    <s v="HR Specialist"/>
    <n v="1657"/>
    <n v="76363.62"/>
    <d v="2002-08-28T00:00:00"/>
    <s v="555-01007"/>
    <s v="657 Main St"/>
    <s v="Paris"/>
    <s v="PA"/>
    <x v="1"/>
    <n v="4.84"/>
    <n v="179"/>
  </r>
  <r>
    <s v="Katrina"/>
    <n v="47"/>
    <x v="1"/>
    <x v="4"/>
    <s v="Analyst"/>
    <n v="1658"/>
    <n v="160291.63"/>
    <d v="2013-07-01T00:00:00"/>
    <s v="555-01008"/>
    <s v="658 Main St"/>
    <s v="London"/>
    <s v="LN"/>
    <x v="2"/>
    <n v="2.11"/>
    <n v="121"/>
  </r>
  <r>
    <s v="Kay"/>
    <n v="58"/>
    <x v="0"/>
    <x v="4"/>
    <s v="Project Manager"/>
    <n v="1659"/>
    <n v="152458.94"/>
    <d v="2007-09-22T00:00:00"/>
    <s v="555-01009"/>
    <s v="659 Main St"/>
    <s v="Dubai"/>
    <s v="DB"/>
    <x v="3"/>
    <n v="2.64"/>
    <n v="116"/>
  </r>
  <r>
    <s v="Kayden"/>
    <n v="48"/>
    <x v="0"/>
    <x v="2"/>
    <s v="Software Engineer"/>
    <n v="1660"/>
    <n v="83624.28"/>
    <d v="2005-12-31T00:00:00"/>
    <s v="555-01000"/>
    <s v="660 Main St"/>
    <s v="Tokyo"/>
    <s v="TK"/>
    <x v="4"/>
    <n v="2.4500000000000002"/>
    <n v="49"/>
  </r>
  <r>
    <s v="Kayla"/>
    <n v="26"/>
    <x v="2"/>
    <x v="0"/>
    <s v="HR Specialist"/>
    <n v="1661"/>
    <n v="194938.78"/>
    <d v="2009-06-15T00:00:00"/>
    <s v="555-01001"/>
    <s v="661 Main St"/>
    <s v="New York"/>
    <s v="NK"/>
    <x v="0"/>
    <n v="1.67"/>
    <n v="129"/>
  </r>
  <r>
    <s v="Kaylee"/>
    <n v="63"/>
    <x v="2"/>
    <x v="2"/>
    <s v="Sales Executive"/>
    <n v="1662"/>
    <n v="55487.42"/>
    <d v="2000-09-27T00:00:00"/>
    <s v="555-01002"/>
    <s v="662 Main St"/>
    <s v="Paris"/>
    <s v="PA"/>
    <x v="1"/>
    <n v="3.47"/>
    <n v="199"/>
  </r>
  <r>
    <s v="Kayleigh"/>
    <n v="32"/>
    <x v="0"/>
    <x v="1"/>
    <s v="HR Specialist"/>
    <n v="1663"/>
    <n v="149090.34"/>
    <d v="2014-08-29T00:00:00"/>
    <s v="555-01003"/>
    <s v="663 Main St"/>
    <s v="London"/>
    <s v="LN"/>
    <x v="2"/>
    <n v="4.45"/>
    <n v="128"/>
  </r>
  <r>
    <s v="Kaylen"/>
    <n v="34"/>
    <x v="0"/>
    <x v="2"/>
    <s v="HR Specialist"/>
    <n v="1664"/>
    <n v="181032.33"/>
    <d v="2018-01-07T00:00:00"/>
    <s v="555-01004"/>
    <s v="664 Main St"/>
    <s v="Dubai"/>
    <s v="DB"/>
    <x v="3"/>
    <n v="4.72"/>
    <n v="106"/>
  </r>
  <r>
    <s v="Kayley"/>
    <n v="62"/>
    <x v="0"/>
    <x v="2"/>
    <s v="Sales Executive"/>
    <n v="1665"/>
    <n v="110052.66"/>
    <d v="2006-06-25T00:00:00"/>
    <s v="555-01005"/>
    <s v="665 Main St"/>
    <s v="Tokyo"/>
    <s v="TK"/>
    <x v="4"/>
    <n v="3.85"/>
    <n v="91"/>
  </r>
  <r>
    <s v="Keegan"/>
    <n v="55"/>
    <x v="0"/>
    <x v="0"/>
    <s v="HR Specialist"/>
    <n v="1666"/>
    <n v="116486.61"/>
    <d v="2013-01-08T00:00:00"/>
    <s v="555-01006"/>
    <s v="666 Main St"/>
    <s v="New York"/>
    <s v="NK"/>
    <x v="0"/>
    <n v="3.05"/>
    <n v="123"/>
  </r>
  <r>
    <s v="Keely"/>
    <n v="59"/>
    <x v="2"/>
    <x v="1"/>
    <s v="Analyst"/>
    <n v="1667"/>
    <n v="59861.93"/>
    <d v="2017-11-20T00:00:00"/>
    <s v="555-01007"/>
    <s v="667 Main St"/>
    <s v="Paris"/>
    <s v="PA"/>
    <x v="1"/>
    <n v="3.96"/>
    <n v="44"/>
  </r>
  <r>
    <s v="Keira"/>
    <n v="61"/>
    <x v="0"/>
    <x v="4"/>
    <s v="Project Manager"/>
    <n v="1668"/>
    <n v="89493.53"/>
    <d v="2011-05-10T00:00:00"/>
    <s v="555-01008"/>
    <s v="668 Main St"/>
    <s v="London"/>
    <s v="LN"/>
    <x v="2"/>
    <n v="4.4800000000000004"/>
    <n v="26"/>
  </r>
  <r>
    <s v="Keith"/>
    <n v="54"/>
    <x v="2"/>
    <x v="1"/>
    <s v="Project Manager"/>
    <n v="1669"/>
    <n v="157490.16"/>
    <d v="2012-09-02T00:00:00"/>
    <s v="555-01009"/>
    <s v="669 Main St"/>
    <s v="Dubai"/>
    <s v="DB"/>
    <x v="3"/>
    <n v="1.69"/>
    <n v="87"/>
  </r>
  <r>
    <s v="Kellen"/>
    <n v="55"/>
    <x v="2"/>
    <x v="2"/>
    <s v="Project Manager"/>
    <n v="1670"/>
    <n v="197344.94"/>
    <d v="2018-02-23T00:00:00"/>
    <s v="555-01000"/>
    <s v="670 Main St"/>
    <s v="Tokyo"/>
    <s v="TK"/>
    <x v="4"/>
    <n v="3.96"/>
    <n v="173"/>
  </r>
  <r>
    <s v="Kelly"/>
    <n v="48"/>
    <x v="0"/>
    <x v="4"/>
    <s v="HR Specialist"/>
    <n v="1671"/>
    <n v="101753.24"/>
    <d v="2016-12-17T00:00:00"/>
    <s v="555-01001"/>
    <s v="671 Main St"/>
    <s v="New York"/>
    <s v="NK"/>
    <x v="0"/>
    <n v="4.97"/>
    <n v="99"/>
  </r>
  <r>
    <s v="Kelvin"/>
    <n v="57"/>
    <x v="1"/>
    <x v="0"/>
    <s v="Sales Executive"/>
    <n v="1672"/>
    <n v="72219.520000000004"/>
    <d v="2019-02-07T00:00:00"/>
    <s v="555-01002"/>
    <s v="672 Main St"/>
    <s v="Paris"/>
    <s v="PA"/>
    <x v="1"/>
    <n v="2.5299999999999998"/>
    <n v="34"/>
  </r>
  <r>
    <s v="Kelsey"/>
    <n v="47"/>
    <x v="2"/>
    <x v="4"/>
    <s v="HR Specialist"/>
    <n v="1673"/>
    <n v="63934.27"/>
    <d v="2019-05-03T00:00:00"/>
    <s v="555-01003"/>
    <s v="673 Main St"/>
    <s v="London"/>
    <s v="LN"/>
    <x v="2"/>
    <n v="4.9400000000000004"/>
    <n v="162"/>
  </r>
  <r>
    <s v="Kendall"/>
    <n v="46"/>
    <x v="0"/>
    <x v="0"/>
    <s v="Project Manager"/>
    <n v="1674"/>
    <n v="77055.44"/>
    <d v="2000-10-20T00:00:00"/>
    <s v="555-01004"/>
    <s v="674 Main St"/>
    <s v="Dubai"/>
    <s v="DB"/>
    <x v="3"/>
    <n v="1.87"/>
    <n v="77"/>
  </r>
  <r>
    <s v="Kendra"/>
    <n v="40"/>
    <x v="2"/>
    <x v="2"/>
    <s v="Sales Executive"/>
    <n v="1675"/>
    <n v="66656.039999999994"/>
    <d v="2016-09-08T00:00:00"/>
    <s v="555-01005"/>
    <s v="675 Main St"/>
    <s v="Tokyo"/>
    <s v="TK"/>
    <x v="4"/>
    <n v="2.09"/>
    <n v="87"/>
  </r>
  <r>
    <s v="Kenley"/>
    <n v="42"/>
    <x v="1"/>
    <x v="1"/>
    <s v="Project Manager"/>
    <n v="1676"/>
    <n v="174476.17"/>
    <d v="2006-05-13T00:00:00"/>
    <s v="555-01006"/>
    <s v="676 Main St"/>
    <s v="New York"/>
    <s v="NK"/>
    <x v="0"/>
    <n v="2.11"/>
    <n v="35"/>
  </r>
  <r>
    <s v="Kenna"/>
    <n v="52"/>
    <x v="0"/>
    <x v="1"/>
    <s v="Project Manager"/>
    <n v="1677"/>
    <n v="107513.21"/>
    <d v="2004-11-21T00:00:00"/>
    <s v="555-01007"/>
    <s v="677 Main St"/>
    <s v="Paris"/>
    <s v="PA"/>
    <x v="1"/>
    <n v="3.41"/>
    <n v="125"/>
  </r>
  <r>
    <s v="Kenneth"/>
    <n v="50"/>
    <x v="2"/>
    <x v="1"/>
    <s v="Analyst"/>
    <n v="1678"/>
    <n v="109690.63"/>
    <d v="2004-11-07T00:00:00"/>
    <s v="555-01008"/>
    <s v="678 Main St"/>
    <s v="London"/>
    <s v="LN"/>
    <x v="2"/>
    <n v="4.33"/>
    <n v="86"/>
  </r>
  <r>
    <s v="Kenny"/>
    <n v="30"/>
    <x v="1"/>
    <x v="1"/>
    <s v="Analyst"/>
    <n v="1679"/>
    <n v="176548.6"/>
    <d v="2000-08-16T00:00:00"/>
    <s v="555-01009"/>
    <s v="679 Main St"/>
    <s v="Dubai"/>
    <s v="DB"/>
    <x v="3"/>
    <n v="4.9800000000000004"/>
    <n v="11"/>
  </r>
  <r>
    <s v="Kent"/>
    <n v="40"/>
    <x v="1"/>
    <x v="1"/>
    <s v="HR Specialist"/>
    <n v="1680"/>
    <n v="161305.68"/>
    <d v="2000-06-19T00:00:00"/>
    <s v="555-01000"/>
    <s v="680 Main St"/>
    <s v="Tokyo"/>
    <s v="TK"/>
    <x v="4"/>
    <n v="4.22"/>
    <n v="67"/>
  </r>
  <r>
    <s v="Kenya"/>
    <n v="47"/>
    <x v="2"/>
    <x v="3"/>
    <s v="Analyst"/>
    <n v="1681"/>
    <n v="129041.36"/>
    <d v="2000-01-15T00:00:00"/>
    <s v="555-01001"/>
    <s v="681 Main St"/>
    <s v="New York"/>
    <s v="NK"/>
    <x v="0"/>
    <n v="2.4900000000000002"/>
    <n v="189"/>
  </r>
  <r>
    <s v="Keri"/>
    <n v="46"/>
    <x v="0"/>
    <x v="2"/>
    <s v="Sales Executive"/>
    <n v="1682"/>
    <n v="124998.43"/>
    <d v="2006-05-23T00:00:00"/>
    <s v="555-01002"/>
    <s v="682 Main St"/>
    <s v="Paris"/>
    <s v="PA"/>
    <x v="1"/>
    <n v="1.64"/>
    <n v="75"/>
  </r>
  <r>
    <s v="Kerrigan"/>
    <n v="61"/>
    <x v="0"/>
    <x v="1"/>
    <s v="Software Engineer"/>
    <n v="1683"/>
    <n v="154489.60000000001"/>
    <d v="2017-05-07T00:00:00"/>
    <s v="555-01003"/>
    <s v="683 Main St"/>
    <s v="London"/>
    <s v="LN"/>
    <x v="2"/>
    <n v="4.5599999999999996"/>
    <n v="34"/>
  </r>
  <r>
    <s v="Kerry"/>
    <n v="64"/>
    <x v="2"/>
    <x v="1"/>
    <s v="Sales Executive"/>
    <n v="1684"/>
    <n v="138104.04"/>
    <d v="2013-02-08T00:00:00"/>
    <s v="555-01004"/>
    <s v="684 Main St"/>
    <s v="Dubai"/>
    <s v="DB"/>
    <x v="3"/>
    <n v="3.71"/>
    <n v="31"/>
  </r>
  <r>
    <s v="Kevin"/>
    <n v="50"/>
    <x v="1"/>
    <x v="0"/>
    <s v="Project Manager"/>
    <n v="1685"/>
    <n v="78273.56"/>
    <d v="2004-10-26T00:00:00"/>
    <s v="555-01005"/>
    <s v="685 Main St"/>
    <s v="Tokyo"/>
    <s v="TK"/>
    <x v="4"/>
    <n v="1.57"/>
    <n v="72"/>
  </r>
  <r>
    <s v="Khloe"/>
    <n v="46"/>
    <x v="1"/>
    <x v="2"/>
    <s v="Project Manager"/>
    <n v="1686"/>
    <n v="68865.39"/>
    <d v="2011-05-26T00:00:00"/>
    <s v="555-01006"/>
    <s v="686 Main St"/>
    <s v="New York"/>
    <s v="NK"/>
    <x v="0"/>
    <n v="2.33"/>
    <n v="112"/>
  </r>
  <r>
    <s v="Kia"/>
    <n v="40"/>
    <x v="1"/>
    <x v="0"/>
    <s v="Analyst"/>
    <n v="1687"/>
    <n v="110876"/>
    <d v="2017-04-04T00:00:00"/>
    <s v="555-01007"/>
    <s v="687 Main St"/>
    <s v="Paris"/>
    <s v="PA"/>
    <x v="1"/>
    <n v="3.47"/>
    <n v="157"/>
  </r>
  <r>
    <s v="Kian"/>
    <n v="25"/>
    <x v="1"/>
    <x v="1"/>
    <s v="Project Manager"/>
    <n v="1688"/>
    <n v="124112.18"/>
    <d v="2006-10-20T00:00:00"/>
    <s v="555-01008"/>
    <s v="688 Main St"/>
    <s v="London"/>
    <s v="LN"/>
    <x v="2"/>
    <n v="2.83"/>
    <n v="125"/>
  </r>
  <r>
    <s v="Kiera"/>
    <n v="41"/>
    <x v="2"/>
    <x v="2"/>
    <s v="Software Engineer"/>
    <n v="1689"/>
    <n v="62330.74"/>
    <d v="2005-12-29T00:00:00"/>
    <s v="555-01009"/>
    <s v="689 Main St"/>
    <s v="Dubai"/>
    <s v="DB"/>
    <x v="3"/>
    <n v="2.36"/>
    <n v="11"/>
  </r>
  <r>
    <s v="Kieran"/>
    <n v="22"/>
    <x v="1"/>
    <x v="2"/>
    <s v="HR Specialist"/>
    <n v="1690"/>
    <n v="130349.48"/>
    <d v="2007-06-28T00:00:00"/>
    <s v="555-01000"/>
    <s v="690 Main St"/>
    <s v="Tokyo"/>
    <s v="TK"/>
    <x v="4"/>
    <n v="2.94"/>
    <n v="135"/>
  </r>
  <r>
    <s v="Kiley"/>
    <n v="32"/>
    <x v="2"/>
    <x v="2"/>
    <s v="HR Specialist"/>
    <n v="1691"/>
    <n v="195156.9"/>
    <d v="2020-01-06T00:00:00"/>
    <s v="555-01001"/>
    <s v="691 Main St"/>
    <s v="New York"/>
    <s v="NK"/>
    <x v="0"/>
    <n v="4.0599999999999996"/>
    <n v="57"/>
  </r>
  <r>
    <s v="Killian"/>
    <n v="25"/>
    <x v="0"/>
    <x v="4"/>
    <s v="Sales Executive"/>
    <n v="1692"/>
    <n v="154730.23999999999"/>
    <d v="2002-07-25T00:00:00"/>
    <s v="555-01002"/>
    <s v="692 Main St"/>
    <s v="Paris"/>
    <s v="PA"/>
    <x v="1"/>
    <n v="4.33"/>
    <n v="88"/>
  </r>
  <r>
    <s v="Kim"/>
    <n v="28"/>
    <x v="0"/>
    <x v="3"/>
    <s v="HR Specialist"/>
    <n v="1693"/>
    <n v="71385.53"/>
    <d v="2011-08-17T00:00:00"/>
    <s v="555-01003"/>
    <s v="693 Main St"/>
    <s v="London"/>
    <s v="LN"/>
    <x v="2"/>
    <n v="3.11"/>
    <n v="132"/>
  </r>
  <r>
    <s v="Kimberly"/>
    <n v="49"/>
    <x v="1"/>
    <x v="3"/>
    <s v="Analyst"/>
    <n v="1694"/>
    <n v="135436.76"/>
    <d v="2015-05-16T00:00:00"/>
    <s v="555-01004"/>
    <s v="694 Main St"/>
    <s v="Dubai"/>
    <s v="DB"/>
    <x v="3"/>
    <n v="1.56"/>
    <n v="114"/>
  </r>
  <r>
    <s v="King"/>
    <n v="57"/>
    <x v="1"/>
    <x v="1"/>
    <s v="Analyst"/>
    <n v="1695"/>
    <n v="170663.21"/>
    <d v="2002-08-18T00:00:00"/>
    <s v="555-01005"/>
    <s v="695 Main St"/>
    <s v="Tokyo"/>
    <s v="TK"/>
    <x v="4"/>
    <n v="4.33"/>
    <n v="13"/>
  </r>
  <r>
    <s v="Kingston"/>
    <n v="28"/>
    <x v="1"/>
    <x v="3"/>
    <s v="Project Manager"/>
    <n v="1696"/>
    <n v="101549.09"/>
    <d v="2017-03-31T00:00:00"/>
    <s v="555-01006"/>
    <s v="696 Main St"/>
    <s v="New York"/>
    <s v="NK"/>
    <x v="0"/>
    <n v="2.84"/>
    <n v="93"/>
  </r>
  <r>
    <s v="Kinley"/>
    <n v="41"/>
    <x v="0"/>
    <x v="2"/>
    <s v="Analyst"/>
    <n v="1697"/>
    <n v="114340.01"/>
    <d v="2013-09-04T00:00:00"/>
    <s v="555-01007"/>
    <s v="697 Main St"/>
    <s v="Paris"/>
    <s v="PA"/>
    <x v="1"/>
    <n v="4.5999999999999996"/>
    <n v="132"/>
  </r>
  <r>
    <s v="Kip"/>
    <n v="56"/>
    <x v="2"/>
    <x v="4"/>
    <s v="Analyst"/>
    <n v="1698"/>
    <n v="50338.54"/>
    <d v="2021-11-25T00:00:00"/>
    <s v="555-01008"/>
    <s v="698 Main St"/>
    <s v="London"/>
    <s v="LN"/>
    <x v="2"/>
    <n v="4.49"/>
    <n v="41"/>
  </r>
  <r>
    <s v="Kira"/>
    <n v="60"/>
    <x v="2"/>
    <x v="3"/>
    <s v="HR Specialist"/>
    <n v="1699"/>
    <n v="180432.47"/>
    <d v="2007-02-01T00:00:00"/>
    <s v="555-01009"/>
    <s v="699 Main St"/>
    <s v="Dubai"/>
    <s v="DB"/>
    <x v="3"/>
    <n v="1.6"/>
    <n v="125"/>
  </r>
  <r>
    <s v="Kirk"/>
    <n v="42"/>
    <x v="2"/>
    <x v="3"/>
    <s v="Software Engineer"/>
    <n v="1700"/>
    <n v="120527.47"/>
    <d v="2003-12-07T00:00:00"/>
    <s v="555-01000"/>
    <s v="700 Main St"/>
    <s v="Tokyo"/>
    <s v="TK"/>
    <x v="4"/>
    <n v="2.42"/>
    <n v="132"/>
  </r>
  <r>
    <s v="Kit"/>
    <n v="22"/>
    <x v="1"/>
    <x v="4"/>
    <s v="Project Manager"/>
    <n v="1701"/>
    <n v="88031.99"/>
    <d v="2021-05-05T00:00:00"/>
    <s v="555-01001"/>
    <s v="701 Main St"/>
    <s v="New York"/>
    <s v="NK"/>
    <x v="0"/>
    <n v="2.23"/>
    <n v="87"/>
  </r>
  <r>
    <s v="Kiya"/>
    <n v="58"/>
    <x v="2"/>
    <x v="0"/>
    <s v="Sales Executive"/>
    <n v="1702"/>
    <n v="79641.08"/>
    <d v="2015-10-30T00:00:00"/>
    <s v="555-01002"/>
    <s v="702 Main St"/>
    <s v="Paris"/>
    <s v="PA"/>
    <x v="1"/>
    <n v="4.8099999999999996"/>
    <n v="161"/>
  </r>
  <r>
    <s v="Knox"/>
    <n v="63"/>
    <x v="1"/>
    <x v="1"/>
    <s v="HR Specialist"/>
    <n v="1703"/>
    <n v="114077.64"/>
    <d v="2008-09-12T00:00:00"/>
    <s v="555-01003"/>
    <s v="703 Main St"/>
    <s v="London"/>
    <s v="LN"/>
    <x v="2"/>
    <n v="3.26"/>
    <n v="152"/>
  </r>
  <r>
    <s v="Kolby"/>
    <n v="24"/>
    <x v="0"/>
    <x v="2"/>
    <s v="Project Manager"/>
    <n v="1704"/>
    <n v="83517.2"/>
    <d v="2020-11-11T00:00:00"/>
    <s v="555-01004"/>
    <s v="704 Main St"/>
    <s v="Dubai"/>
    <s v="DB"/>
    <x v="3"/>
    <n v="4.93"/>
    <n v="35"/>
  </r>
  <r>
    <s v="Kora"/>
    <n v="55"/>
    <x v="2"/>
    <x v="4"/>
    <s v="HR Specialist"/>
    <n v="1705"/>
    <n v="184516.81"/>
    <d v="2020-02-04T00:00:00"/>
    <s v="555-01005"/>
    <s v="705 Main St"/>
    <s v="Tokyo"/>
    <s v="TK"/>
    <x v="4"/>
    <n v="2.46"/>
    <n v="122"/>
  </r>
  <r>
    <s v="Korbin"/>
    <n v="34"/>
    <x v="1"/>
    <x v="0"/>
    <s v="Analyst"/>
    <n v="1706"/>
    <n v="84011.05"/>
    <d v="2002-09-10T00:00:00"/>
    <s v="555-01006"/>
    <s v="706 Main St"/>
    <s v="New York"/>
    <s v="NK"/>
    <x v="0"/>
    <n v="4.54"/>
    <n v="149"/>
  </r>
  <r>
    <s v="Korey"/>
    <n v="37"/>
    <x v="2"/>
    <x v="1"/>
    <s v="Sales Executive"/>
    <n v="1707"/>
    <n v="110365.18"/>
    <d v="2000-03-26T00:00:00"/>
    <s v="555-01007"/>
    <s v="707 Main St"/>
    <s v="Paris"/>
    <s v="PA"/>
    <x v="1"/>
    <n v="4.6500000000000004"/>
    <n v="193"/>
  </r>
  <r>
    <s v="Kory"/>
    <n v="55"/>
    <x v="0"/>
    <x v="0"/>
    <s v="Sales Executive"/>
    <n v="1708"/>
    <n v="71117.55"/>
    <d v="2011-08-29T00:00:00"/>
    <s v="555-01008"/>
    <s v="708 Main St"/>
    <s v="London"/>
    <s v="LN"/>
    <x v="2"/>
    <n v="4.7300000000000004"/>
    <n v="116"/>
  </r>
  <r>
    <s v="Kourtney"/>
    <n v="45"/>
    <x v="2"/>
    <x v="1"/>
    <s v="Software Engineer"/>
    <n v="1709"/>
    <n v="67829.279999999999"/>
    <d v="2007-05-18T00:00:00"/>
    <s v="555-01009"/>
    <s v="709 Main St"/>
    <s v="Dubai"/>
    <s v="DB"/>
    <x v="3"/>
    <n v="2.4500000000000002"/>
    <n v="32"/>
  </r>
  <r>
    <s v="Krista"/>
    <n v="34"/>
    <x v="2"/>
    <x v="3"/>
    <s v="Project Manager"/>
    <n v="1710"/>
    <n v="85659.69"/>
    <d v="2008-03-24T00:00:00"/>
    <s v="555-01000"/>
    <s v="710 Main St"/>
    <s v="Tokyo"/>
    <s v="TK"/>
    <x v="4"/>
    <n v="2.23"/>
    <n v="104"/>
  </r>
  <r>
    <s v="Kristan"/>
    <n v="27"/>
    <x v="0"/>
    <x v="4"/>
    <s v="Sales Executive"/>
    <n v="1711"/>
    <n v="50445.84"/>
    <d v="2006-05-18T00:00:00"/>
    <s v="555-01001"/>
    <s v="711 Main St"/>
    <s v="New York"/>
    <s v="NK"/>
    <x v="0"/>
    <n v="1.29"/>
    <n v="17"/>
  </r>
  <r>
    <s v="Kristen"/>
    <n v="60"/>
    <x v="1"/>
    <x v="1"/>
    <s v="HR Specialist"/>
    <n v="1712"/>
    <n v="139795.07999999999"/>
    <d v="2013-09-13T00:00:00"/>
    <s v="555-01002"/>
    <s v="712 Main St"/>
    <s v="Paris"/>
    <s v="PA"/>
    <x v="1"/>
    <n v="3.49"/>
    <n v="61"/>
  </r>
  <r>
    <s v="Kristi"/>
    <n v="23"/>
    <x v="1"/>
    <x v="4"/>
    <s v="Project Manager"/>
    <n v="1713"/>
    <n v="83342.28"/>
    <d v="2015-03-25T00:00:00"/>
    <s v="555-01003"/>
    <s v="713 Main St"/>
    <s v="London"/>
    <s v="LN"/>
    <x v="2"/>
    <n v="1.28"/>
    <n v="108"/>
  </r>
  <r>
    <s v="Kristie"/>
    <n v="32"/>
    <x v="1"/>
    <x v="4"/>
    <s v="Analyst"/>
    <n v="1714"/>
    <n v="114722.11"/>
    <d v="2018-08-11T00:00:00"/>
    <s v="555-01004"/>
    <s v="714 Main St"/>
    <s v="Dubai"/>
    <s v="DB"/>
    <x v="3"/>
    <n v="3.25"/>
    <n v="47"/>
  </r>
  <r>
    <s v="Kristin"/>
    <n v="28"/>
    <x v="2"/>
    <x v="0"/>
    <s v="Software Engineer"/>
    <n v="1715"/>
    <n v="171294.34"/>
    <d v="2000-03-23T00:00:00"/>
    <s v="555-01005"/>
    <s v="715 Main St"/>
    <s v="Tokyo"/>
    <s v="TK"/>
    <x v="4"/>
    <n v="2.2999999999999998"/>
    <n v="127"/>
  </r>
  <r>
    <s v="Kristina"/>
    <n v="28"/>
    <x v="2"/>
    <x v="2"/>
    <s v="Analyst"/>
    <n v="1716"/>
    <n v="112367.3"/>
    <d v="2002-06-12T00:00:00"/>
    <s v="555-01006"/>
    <s v="716 Main St"/>
    <s v="New York"/>
    <s v="NK"/>
    <x v="0"/>
    <n v="1.22"/>
    <n v="74"/>
  </r>
  <r>
    <s v="Kristine"/>
    <n v="60"/>
    <x v="1"/>
    <x v="0"/>
    <s v="Sales Executive"/>
    <n v="1717"/>
    <n v="164765.1"/>
    <d v="2006-12-07T00:00:00"/>
    <s v="555-01007"/>
    <s v="717 Main St"/>
    <s v="Paris"/>
    <s v="PA"/>
    <x v="1"/>
    <n v="4.78"/>
    <n v="173"/>
  </r>
  <r>
    <s v="Kristy"/>
    <n v="60"/>
    <x v="1"/>
    <x v="0"/>
    <s v="Analyst"/>
    <n v="1718"/>
    <n v="156816.26"/>
    <d v="2019-07-10T00:00:00"/>
    <s v="555-01008"/>
    <s v="718 Main St"/>
    <s v="London"/>
    <s v="LN"/>
    <x v="2"/>
    <n v="4.37"/>
    <n v="54"/>
  </r>
  <r>
    <s v="Krystal"/>
    <n v="33"/>
    <x v="2"/>
    <x v="2"/>
    <s v="HR Specialist"/>
    <n v="1719"/>
    <n v="179244.66"/>
    <d v="2002-08-13T00:00:00"/>
    <s v="555-01009"/>
    <s v="719 Main St"/>
    <s v="Dubai"/>
    <s v="DB"/>
    <x v="3"/>
    <n v="4.07"/>
    <n v="16"/>
  </r>
  <r>
    <s v="Kya"/>
    <n v="43"/>
    <x v="1"/>
    <x v="2"/>
    <s v="HR Specialist"/>
    <n v="1720"/>
    <n v="109485.27"/>
    <d v="2022-12-03T00:00:00"/>
    <s v="555-01000"/>
    <s v="720 Main St"/>
    <s v="Tokyo"/>
    <s v="TK"/>
    <x v="4"/>
    <n v="4.33"/>
    <n v="38"/>
  </r>
  <r>
    <s v="Kyla"/>
    <n v="24"/>
    <x v="1"/>
    <x v="0"/>
    <s v="Project Manager"/>
    <n v="1721"/>
    <n v="161410.70000000001"/>
    <d v="2021-08-06T00:00:00"/>
    <s v="555-01001"/>
    <s v="721 Main St"/>
    <s v="New York"/>
    <s v="NK"/>
    <x v="0"/>
    <n v="2.65"/>
    <n v="66"/>
  </r>
  <r>
    <s v="Kylie"/>
    <n v="34"/>
    <x v="2"/>
    <x v="4"/>
    <s v="Software Engineer"/>
    <n v="1722"/>
    <n v="134470.70000000001"/>
    <d v="2017-01-31T00:00:00"/>
    <s v="555-01002"/>
    <s v="722 Main St"/>
    <s v="Paris"/>
    <s v="PA"/>
    <x v="1"/>
    <n v="1.96"/>
    <n v="144"/>
  </r>
  <r>
    <s v="Kyra"/>
    <n v="51"/>
    <x v="0"/>
    <x v="3"/>
    <s v="Software Engineer"/>
    <n v="1723"/>
    <n v="128127.83"/>
    <d v="2010-05-05T00:00:00"/>
    <s v="555-01003"/>
    <s v="723 Main St"/>
    <s v="London"/>
    <s v="LN"/>
    <x v="2"/>
    <n v="1.68"/>
    <n v="117"/>
  </r>
  <r>
    <s v="Lacey"/>
    <n v="31"/>
    <x v="2"/>
    <x v="2"/>
    <s v="HR Specialist"/>
    <n v="1724"/>
    <n v="90363.78"/>
    <d v="2006-05-09T00:00:00"/>
    <s v="555-01004"/>
    <s v="724 Main St"/>
    <s v="Dubai"/>
    <s v="DB"/>
    <x v="3"/>
    <n v="3.8"/>
    <n v="152"/>
  </r>
  <r>
    <s v="Lachlan"/>
    <n v="30"/>
    <x v="1"/>
    <x v="3"/>
    <s v="Analyst"/>
    <n v="1725"/>
    <n v="126276.9"/>
    <d v="2010-10-08T00:00:00"/>
    <s v="555-01005"/>
    <s v="725 Main St"/>
    <s v="Tokyo"/>
    <s v="TK"/>
    <x v="4"/>
    <n v="4.1399999999999997"/>
    <n v="198"/>
  </r>
  <r>
    <s v="Lacy"/>
    <n v="27"/>
    <x v="1"/>
    <x v="4"/>
    <s v="Analyst"/>
    <n v="1726"/>
    <n v="58197.04"/>
    <d v="2007-04-07T00:00:00"/>
    <s v="555-01006"/>
    <s v="726 Main St"/>
    <s v="New York"/>
    <s v="NK"/>
    <x v="0"/>
    <n v="1.5"/>
    <n v="20"/>
  </r>
  <r>
    <s v="Laila"/>
    <n v="23"/>
    <x v="0"/>
    <x v="2"/>
    <s v="Project Manager"/>
    <n v="1727"/>
    <n v="67318.33"/>
    <d v="2020-01-29T00:00:00"/>
    <s v="555-01007"/>
    <s v="727 Main St"/>
    <s v="Paris"/>
    <s v="PA"/>
    <x v="1"/>
    <n v="4.83"/>
    <n v="130"/>
  </r>
  <r>
    <s v="Lamar"/>
    <n v="37"/>
    <x v="0"/>
    <x v="1"/>
    <s v="Sales Executive"/>
    <n v="1728"/>
    <n v="121627.77"/>
    <d v="2015-10-10T00:00:00"/>
    <s v="555-01008"/>
    <s v="728 Main St"/>
    <s v="London"/>
    <s v="LN"/>
    <x v="2"/>
    <n v="3.4"/>
    <n v="188"/>
  </r>
  <r>
    <s v="Lana"/>
    <n v="34"/>
    <x v="2"/>
    <x v="1"/>
    <s v="Sales Executive"/>
    <n v="1729"/>
    <n v="94799.09"/>
    <d v="2001-11-19T00:00:00"/>
    <s v="555-01009"/>
    <s v="729 Main St"/>
    <s v="Dubai"/>
    <s v="DB"/>
    <x v="3"/>
    <n v="3.97"/>
    <n v="21"/>
  </r>
  <r>
    <s v="Lance"/>
    <n v="34"/>
    <x v="0"/>
    <x v="0"/>
    <s v="Project Manager"/>
    <n v="1730"/>
    <n v="185500.2"/>
    <d v="2009-04-07T00:00:00"/>
    <s v="555-01000"/>
    <s v="730 Main St"/>
    <s v="Tokyo"/>
    <s v="TK"/>
    <x v="4"/>
    <n v="1.81"/>
    <n v="135"/>
  </r>
  <r>
    <s v="Landon"/>
    <n v="43"/>
    <x v="1"/>
    <x v="3"/>
    <s v="Sales Executive"/>
    <n v="1731"/>
    <n v="193072.67"/>
    <d v="2010-02-11T00:00:00"/>
    <s v="555-01001"/>
    <s v="731 Main St"/>
    <s v="New York"/>
    <s v="NK"/>
    <x v="0"/>
    <n v="3.89"/>
    <n v="56"/>
  </r>
  <r>
    <s v="Lane"/>
    <n v="40"/>
    <x v="1"/>
    <x v="1"/>
    <s v="HR Specialist"/>
    <n v="1732"/>
    <n v="181811.28"/>
    <d v="2008-06-15T00:00:00"/>
    <s v="555-01002"/>
    <s v="732 Main St"/>
    <s v="Paris"/>
    <s v="PA"/>
    <x v="1"/>
    <n v="1.03"/>
    <n v="137"/>
  </r>
  <r>
    <s v="Laney"/>
    <n v="47"/>
    <x v="1"/>
    <x v="0"/>
    <s v="Software Engineer"/>
    <n v="1733"/>
    <n v="56193.36"/>
    <d v="2012-12-16T00:00:00"/>
    <s v="555-01003"/>
    <s v="733 Main St"/>
    <s v="London"/>
    <s v="LN"/>
    <x v="2"/>
    <n v="3.38"/>
    <n v="3"/>
  </r>
  <r>
    <s v="Lara"/>
    <n v="35"/>
    <x v="1"/>
    <x v="0"/>
    <s v="Software Engineer"/>
    <n v="1734"/>
    <n v="172901.1"/>
    <d v="2021-06-23T00:00:00"/>
    <s v="555-01004"/>
    <s v="734 Main St"/>
    <s v="Dubai"/>
    <s v="DB"/>
    <x v="3"/>
    <n v="4.2300000000000004"/>
    <n v="187"/>
  </r>
  <r>
    <s v="Larry"/>
    <n v="52"/>
    <x v="0"/>
    <x v="0"/>
    <s v="Sales Executive"/>
    <n v="1735"/>
    <n v="119029.05"/>
    <d v="2000-10-15T00:00:00"/>
    <s v="555-01005"/>
    <s v="735 Main St"/>
    <s v="Tokyo"/>
    <s v="TK"/>
    <x v="4"/>
    <n v="1.2"/>
    <n v="163"/>
  </r>
  <r>
    <s v="Lars"/>
    <n v="50"/>
    <x v="1"/>
    <x v="4"/>
    <s v="Sales Executive"/>
    <n v="1736"/>
    <n v="57038.63"/>
    <d v="2021-06-29T00:00:00"/>
    <s v="555-01006"/>
    <s v="736 Main St"/>
    <s v="New York"/>
    <s v="NK"/>
    <x v="0"/>
    <n v="2.48"/>
    <n v="111"/>
  </r>
  <r>
    <s v="Laurel"/>
    <n v="63"/>
    <x v="1"/>
    <x v="3"/>
    <s v="Sales Executive"/>
    <n v="1737"/>
    <n v="67698.48"/>
    <d v="2013-02-18T00:00:00"/>
    <s v="555-01007"/>
    <s v="737 Main St"/>
    <s v="Paris"/>
    <s v="PA"/>
    <x v="1"/>
    <n v="1.59"/>
    <n v="112"/>
  </r>
  <r>
    <s v="Lauren"/>
    <n v="43"/>
    <x v="1"/>
    <x v="2"/>
    <s v="Software Engineer"/>
    <n v="1738"/>
    <n v="169170.6"/>
    <d v="2017-03-13T00:00:00"/>
    <s v="555-01008"/>
    <s v="738 Main St"/>
    <s v="London"/>
    <s v="LN"/>
    <x v="2"/>
    <n v="3.77"/>
    <n v="144"/>
  </r>
  <r>
    <s v="Laurie"/>
    <n v="28"/>
    <x v="2"/>
    <x v="0"/>
    <s v="Sales Executive"/>
    <n v="1739"/>
    <n v="122593.74"/>
    <d v="2016-03-03T00:00:00"/>
    <s v="555-01009"/>
    <s v="739 Main St"/>
    <s v="Dubai"/>
    <s v="DB"/>
    <x v="3"/>
    <n v="3.71"/>
    <n v="75"/>
  </r>
  <r>
    <s v="Lawson"/>
    <n v="58"/>
    <x v="2"/>
    <x v="2"/>
    <s v="Analyst"/>
    <n v="1740"/>
    <n v="138495.35999999999"/>
    <d v="2010-12-18T00:00:00"/>
    <s v="555-01000"/>
    <s v="740 Main St"/>
    <s v="Tokyo"/>
    <s v="TK"/>
    <x v="4"/>
    <n v="2.5499999999999998"/>
    <n v="177"/>
  </r>
  <r>
    <s v="Layla"/>
    <n v="62"/>
    <x v="1"/>
    <x v="1"/>
    <s v="Analyst"/>
    <n v="1741"/>
    <n v="53051.51"/>
    <d v="2019-02-23T00:00:00"/>
    <s v="555-01001"/>
    <s v="741 Main St"/>
    <s v="New York"/>
    <s v="NK"/>
    <x v="0"/>
    <n v="2.58"/>
    <n v="111"/>
  </r>
  <r>
    <s v="Lea"/>
    <n v="48"/>
    <x v="0"/>
    <x v="4"/>
    <s v="HR Specialist"/>
    <n v="1742"/>
    <n v="55561.86"/>
    <d v="2008-09-25T00:00:00"/>
    <s v="555-01002"/>
    <s v="742 Main St"/>
    <s v="Paris"/>
    <s v="PA"/>
    <x v="1"/>
    <n v="2.73"/>
    <n v="107"/>
  </r>
  <r>
    <s v="Leah"/>
    <n v="52"/>
    <x v="0"/>
    <x v="2"/>
    <s v="Project Manager"/>
    <n v="1743"/>
    <n v="114242.76"/>
    <d v="2000-10-08T00:00:00"/>
    <s v="555-01003"/>
    <s v="743 Main St"/>
    <s v="London"/>
    <s v="LN"/>
    <x v="2"/>
    <n v="4.83"/>
    <n v="121"/>
  </r>
  <r>
    <s v="Leann"/>
    <n v="27"/>
    <x v="2"/>
    <x v="0"/>
    <s v="HR Specialist"/>
    <n v="1744"/>
    <n v="125727.01"/>
    <d v="2017-12-10T00:00:00"/>
    <s v="555-01004"/>
    <s v="744 Main St"/>
    <s v="Dubai"/>
    <s v="DB"/>
    <x v="3"/>
    <n v="2.15"/>
    <n v="80"/>
  </r>
  <r>
    <s v="Leanna"/>
    <n v="37"/>
    <x v="2"/>
    <x v="4"/>
    <s v="Software Engineer"/>
    <n v="1745"/>
    <n v="73836.81"/>
    <d v="2015-10-20T00:00:00"/>
    <s v="555-01005"/>
    <s v="745 Main St"/>
    <s v="Tokyo"/>
    <s v="TK"/>
    <x v="4"/>
    <n v="4.04"/>
    <n v="170"/>
  </r>
  <r>
    <s v="Leanne"/>
    <n v="59"/>
    <x v="0"/>
    <x v="0"/>
    <s v="Analyst"/>
    <n v="1746"/>
    <n v="105737.07"/>
    <d v="2013-10-20T00:00:00"/>
    <s v="555-01006"/>
    <s v="746 Main St"/>
    <s v="New York"/>
    <s v="NK"/>
    <x v="0"/>
    <n v="4.2300000000000004"/>
    <n v="117"/>
  </r>
  <r>
    <s v="Lee"/>
    <n v="59"/>
    <x v="2"/>
    <x v="4"/>
    <s v="Project Manager"/>
    <n v="1747"/>
    <n v="50541.82"/>
    <d v="2003-11-24T00:00:00"/>
    <s v="555-01007"/>
    <s v="747 Main St"/>
    <s v="Paris"/>
    <s v="PA"/>
    <x v="1"/>
    <n v="2.84"/>
    <n v="59"/>
  </r>
  <r>
    <s v="Leif"/>
    <n v="53"/>
    <x v="2"/>
    <x v="2"/>
    <s v="Analyst"/>
    <n v="1748"/>
    <n v="70002.009999999995"/>
    <d v="2005-07-03T00:00:00"/>
    <s v="555-01008"/>
    <s v="748 Main St"/>
    <s v="London"/>
    <s v="LN"/>
    <x v="2"/>
    <n v="3.67"/>
    <n v="167"/>
  </r>
  <r>
    <s v="Leigh"/>
    <n v="54"/>
    <x v="1"/>
    <x v="2"/>
    <s v="Sales Executive"/>
    <n v="1749"/>
    <n v="53749.14"/>
    <d v="2011-12-29T00:00:00"/>
    <s v="555-01009"/>
    <s v="749 Main St"/>
    <s v="Dubai"/>
    <s v="DB"/>
    <x v="3"/>
    <n v="3.85"/>
    <n v="83"/>
  </r>
  <r>
    <s v="Leila"/>
    <n v="38"/>
    <x v="0"/>
    <x v="1"/>
    <s v="Software Engineer"/>
    <n v="1750"/>
    <n v="182042.48"/>
    <d v="2003-01-21T00:00:00"/>
    <s v="555-01000"/>
    <s v="750 Main St"/>
    <s v="Tokyo"/>
    <s v="TK"/>
    <x v="4"/>
    <n v="3.27"/>
    <n v="199"/>
  </r>
  <r>
    <s v="Lena"/>
    <n v="54"/>
    <x v="1"/>
    <x v="3"/>
    <s v="Project Manager"/>
    <n v="1751"/>
    <n v="59206.9"/>
    <d v="2019-06-21T00:00:00"/>
    <s v="555-01001"/>
    <s v="751 Main St"/>
    <s v="New York"/>
    <s v="NK"/>
    <x v="0"/>
    <n v="2.2200000000000002"/>
    <n v="34"/>
  </r>
  <r>
    <s v="Lennox"/>
    <n v="32"/>
    <x v="2"/>
    <x v="0"/>
    <s v="HR Specialist"/>
    <n v="1752"/>
    <n v="134085.07"/>
    <d v="2000-12-13T00:00:00"/>
    <s v="555-01002"/>
    <s v="752 Main St"/>
    <s v="Paris"/>
    <s v="PA"/>
    <x v="1"/>
    <n v="3.13"/>
    <n v="96"/>
  </r>
  <r>
    <s v="Leo"/>
    <n v="34"/>
    <x v="2"/>
    <x v="0"/>
    <s v="Software Engineer"/>
    <n v="1753"/>
    <n v="137779.9"/>
    <d v="2012-05-06T00:00:00"/>
    <s v="555-01003"/>
    <s v="753 Main St"/>
    <s v="London"/>
    <s v="LN"/>
    <x v="2"/>
    <n v="1.73"/>
    <n v="185"/>
  </r>
  <r>
    <s v="Leon"/>
    <n v="51"/>
    <x v="2"/>
    <x v="1"/>
    <s v="HR Specialist"/>
    <n v="1754"/>
    <n v="50661.46"/>
    <d v="2018-08-08T00:00:00"/>
    <s v="555-01004"/>
    <s v="754 Main St"/>
    <s v="Dubai"/>
    <s v="DB"/>
    <x v="3"/>
    <n v="3.3"/>
    <n v="76"/>
  </r>
  <r>
    <s v="Leonard"/>
    <n v="22"/>
    <x v="2"/>
    <x v="4"/>
    <s v="HR Specialist"/>
    <n v="1755"/>
    <n v="141839.85"/>
    <d v="2012-09-16T00:00:00"/>
    <s v="555-01005"/>
    <s v="755 Main St"/>
    <s v="Tokyo"/>
    <s v="TK"/>
    <x v="4"/>
    <n v="4.38"/>
    <n v="114"/>
  </r>
  <r>
    <s v="Leonel"/>
    <n v="51"/>
    <x v="0"/>
    <x v="4"/>
    <s v="HR Specialist"/>
    <n v="1756"/>
    <n v="177191.45"/>
    <d v="2009-11-23T00:00:00"/>
    <s v="555-01006"/>
    <s v="756 Main St"/>
    <s v="New York"/>
    <s v="NK"/>
    <x v="0"/>
    <n v="1.58"/>
    <n v="28"/>
  </r>
  <r>
    <s v="Leonidas"/>
    <n v="48"/>
    <x v="0"/>
    <x v="2"/>
    <s v="Sales Executive"/>
    <n v="1757"/>
    <n v="136567.35999999999"/>
    <d v="2005-10-03T00:00:00"/>
    <s v="555-01007"/>
    <s v="757 Main St"/>
    <s v="Paris"/>
    <s v="PA"/>
    <x v="1"/>
    <n v="2.66"/>
    <n v="24"/>
  </r>
  <r>
    <s v="Leroy"/>
    <n v="61"/>
    <x v="0"/>
    <x v="2"/>
    <s v="HR Specialist"/>
    <n v="1758"/>
    <n v="77844.929999999993"/>
    <d v="2012-11-10T00:00:00"/>
    <s v="555-01008"/>
    <s v="758 Main St"/>
    <s v="London"/>
    <s v="LN"/>
    <x v="2"/>
    <n v="2.14"/>
    <n v="44"/>
  </r>
  <r>
    <s v="Lesley"/>
    <n v="44"/>
    <x v="0"/>
    <x v="0"/>
    <s v="Analyst"/>
    <n v="1759"/>
    <n v="132596.01999999999"/>
    <d v="2021-08-22T00:00:00"/>
    <s v="555-01009"/>
    <s v="759 Main St"/>
    <s v="Dubai"/>
    <s v="DB"/>
    <x v="3"/>
    <n v="2.0699999999999998"/>
    <n v="117"/>
  </r>
  <r>
    <s v="Leslie"/>
    <n v="41"/>
    <x v="1"/>
    <x v="3"/>
    <s v="Project Manager"/>
    <n v="1760"/>
    <n v="154667.48000000001"/>
    <d v="2011-12-20T00:00:00"/>
    <s v="555-01000"/>
    <s v="760 Main St"/>
    <s v="Tokyo"/>
    <s v="TK"/>
    <x v="4"/>
    <n v="2.35"/>
    <n v="117"/>
  </r>
  <r>
    <s v="Lester"/>
    <n v="27"/>
    <x v="1"/>
    <x v="0"/>
    <s v="Project Manager"/>
    <n v="1761"/>
    <n v="152616.01999999999"/>
    <d v="2009-01-14T00:00:00"/>
    <s v="555-01001"/>
    <s v="761 Main St"/>
    <s v="New York"/>
    <s v="NK"/>
    <x v="0"/>
    <n v="1.82"/>
    <n v="55"/>
  </r>
  <r>
    <s v="Levi"/>
    <n v="58"/>
    <x v="1"/>
    <x v="4"/>
    <s v="Software Engineer"/>
    <n v="1762"/>
    <n v="141817.72"/>
    <d v="2003-07-02T00:00:00"/>
    <s v="555-01002"/>
    <s v="762 Main St"/>
    <s v="Paris"/>
    <s v="PA"/>
    <x v="1"/>
    <n v="2.95"/>
    <n v="41"/>
  </r>
  <r>
    <s v="Lexi"/>
    <n v="41"/>
    <x v="2"/>
    <x v="3"/>
    <s v="Analyst"/>
    <n v="1763"/>
    <n v="107386.44"/>
    <d v="2009-12-16T00:00:00"/>
    <s v="555-01003"/>
    <s v="763 Main St"/>
    <s v="London"/>
    <s v="LN"/>
    <x v="2"/>
    <n v="1.35"/>
    <n v="182"/>
  </r>
  <r>
    <s v="Lexie"/>
    <n v="58"/>
    <x v="0"/>
    <x v="3"/>
    <s v="HR Specialist"/>
    <n v="1764"/>
    <n v="68212.17"/>
    <d v="2014-07-26T00:00:00"/>
    <s v="555-01004"/>
    <s v="764 Main St"/>
    <s v="Dubai"/>
    <s v="DB"/>
    <x v="3"/>
    <n v="4.5199999999999996"/>
    <n v="198"/>
  </r>
  <r>
    <s v="Lia"/>
    <n v="27"/>
    <x v="0"/>
    <x v="1"/>
    <s v="Analyst"/>
    <n v="1765"/>
    <n v="60709.21"/>
    <d v="2020-01-29T00:00:00"/>
    <s v="555-01005"/>
    <s v="765 Main St"/>
    <s v="Tokyo"/>
    <s v="TK"/>
    <x v="4"/>
    <n v="3.42"/>
    <n v="47"/>
  </r>
  <r>
    <s v="Liana"/>
    <n v="50"/>
    <x v="0"/>
    <x v="2"/>
    <s v="HR Specialist"/>
    <n v="1766"/>
    <n v="141725.93"/>
    <d v="2018-01-05T00:00:00"/>
    <s v="555-01006"/>
    <s v="766 Main St"/>
    <s v="New York"/>
    <s v="NK"/>
    <x v="0"/>
    <n v="4.62"/>
    <n v="125"/>
  </r>
  <r>
    <s v="Lianne"/>
    <n v="34"/>
    <x v="1"/>
    <x v="3"/>
    <s v="HR Specialist"/>
    <n v="1767"/>
    <n v="104378.84"/>
    <d v="2012-07-05T00:00:00"/>
    <s v="555-01007"/>
    <s v="767 Main St"/>
    <s v="Paris"/>
    <s v="PA"/>
    <x v="1"/>
    <n v="1.61"/>
    <n v="131"/>
  </r>
  <r>
    <s v="Libby"/>
    <n v="48"/>
    <x v="2"/>
    <x v="0"/>
    <s v="Project Manager"/>
    <n v="1768"/>
    <n v="50308.51"/>
    <d v="2020-06-28T00:00:00"/>
    <s v="555-01008"/>
    <s v="768 Main St"/>
    <s v="London"/>
    <s v="LN"/>
    <x v="2"/>
    <n v="4.0999999999999996"/>
    <n v="33"/>
  </r>
  <r>
    <s v="Lila"/>
    <n v="41"/>
    <x v="2"/>
    <x v="4"/>
    <s v="Sales Executive"/>
    <n v="1769"/>
    <n v="72412.759999999995"/>
    <d v="2007-05-05T00:00:00"/>
    <s v="555-01009"/>
    <s v="769 Main St"/>
    <s v="Dubai"/>
    <s v="DB"/>
    <x v="3"/>
    <n v="4.55"/>
    <n v="110"/>
  </r>
  <r>
    <s v="Lili"/>
    <n v="34"/>
    <x v="2"/>
    <x v="2"/>
    <s v="Software Engineer"/>
    <n v="1770"/>
    <n v="154695.92000000001"/>
    <d v="2006-01-17T00:00:00"/>
    <s v="555-01000"/>
    <s v="770 Main St"/>
    <s v="Tokyo"/>
    <s v="TK"/>
    <x v="4"/>
    <n v="2.2799999999999998"/>
    <n v="81"/>
  </r>
  <r>
    <s v="Lilia"/>
    <n v="60"/>
    <x v="1"/>
    <x v="0"/>
    <s v="Project Manager"/>
    <n v="1771"/>
    <n v="163717.85999999999"/>
    <d v="2018-11-21T00:00:00"/>
    <s v="555-01001"/>
    <s v="771 Main St"/>
    <s v="New York"/>
    <s v="NK"/>
    <x v="0"/>
    <n v="4.3099999999999996"/>
    <n v="188"/>
  </r>
  <r>
    <s v="Lillian"/>
    <n v="29"/>
    <x v="0"/>
    <x v="4"/>
    <s v="HR Specialist"/>
    <n v="1772"/>
    <n v="137422.34"/>
    <d v="2001-07-30T00:00:00"/>
    <s v="555-01002"/>
    <s v="772 Main St"/>
    <s v="Paris"/>
    <s v="PA"/>
    <x v="1"/>
    <n v="4.67"/>
    <n v="63"/>
  </r>
  <r>
    <s v="Lilliana"/>
    <n v="38"/>
    <x v="1"/>
    <x v="0"/>
    <s v="Software Engineer"/>
    <n v="1773"/>
    <n v="140755.16"/>
    <d v="2021-12-13T00:00:00"/>
    <s v="555-01003"/>
    <s v="773 Main St"/>
    <s v="London"/>
    <s v="LN"/>
    <x v="2"/>
    <n v="3.8"/>
    <n v="141"/>
  </r>
  <r>
    <s v="Lillie"/>
    <n v="51"/>
    <x v="0"/>
    <x v="0"/>
    <s v="HR Specialist"/>
    <n v="1774"/>
    <n v="91063.4"/>
    <d v="2007-01-02T00:00:00"/>
    <s v="555-01004"/>
    <s v="774 Main St"/>
    <s v="Dubai"/>
    <s v="DB"/>
    <x v="3"/>
    <n v="2.3199999999999998"/>
    <n v="83"/>
  </r>
  <r>
    <s v="Lilly"/>
    <n v="22"/>
    <x v="2"/>
    <x v="2"/>
    <s v="Project Manager"/>
    <n v="1775"/>
    <n v="123283.18"/>
    <d v="2021-08-11T00:00:00"/>
    <s v="555-01005"/>
    <s v="775 Main St"/>
    <s v="Tokyo"/>
    <s v="TK"/>
    <x v="4"/>
    <n v="3.38"/>
    <n v="23"/>
  </r>
  <r>
    <s v="Lily"/>
    <n v="45"/>
    <x v="0"/>
    <x v="4"/>
    <s v="HR Specialist"/>
    <n v="1776"/>
    <n v="190698.06"/>
    <d v="2003-09-08T00:00:00"/>
    <s v="555-01006"/>
    <s v="776 Main St"/>
    <s v="New York"/>
    <s v="NK"/>
    <x v="0"/>
    <n v="3.27"/>
    <n v="176"/>
  </r>
  <r>
    <s v="Lina"/>
    <n v="37"/>
    <x v="2"/>
    <x v="0"/>
    <s v="Software Engineer"/>
    <n v="1777"/>
    <n v="107718.1"/>
    <d v="2007-05-13T00:00:00"/>
    <s v="555-01007"/>
    <s v="777 Main St"/>
    <s v="Paris"/>
    <s v="PA"/>
    <x v="1"/>
    <n v="3.35"/>
    <n v="139"/>
  </r>
  <r>
    <s v="Lincoln"/>
    <n v="32"/>
    <x v="2"/>
    <x v="3"/>
    <s v="HR Specialist"/>
    <n v="1778"/>
    <n v="141496.26"/>
    <d v="2013-03-15T00:00:00"/>
    <s v="555-01008"/>
    <s v="778 Main St"/>
    <s v="London"/>
    <s v="LN"/>
    <x v="2"/>
    <n v="3.04"/>
    <n v="49"/>
  </r>
  <r>
    <s v="Linda"/>
    <n v="25"/>
    <x v="2"/>
    <x v="2"/>
    <s v="Project Manager"/>
    <n v="1779"/>
    <n v="104793.29"/>
    <d v="2017-12-05T00:00:00"/>
    <s v="555-01009"/>
    <s v="779 Main St"/>
    <s v="Dubai"/>
    <s v="DB"/>
    <x v="3"/>
    <n v="3.08"/>
    <n v="31"/>
  </r>
  <r>
    <s v="Lindsay"/>
    <n v="25"/>
    <x v="0"/>
    <x v="1"/>
    <s v="HR Specialist"/>
    <n v="1780"/>
    <n v="117477.05"/>
    <d v="2019-12-21T00:00:00"/>
    <s v="555-01000"/>
    <s v="780 Main St"/>
    <s v="Tokyo"/>
    <s v="TK"/>
    <x v="4"/>
    <n v="1.68"/>
    <n v="68"/>
  </r>
  <r>
    <s v="Lindsey"/>
    <n v="38"/>
    <x v="1"/>
    <x v="3"/>
    <s v="Software Engineer"/>
    <n v="1781"/>
    <n v="167427.6"/>
    <d v="2016-06-30T00:00:00"/>
    <s v="555-01001"/>
    <s v="781 Main St"/>
    <s v="New York"/>
    <s v="NK"/>
    <x v="0"/>
    <n v="3.71"/>
    <n v="137"/>
  </r>
  <r>
    <s v="Lisa"/>
    <n v="31"/>
    <x v="2"/>
    <x v="4"/>
    <s v="Analyst"/>
    <n v="1782"/>
    <n v="108804.63"/>
    <d v="2007-02-18T00:00:00"/>
    <s v="555-01002"/>
    <s v="782 Main St"/>
    <s v="Paris"/>
    <s v="PA"/>
    <x v="1"/>
    <n v="2.41"/>
    <n v="176"/>
  </r>
  <r>
    <s v="Lisette"/>
    <n v="42"/>
    <x v="0"/>
    <x v="3"/>
    <s v="Analyst"/>
    <n v="1783"/>
    <n v="115623.33"/>
    <d v="2011-05-22T00:00:00"/>
    <s v="555-01003"/>
    <s v="783 Main St"/>
    <s v="London"/>
    <s v="LN"/>
    <x v="2"/>
    <n v="3.41"/>
    <n v="158"/>
  </r>
  <r>
    <s v="Livia"/>
    <n v="59"/>
    <x v="2"/>
    <x v="0"/>
    <s v="Sales Executive"/>
    <n v="1784"/>
    <n v="93067.7"/>
    <d v="2012-12-03T00:00:00"/>
    <s v="555-01004"/>
    <s v="784 Main St"/>
    <s v="Dubai"/>
    <s v="DB"/>
    <x v="3"/>
    <n v="2.19"/>
    <n v="179"/>
  </r>
  <r>
    <s v="Liz"/>
    <n v="39"/>
    <x v="0"/>
    <x v="1"/>
    <s v="Sales Executive"/>
    <n v="1785"/>
    <n v="173338.15"/>
    <d v="2012-02-11T00:00:00"/>
    <s v="555-01005"/>
    <s v="785 Main St"/>
    <s v="Tokyo"/>
    <s v="TK"/>
    <x v="4"/>
    <n v="3.82"/>
    <n v="154"/>
  </r>
  <r>
    <s v="Liza"/>
    <n v="31"/>
    <x v="1"/>
    <x v="2"/>
    <s v="Project Manager"/>
    <n v="1786"/>
    <n v="95463.15"/>
    <d v="2002-06-06T00:00:00"/>
    <s v="555-01006"/>
    <s v="786 Main St"/>
    <s v="New York"/>
    <s v="NK"/>
    <x v="0"/>
    <n v="3.39"/>
    <n v="27"/>
  </r>
  <r>
    <s v="Lizbeth"/>
    <n v="37"/>
    <x v="2"/>
    <x v="1"/>
    <s v="HR Specialist"/>
    <n v="1787"/>
    <n v="159641.56"/>
    <d v="2008-02-08T00:00:00"/>
    <s v="555-01007"/>
    <s v="787 Main St"/>
    <s v="Paris"/>
    <s v="PA"/>
    <x v="1"/>
    <n v="3.9"/>
    <n v="46"/>
  </r>
  <r>
    <s v="Lizette"/>
    <n v="60"/>
    <x v="2"/>
    <x v="3"/>
    <s v="HR Specialist"/>
    <n v="1788"/>
    <n v="189137.4"/>
    <d v="2017-08-13T00:00:00"/>
    <s v="555-01008"/>
    <s v="788 Main St"/>
    <s v="London"/>
    <s v="LN"/>
    <x v="2"/>
    <n v="3.99"/>
    <n v="89"/>
  </r>
  <r>
    <s v="Lizzie"/>
    <n v="36"/>
    <x v="2"/>
    <x v="1"/>
    <s v="HR Specialist"/>
    <n v="1789"/>
    <n v="165298.79999999999"/>
    <d v="2013-06-10T00:00:00"/>
    <s v="555-01009"/>
    <s v="789 Main St"/>
    <s v="Dubai"/>
    <s v="DB"/>
    <x v="3"/>
    <n v="3.91"/>
    <n v="77"/>
  </r>
  <r>
    <s v="Lloyd"/>
    <n v="55"/>
    <x v="1"/>
    <x v="4"/>
    <s v="Project Manager"/>
    <n v="1790"/>
    <n v="180449.3"/>
    <d v="2008-02-22T00:00:00"/>
    <s v="555-01000"/>
    <s v="790 Main St"/>
    <s v="Tokyo"/>
    <s v="TK"/>
    <x v="4"/>
    <n v="4.49"/>
    <n v="57"/>
  </r>
  <r>
    <s v="Logan"/>
    <n v="26"/>
    <x v="0"/>
    <x v="0"/>
    <s v="Project Manager"/>
    <n v="1791"/>
    <n v="71260.58"/>
    <d v="2000-06-12T00:00:00"/>
    <s v="555-01001"/>
    <s v="791 Main St"/>
    <s v="New York"/>
    <s v="NK"/>
    <x v="0"/>
    <n v="4.8499999999999996"/>
    <n v="36"/>
  </r>
  <r>
    <s v="Lois"/>
    <n v="38"/>
    <x v="2"/>
    <x v="0"/>
    <s v="HR Specialist"/>
    <n v="1792"/>
    <n v="110385.22"/>
    <d v="2000-07-01T00:00:00"/>
    <s v="555-01002"/>
    <s v="792 Main St"/>
    <s v="Paris"/>
    <s v="PA"/>
    <x v="1"/>
    <n v="2.87"/>
    <n v="167"/>
  </r>
  <r>
    <s v="Lola"/>
    <n v="58"/>
    <x v="2"/>
    <x v="4"/>
    <s v="Software Engineer"/>
    <n v="1793"/>
    <n v="53845.26"/>
    <d v="2013-09-06T00:00:00"/>
    <s v="555-01003"/>
    <s v="793 Main St"/>
    <s v="London"/>
    <s v="LN"/>
    <x v="2"/>
    <n v="2.09"/>
    <n v="67"/>
  </r>
  <r>
    <s v="London"/>
    <n v="29"/>
    <x v="1"/>
    <x v="0"/>
    <s v="Project Manager"/>
    <n v="1794"/>
    <n v="128392.58"/>
    <d v="2012-12-11T00:00:00"/>
    <s v="555-01004"/>
    <s v="794 Main St"/>
    <s v="Dubai"/>
    <s v="DB"/>
    <x v="3"/>
    <n v="3.01"/>
    <n v="169"/>
  </r>
  <r>
    <s v="Lonnie"/>
    <n v="45"/>
    <x v="0"/>
    <x v="2"/>
    <s v="Sales Executive"/>
    <n v="1795"/>
    <n v="199808.81"/>
    <d v="2002-08-30T00:00:00"/>
    <s v="555-01005"/>
    <s v="795 Main St"/>
    <s v="Tokyo"/>
    <s v="TK"/>
    <x v="4"/>
    <n v="1.34"/>
    <n v="74"/>
  </r>
  <r>
    <s v="Lorelai"/>
    <n v="49"/>
    <x v="1"/>
    <x v="0"/>
    <s v="Software Engineer"/>
    <n v="1796"/>
    <n v="130773.99"/>
    <d v="2000-03-31T00:00:00"/>
    <s v="555-01006"/>
    <s v="796 Main St"/>
    <s v="New York"/>
    <s v="NK"/>
    <x v="0"/>
    <n v="2.36"/>
    <n v="45"/>
  </r>
  <r>
    <s v="Lorelei"/>
    <n v="29"/>
    <x v="1"/>
    <x v="0"/>
    <s v="Analyst"/>
    <n v="1797"/>
    <n v="179251.24"/>
    <d v="2008-12-31T00:00:00"/>
    <s v="555-01007"/>
    <s v="797 Main St"/>
    <s v="Paris"/>
    <s v="PA"/>
    <x v="1"/>
    <n v="2.2599999999999998"/>
    <n v="139"/>
  </r>
  <r>
    <s v="Lorena"/>
    <n v="44"/>
    <x v="2"/>
    <x v="3"/>
    <s v="HR Specialist"/>
    <n v="1798"/>
    <n v="198472.68"/>
    <d v="2003-07-01T00:00:00"/>
    <s v="555-01008"/>
    <s v="798 Main St"/>
    <s v="London"/>
    <s v="LN"/>
    <x v="2"/>
    <n v="3.38"/>
    <n v="18"/>
  </r>
  <r>
    <s v="Lorenzo"/>
    <n v="56"/>
    <x v="0"/>
    <x v="1"/>
    <s v="Sales Executive"/>
    <n v="1799"/>
    <n v="99713.69"/>
    <d v="2005-02-01T00:00:00"/>
    <s v="555-01009"/>
    <s v="799 Main St"/>
    <s v="Dubai"/>
    <s v="DB"/>
    <x v="3"/>
    <n v="2.31"/>
    <n v="170"/>
  </r>
  <r>
    <s v="Lori"/>
    <n v="52"/>
    <x v="2"/>
    <x v="0"/>
    <s v="Sales Executive"/>
    <n v="1800"/>
    <n v="114221.6"/>
    <d v="2000-05-05T00:00:00"/>
    <s v="555-01000"/>
    <s v="800 Main St"/>
    <s v="Tokyo"/>
    <s v="TK"/>
    <x v="4"/>
    <n v="3.71"/>
    <n v="146"/>
  </r>
  <r>
    <s v="Lorna"/>
    <n v="38"/>
    <x v="2"/>
    <x v="3"/>
    <s v="Sales Executive"/>
    <n v="1801"/>
    <n v="132015.03"/>
    <d v="2020-12-12T00:00:00"/>
    <s v="555-01001"/>
    <s v="801 Main St"/>
    <s v="New York"/>
    <s v="NK"/>
    <x v="0"/>
    <n v="2.96"/>
    <n v="17"/>
  </r>
  <r>
    <s v="Lorraine"/>
    <n v="49"/>
    <x v="1"/>
    <x v="4"/>
    <s v="Sales Executive"/>
    <n v="1802"/>
    <n v="159541.03"/>
    <d v="2001-07-17T00:00:00"/>
    <s v="555-01002"/>
    <s v="802 Main St"/>
    <s v="Paris"/>
    <s v="PA"/>
    <x v="1"/>
    <n v="4.58"/>
    <n v="161"/>
  </r>
  <r>
    <s v="Lottie"/>
    <n v="33"/>
    <x v="1"/>
    <x v="2"/>
    <s v="HR Specialist"/>
    <n v="1803"/>
    <n v="126465.81"/>
    <d v="2017-07-09T00:00:00"/>
    <s v="555-01003"/>
    <s v="803 Main St"/>
    <s v="London"/>
    <s v="LN"/>
    <x v="2"/>
    <n v="1.49"/>
    <n v="102"/>
  </r>
  <r>
    <s v="Lou"/>
    <n v="45"/>
    <x v="2"/>
    <x v="4"/>
    <s v="Sales Executive"/>
    <n v="1804"/>
    <n v="77713.69"/>
    <d v="2018-05-20T00:00:00"/>
    <s v="555-01004"/>
    <s v="804 Main St"/>
    <s v="Dubai"/>
    <s v="DB"/>
    <x v="3"/>
    <n v="1.04"/>
    <n v="134"/>
  </r>
  <r>
    <s v="Louisa"/>
    <n v="36"/>
    <x v="1"/>
    <x v="2"/>
    <s v="Sales Executive"/>
    <n v="1805"/>
    <n v="125341.25"/>
    <d v="2007-10-20T00:00:00"/>
    <s v="555-01005"/>
    <s v="805 Main St"/>
    <s v="Tokyo"/>
    <s v="TK"/>
    <x v="4"/>
    <n v="2.89"/>
    <n v="74"/>
  </r>
  <r>
    <s v="Louise"/>
    <n v="61"/>
    <x v="1"/>
    <x v="3"/>
    <s v="Software Engineer"/>
    <n v="1806"/>
    <n v="158181.76000000001"/>
    <d v="2006-01-24T00:00:00"/>
    <s v="555-01006"/>
    <s v="806 Main St"/>
    <s v="New York"/>
    <s v="NK"/>
    <x v="0"/>
    <n v="2.04"/>
    <n v="134"/>
  </r>
  <r>
    <s v="Lourdes"/>
    <n v="52"/>
    <x v="0"/>
    <x v="4"/>
    <s v="Project Manager"/>
    <n v="1807"/>
    <n v="162964.46"/>
    <d v="2007-12-09T00:00:00"/>
    <s v="555-01007"/>
    <s v="807 Main St"/>
    <s v="Paris"/>
    <s v="PA"/>
    <x v="1"/>
    <n v="2.7"/>
    <n v="16"/>
  </r>
  <r>
    <s v="Lowell"/>
    <n v="48"/>
    <x v="2"/>
    <x v="3"/>
    <s v="Analyst"/>
    <n v="1808"/>
    <n v="112839.82"/>
    <d v="2015-06-07T00:00:00"/>
    <s v="555-01008"/>
    <s v="808 Main St"/>
    <s v="London"/>
    <s v="LN"/>
    <x v="2"/>
    <n v="4.93"/>
    <n v="22"/>
  </r>
  <r>
    <s v="Lucas"/>
    <n v="56"/>
    <x v="2"/>
    <x v="2"/>
    <s v="HR Specialist"/>
    <n v="1809"/>
    <n v="141230.51999999999"/>
    <d v="2015-09-12T00:00:00"/>
    <s v="555-01009"/>
    <s v="809 Main St"/>
    <s v="Dubai"/>
    <s v="DB"/>
    <x v="3"/>
    <n v="4.7300000000000004"/>
    <n v="163"/>
  </r>
  <r>
    <s v="Luciana"/>
    <n v="39"/>
    <x v="0"/>
    <x v="0"/>
    <s v="Analyst"/>
    <n v="1810"/>
    <n v="198982.61"/>
    <d v="2003-01-14T00:00:00"/>
    <s v="555-01000"/>
    <s v="810 Main St"/>
    <s v="Tokyo"/>
    <s v="TK"/>
    <x v="4"/>
    <n v="2.4500000000000002"/>
    <n v="167"/>
  </r>
  <r>
    <s v="Lucille"/>
    <n v="57"/>
    <x v="1"/>
    <x v="3"/>
    <s v="Analyst"/>
    <n v="1811"/>
    <n v="100783.52"/>
    <d v="2008-06-04T00:00:00"/>
    <s v="555-01001"/>
    <s v="811 Main St"/>
    <s v="New York"/>
    <s v="NK"/>
    <x v="0"/>
    <n v="3.75"/>
    <n v="127"/>
  </r>
  <r>
    <s v="Lucinda"/>
    <n v="29"/>
    <x v="0"/>
    <x v="1"/>
    <s v="Project Manager"/>
    <n v="1812"/>
    <n v="66625.66"/>
    <d v="2022-05-14T00:00:00"/>
    <s v="555-01002"/>
    <s v="812 Main St"/>
    <s v="Paris"/>
    <s v="PA"/>
    <x v="1"/>
    <n v="2.34"/>
    <n v="161"/>
  </r>
  <r>
    <s v="Lucia"/>
    <n v="59"/>
    <x v="0"/>
    <x v="0"/>
    <s v="HR Specialist"/>
    <n v="1813"/>
    <n v="71166.95"/>
    <d v="2015-10-23T00:00:00"/>
    <s v="555-01003"/>
    <s v="813 Main St"/>
    <s v="London"/>
    <s v="LN"/>
    <x v="2"/>
    <n v="2.65"/>
    <n v="23"/>
  </r>
  <r>
    <s v="Lucius"/>
    <n v="26"/>
    <x v="0"/>
    <x v="0"/>
    <s v="Software Engineer"/>
    <n v="1814"/>
    <n v="171161.69"/>
    <d v="2003-11-15T00:00:00"/>
    <s v="555-01004"/>
    <s v="814 Main St"/>
    <s v="Dubai"/>
    <s v="DB"/>
    <x v="3"/>
    <n v="1.23"/>
    <n v="138"/>
  </r>
  <r>
    <s v="Lucky"/>
    <n v="35"/>
    <x v="1"/>
    <x v="1"/>
    <s v="Project Manager"/>
    <n v="1815"/>
    <n v="145790.29999999999"/>
    <d v="2022-09-23T00:00:00"/>
    <s v="555-01005"/>
    <s v="815 Main St"/>
    <s v="Tokyo"/>
    <s v="TK"/>
    <x v="4"/>
    <n v="1.52"/>
    <n v="16"/>
  </r>
  <r>
    <s v="Luisa"/>
    <n v="59"/>
    <x v="0"/>
    <x v="4"/>
    <s v="Sales Executive"/>
    <n v="1816"/>
    <n v="104991.42"/>
    <d v="2008-12-31T00:00:00"/>
    <s v="555-01006"/>
    <s v="816 Main St"/>
    <s v="New York"/>
    <s v="NK"/>
    <x v="0"/>
    <n v="4.07"/>
    <n v="145"/>
  </r>
  <r>
    <s v="Luke"/>
    <n v="41"/>
    <x v="2"/>
    <x v="1"/>
    <s v="Sales Executive"/>
    <n v="1817"/>
    <n v="57932.82"/>
    <d v="2006-02-20T00:00:00"/>
    <s v="555-01007"/>
    <s v="817 Main St"/>
    <s v="Paris"/>
    <s v="PA"/>
    <x v="1"/>
    <n v="4.8899999999999997"/>
    <n v="155"/>
  </r>
  <r>
    <s v="Luna"/>
    <n v="30"/>
    <x v="1"/>
    <x v="0"/>
    <s v="Analyst"/>
    <n v="1818"/>
    <n v="64660.35"/>
    <d v="2013-03-15T00:00:00"/>
    <s v="555-01008"/>
    <s v="818 Main St"/>
    <s v="London"/>
    <s v="LN"/>
    <x v="2"/>
    <n v="4.08"/>
    <n v="108"/>
  </r>
  <r>
    <s v="Luther"/>
    <n v="54"/>
    <x v="0"/>
    <x v="4"/>
    <s v="Software Engineer"/>
    <n v="1819"/>
    <n v="136928.73000000001"/>
    <d v="2011-10-14T00:00:00"/>
    <s v="555-01009"/>
    <s v="819 Main St"/>
    <s v="Dubai"/>
    <s v="DB"/>
    <x v="3"/>
    <n v="4.67"/>
    <n v="148"/>
  </r>
  <r>
    <s v="Lydia"/>
    <n v="39"/>
    <x v="0"/>
    <x v="4"/>
    <s v="Analyst"/>
    <n v="1820"/>
    <n v="135534.20000000001"/>
    <d v="2014-05-06T00:00:00"/>
    <s v="555-01000"/>
    <s v="820 Main St"/>
    <s v="Tokyo"/>
    <s v="TK"/>
    <x v="4"/>
    <n v="2.2400000000000002"/>
    <n v="1"/>
  </r>
  <r>
    <s v="Lynette"/>
    <n v="27"/>
    <x v="0"/>
    <x v="2"/>
    <s v="Sales Executive"/>
    <n v="1821"/>
    <n v="133844.43"/>
    <d v="2002-12-08T00:00:00"/>
    <s v="555-01001"/>
    <s v="821 Main St"/>
    <s v="New York"/>
    <s v="NK"/>
    <x v="0"/>
    <n v="2.5"/>
    <n v="110"/>
  </r>
  <r>
    <s v="Lynn"/>
    <n v="58"/>
    <x v="0"/>
    <x v="1"/>
    <s v="HR Specialist"/>
    <n v="1822"/>
    <n v="152259.98000000001"/>
    <d v="2006-06-28T00:00:00"/>
    <s v="555-01002"/>
    <s v="822 Main St"/>
    <s v="Paris"/>
    <s v="PA"/>
    <x v="1"/>
    <n v="1.23"/>
    <n v="158"/>
  </r>
  <r>
    <s v="Lynne"/>
    <n v="23"/>
    <x v="0"/>
    <x v="0"/>
    <s v="Project Manager"/>
    <n v="1823"/>
    <n v="178040.22"/>
    <d v="2019-04-22T00:00:00"/>
    <s v="555-01003"/>
    <s v="823 Main St"/>
    <s v="London"/>
    <s v="LN"/>
    <x v="2"/>
    <n v="1.23"/>
    <n v="3"/>
  </r>
  <r>
    <s v="Lyric"/>
    <n v="51"/>
    <x v="0"/>
    <x v="3"/>
    <s v="Software Engineer"/>
    <n v="1824"/>
    <n v="131249.35"/>
    <d v="2008-11-25T00:00:00"/>
    <s v="555-01004"/>
    <s v="824 Main St"/>
    <s v="Dubai"/>
    <s v="DB"/>
    <x v="3"/>
    <n v="4.8099999999999996"/>
    <n v="189"/>
  </r>
  <r>
    <s v="Mabel"/>
    <n v="27"/>
    <x v="2"/>
    <x v="2"/>
    <s v="Project Manager"/>
    <n v="1825"/>
    <n v="120444.94"/>
    <d v="2014-12-04T00:00:00"/>
    <s v="555-01005"/>
    <s v="825 Main St"/>
    <s v="Tokyo"/>
    <s v="TK"/>
    <x v="4"/>
    <n v="1.86"/>
    <n v="83"/>
  </r>
  <r>
    <s v="Mac"/>
    <n v="38"/>
    <x v="1"/>
    <x v="3"/>
    <s v="Project Manager"/>
    <n v="1826"/>
    <n v="183281.73"/>
    <d v="2014-04-13T00:00:00"/>
    <s v="555-01006"/>
    <s v="826 Main St"/>
    <s v="New York"/>
    <s v="NK"/>
    <x v="0"/>
    <n v="1.91"/>
    <n v="170"/>
  </r>
  <r>
    <s v="Mack"/>
    <n v="60"/>
    <x v="2"/>
    <x v="4"/>
    <s v="Analyst"/>
    <n v="1827"/>
    <n v="168358.21"/>
    <d v="2002-06-04T00:00:00"/>
    <s v="555-01007"/>
    <s v="827 Main St"/>
    <s v="Paris"/>
    <s v="PA"/>
    <x v="1"/>
    <n v="2.0699999999999998"/>
    <n v="22"/>
  </r>
  <r>
    <s v="Mackenzie"/>
    <n v="62"/>
    <x v="0"/>
    <x v="0"/>
    <s v="Sales Executive"/>
    <n v="1828"/>
    <n v="126325.16"/>
    <d v="2019-07-07T00:00:00"/>
    <s v="555-01008"/>
    <s v="828 Main St"/>
    <s v="London"/>
    <s v="LN"/>
    <x v="2"/>
    <n v="2.2400000000000002"/>
    <n v="104"/>
  </r>
  <r>
    <s v="Macy"/>
    <n v="44"/>
    <x v="0"/>
    <x v="0"/>
    <s v="Software Engineer"/>
    <n v="1829"/>
    <n v="61769.96"/>
    <d v="2003-03-16T00:00:00"/>
    <s v="555-01009"/>
    <s v="829 Main St"/>
    <s v="Dubai"/>
    <s v="DB"/>
    <x v="3"/>
    <n v="2.98"/>
    <n v="179"/>
  </r>
  <r>
    <s v="Maddie"/>
    <n v="52"/>
    <x v="0"/>
    <x v="1"/>
    <s v="Project Manager"/>
    <n v="1830"/>
    <n v="93874.52"/>
    <d v="2002-07-18T00:00:00"/>
    <s v="555-01000"/>
    <s v="830 Main St"/>
    <s v="Tokyo"/>
    <s v="TK"/>
    <x v="4"/>
    <n v="2.61"/>
    <n v="150"/>
  </r>
  <r>
    <s v="Maddox"/>
    <n v="41"/>
    <x v="2"/>
    <x v="0"/>
    <s v="Software Engineer"/>
    <n v="1831"/>
    <n v="178825.68"/>
    <d v="2017-08-28T00:00:00"/>
    <s v="555-01001"/>
    <s v="831 Main St"/>
    <s v="New York"/>
    <s v="NK"/>
    <x v="0"/>
    <n v="1.21"/>
    <n v="198"/>
  </r>
  <r>
    <s v="Madeline"/>
    <n v="26"/>
    <x v="0"/>
    <x v="0"/>
    <s v="Software Engineer"/>
    <n v="1832"/>
    <n v="142726.57999999999"/>
    <d v="2007-10-31T00:00:00"/>
    <s v="555-01002"/>
    <s v="832 Main St"/>
    <s v="Paris"/>
    <s v="PA"/>
    <x v="1"/>
    <n v="2.17"/>
    <n v="115"/>
  </r>
  <r>
    <s v="Madelyn"/>
    <n v="42"/>
    <x v="2"/>
    <x v="1"/>
    <s v="Sales Executive"/>
    <n v="1833"/>
    <n v="57824.72"/>
    <d v="2017-08-13T00:00:00"/>
    <s v="555-01003"/>
    <s v="833 Main St"/>
    <s v="London"/>
    <s v="LN"/>
    <x v="2"/>
    <n v="2.9"/>
    <n v="65"/>
  </r>
  <r>
    <s v="Madison"/>
    <n v="64"/>
    <x v="1"/>
    <x v="1"/>
    <s v="Project Manager"/>
    <n v="1834"/>
    <n v="162477.54"/>
    <d v="2013-09-04T00:00:00"/>
    <s v="555-01004"/>
    <s v="834 Main St"/>
    <s v="Dubai"/>
    <s v="DB"/>
    <x v="3"/>
    <n v="4.34"/>
    <n v="72"/>
  </r>
  <r>
    <s v="Mae"/>
    <n v="32"/>
    <x v="2"/>
    <x v="0"/>
    <s v="Software Engineer"/>
    <n v="1835"/>
    <n v="120237.87"/>
    <d v="2002-04-20T00:00:00"/>
    <s v="555-01005"/>
    <s v="835 Main St"/>
    <s v="Tokyo"/>
    <s v="TK"/>
    <x v="4"/>
    <n v="4.91"/>
    <n v="74"/>
  </r>
  <r>
    <s v="Maeve"/>
    <n v="25"/>
    <x v="2"/>
    <x v="0"/>
    <s v="Software Engineer"/>
    <n v="1836"/>
    <n v="52055.09"/>
    <d v="2013-11-05T00:00:00"/>
    <s v="555-01006"/>
    <s v="836 Main St"/>
    <s v="New York"/>
    <s v="NK"/>
    <x v="0"/>
    <n v="1.52"/>
    <n v="84"/>
  </r>
  <r>
    <s v="Maggie"/>
    <n v="44"/>
    <x v="1"/>
    <x v="2"/>
    <s v="Project Manager"/>
    <n v="1837"/>
    <n v="148144.89000000001"/>
    <d v="2013-07-14T00:00:00"/>
    <s v="555-01007"/>
    <s v="837 Main St"/>
    <s v="Paris"/>
    <s v="PA"/>
    <x v="1"/>
    <n v="2.23"/>
    <n v="179"/>
  </r>
  <r>
    <s v="Magnolia"/>
    <n v="59"/>
    <x v="0"/>
    <x v="3"/>
    <s v="Project Manager"/>
    <n v="1838"/>
    <n v="77894.19"/>
    <d v="2021-03-05T00:00:00"/>
    <s v="555-01008"/>
    <s v="838 Main St"/>
    <s v="London"/>
    <s v="LN"/>
    <x v="2"/>
    <n v="1.17"/>
    <n v="125"/>
  </r>
  <r>
    <s v="Mahmoud"/>
    <n v="51"/>
    <x v="2"/>
    <x v="2"/>
    <s v="Project Manager"/>
    <n v="1839"/>
    <n v="63343.78"/>
    <d v="2008-05-25T00:00:00"/>
    <s v="555-01009"/>
    <s v="839 Main St"/>
    <s v="Dubai"/>
    <s v="DB"/>
    <x v="3"/>
    <n v="1.7"/>
    <n v="136"/>
  </r>
  <r>
    <s v="Mai"/>
    <n v="63"/>
    <x v="1"/>
    <x v="2"/>
    <s v="Analyst"/>
    <n v="1840"/>
    <n v="89498.75"/>
    <d v="2003-08-18T00:00:00"/>
    <s v="555-01000"/>
    <s v="840 Main St"/>
    <s v="Tokyo"/>
    <s v="TK"/>
    <x v="4"/>
    <n v="3.88"/>
    <n v="185"/>
  </r>
  <r>
    <s v="Maisie"/>
    <n v="62"/>
    <x v="2"/>
    <x v="4"/>
    <s v="Project Manager"/>
    <n v="1841"/>
    <n v="84517.759999999995"/>
    <d v="2008-07-21T00:00:00"/>
    <s v="555-01001"/>
    <s v="841 Main St"/>
    <s v="New York"/>
    <s v="NK"/>
    <x v="0"/>
    <n v="4.29"/>
    <n v="151"/>
  </r>
  <r>
    <s v="Major"/>
    <n v="39"/>
    <x v="2"/>
    <x v="0"/>
    <s v="Sales Executive"/>
    <n v="1842"/>
    <n v="159450.92000000001"/>
    <d v="2021-05-15T00:00:00"/>
    <s v="555-01002"/>
    <s v="842 Main St"/>
    <s v="Paris"/>
    <s v="PA"/>
    <x v="1"/>
    <n v="1.3"/>
    <n v="73"/>
  </r>
  <r>
    <s v="Makayla"/>
    <n v="62"/>
    <x v="1"/>
    <x v="2"/>
    <s v="Software Engineer"/>
    <n v="1843"/>
    <n v="177201.14"/>
    <d v="2008-05-21T00:00:00"/>
    <s v="555-01003"/>
    <s v="843 Main St"/>
    <s v="London"/>
    <s v="LN"/>
    <x v="2"/>
    <n v="3.94"/>
    <n v="65"/>
  </r>
  <r>
    <s v="Malcolm"/>
    <n v="64"/>
    <x v="2"/>
    <x v="0"/>
    <s v="Analyst"/>
    <n v="1844"/>
    <n v="130090.45"/>
    <d v="2007-08-24T00:00:00"/>
    <s v="555-01004"/>
    <s v="844 Main St"/>
    <s v="Dubai"/>
    <s v="DB"/>
    <x v="3"/>
    <n v="2.68"/>
    <n v="150"/>
  </r>
  <r>
    <s v="Mallory"/>
    <n v="52"/>
    <x v="1"/>
    <x v="2"/>
    <s v="Project Manager"/>
    <n v="1845"/>
    <n v="100934.97"/>
    <d v="2001-01-31T00:00:00"/>
    <s v="555-01005"/>
    <s v="845 Main St"/>
    <s v="Tokyo"/>
    <s v="TK"/>
    <x v="4"/>
    <n v="2.59"/>
    <n v="49"/>
  </r>
  <r>
    <s v="Mandy"/>
    <n v="51"/>
    <x v="2"/>
    <x v="4"/>
    <s v="HR Specialist"/>
    <n v="1846"/>
    <n v="163114.59"/>
    <d v="2017-12-03T00:00:00"/>
    <s v="555-01006"/>
    <s v="846 Main St"/>
    <s v="New York"/>
    <s v="NK"/>
    <x v="0"/>
    <n v="4.95"/>
    <n v="77"/>
  </r>
  <r>
    <s v="Manuel"/>
    <n v="55"/>
    <x v="0"/>
    <x v="0"/>
    <s v="Analyst"/>
    <n v="1847"/>
    <n v="164303.79999999999"/>
    <d v="2010-10-06T00:00:00"/>
    <s v="555-01007"/>
    <s v="847 Main St"/>
    <s v="Paris"/>
    <s v="PA"/>
    <x v="1"/>
    <n v="2.4700000000000002"/>
    <n v="148"/>
  </r>
  <r>
    <s v="Marc"/>
    <n v="52"/>
    <x v="1"/>
    <x v="3"/>
    <s v="Analyst"/>
    <n v="1848"/>
    <n v="91866.87"/>
    <d v="2020-12-04T00:00:00"/>
    <s v="555-01008"/>
    <s v="848 Main St"/>
    <s v="London"/>
    <s v="LN"/>
    <x v="2"/>
    <n v="1.4"/>
    <n v="152"/>
  </r>
  <r>
    <s v="Marcel"/>
    <n v="59"/>
    <x v="0"/>
    <x v="4"/>
    <s v="Analyst"/>
    <n v="1849"/>
    <n v="55525.42"/>
    <d v="2019-09-07T00:00:00"/>
    <s v="555-01009"/>
    <s v="849 Main St"/>
    <s v="Dubai"/>
    <s v="DB"/>
    <x v="3"/>
    <n v="1.75"/>
    <n v="51"/>
  </r>
  <r>
    <s v="Marcia"/>
    <n v="46"/>
    <x v="2"/>
    <x v="1"/>
    <s v="Analyst"/>
    <n v="1850"/>
    <n v="178265.86"/>
    <d v="2000-05-24T00:00:00"/>
    <s v="555-01000"/>
    <s v="850 Main St"/>
    <s v="Tokyo"/>
    <s v="TK"/>
    <x v="4"/>
    <n v="3.51"/>
    <n v="117"/>
  </r>
  <r>
    <s v="Marco"/>
    <n v="38"/>
    <x v="0"/>
    <x v="3"/>
    <s v="Software Engineer"/>
    <n v="1851"/>
    <n v="62914.79"/>
    <d v="2015-11-16T00:00:00"/>
    <s v="555-01001"/>
    <s v="851 Main St"/>
    <s v="New York"/>
    <s v="NK"/>
    <x v="0"/>
    <n v="3.94"/>
    <n v="98"/>
  </r>
  <r>
    <s v="Marcus"/>
    <n v="57"/>
    <x v="1"/>
    <x v="2"/>
    <s v="Software Engineer"/>
    <n v="1852"/>
    <n v="116353.74"/>
    <d v="2003-05-05T00:00:00"/>
    <s v="555-01002"/>
    <s v="852 Main St"/>
    <s v="Paris"/>
    <s v="PA"/>
    <x v="1"/>
    <n v="3.46"/>
    <n v="109"/>
  </r>
  <r>
    <s v="Marcy"/>
    <n v="61"/>
    <x v="2"/>
    <x v="0"/>
    <s v="Analyst"/>
    <n v="1853"/>
    <n v="114631.21"/>
    <d v="2021-10-16T00:00:00"/>
    <s v="555-01003"/>
    <s v="853 Main St"/>
    <s v="London"/>
    <s v="LN"/>
    <x v="2"/>
    <n v="4.0199999999999996"/>
    <n v="95"/>
  </r>
  <r>
    <s v="Margaret"/>
    <n v="51"/>
    <x v="1"/>
    <x v="0"/>
    <s v="HR Specialist"/>
    <n v="1854"/>
    <n v="106970.71"/>
    <d v="2002-06-30T00:00:00"/>
    <s v="555-01004"/>
    <s v="854 Main St"/>
    <s v="Dubai"/>
    <s v="DB"/>
    <x v="3"/>
    <n v="3.01"/>
    <n v="141"/>
  </r>
  <r>
    <s v="Margarita"/>
    <n v="23"/>
    <x v="2"/>
    <x v="3"/>
    <s v="Project Manager"/>
    <n v="1855"/>
    <n v="105845.15"/>
    <d v="2000-04-18T00:00:00"/>
    <s v="555-01005"/>
    <s v="855 Main St"/>
    <s v="Tokyo"/>
    <s v="TK"/>
    <x v="4"/>
    <n v="3.54"/>
    <n v="36"/>
  </r>
  <r>
    <s v="Margo"/>
    <n v="45"/>
    <x v="0"/>
    <x v="1"/>
    <s v="Analyst"/>
    <n v="1856"/>
    <n v="171312.66"/>
    <d v="2006-11-12T00:00:00"/>
    <s v="555-01006"/>
    <s v="856 Main St"/>
    <s v="New York"/>
    <s v="NK"/>
    <x v="0"/>
    <n v="1.01"/>
    <n v="48"/>
  </r>
  <r>
    <s v="Margot"/>
    <n v="30"/>
    <x v="0"/>
    <x v="0"/>
    <s v="Analyst"/>
    <n v="1857"/>
    <n v="58341.03"/>
    <d v="2016-06-17T00:00:00"/>
    <s v="555-01007"/>
    <s v="857 Main St"/>
    <s v="Paris"/>
    <s v="PA"/>
    <x v="1"/>
    <n v="1.1000000000000001"/>
    <n v="161"/>
  </r>
  <r>
    <s v="Maria"/>
    <n v="22"/>
    <x v="1"/>
    <x v="1"/>
    <s v="Project Manager"/>
    <n v="1858"/>
    <n v="176387.28"/>
    <d v="2004-12-30T00:00:00"/>
    <s v="555-01008"/>
    <s v="858 Main St"/>
    <s v="London"/>
    <s v="LN"/>
    <x v="2"/>
    <n v="2.34"/>
    <n v="111"/>
  </r>
  <r>
    <s v="Marian"/>
    <n v="45"/>
    <x v="1"/>
    <x v="1"/>
    <s v="Software Engineer"/>
    <n v="1859"/>
    <n v="181097.3"/>
    <d v="2015-02-16T00:00:00"/>
    <s v="555-01009"/>
    <s v="859 Main St"/>
    <s v="Dubai"/>
    <s v="DB"/>
    <x v="3"/>
    <n v="2.0699999999999998"/>
    <n v="158"/>
  </r>
  <r>
    <s v="Mariana"/>
    <n v="59"/>
    <x v="2"/>
    <x v="4"/>
    <s v="Analyst"/>
    <n v="1860"/>
    <n v="163590.92000000001"/>
    <d v="2012-02-17T00:00:00"/>
    <s v="555-01000"/>
    <s v="860 Main St"/>
    <s v="Tokyo"/>
    <s v="TK"/>
    <x v="4"/>
    <n v="2.65"/>
    <n v="158"/>
  </r>
  <r>
    <s v="Maribel"/>
    <n v="48"/>
    <x v="1"/>
    <x v="3"/>
    <s v="Analyst"/>
    <n v="1861"/>
    <n v="145321.82999999999"/>
    <d v="2020-11-24T00:00:00"/>
    <s v="555-01001"/>
    <s v="861 Main St"/>
    <s v="New York"/>
    <s v="NK"/>
    <x v="0"/>
    <n v="3.08"/>
    <n v="37"/>
  </r>
  <r>
    <s v="Marie"/>
    <n v="47"/>
    <x v="1"/>
    <x v="3"/>
    <s v="Analyst"/>
    <n v="1862"/>
    <n v="156035.82"/>
    <d v="2011-11-03T00:00:00"/>
    <s v="555-01002"/>
    <s v="862 Main St"/>
    <s v="Paris"/>
    <s v="PA"/>
    <x v="1"/>
    <n v="1.76"/>
    <n v="43"/>
  </r>
  <r>
    <s v="Mariel"/>
    <n v="47"/>
    <x v="0"/>
    <x v="3"/>
    <s v="Analyst"/>
    <n v="1863"/>
    <n v="150672.26999999999"/>
    <d v="2018-03-04T00:00:00"/>
    <s v="555-01003"/>
    <s v="863 Main St"/>
    <s v="London"/>
    <s v="LN"/>
    <x v="2"/>
    <n v="4.5199999999999996"/>
    <n v="185"/>
  </r>
  <r>
    <s v="Marigold"/>
    <n v="28"/>
    <x v="1"/>
    <x v="2"/>
    <s v="Project Manager"/>
    <n v="1864"/>
    <n v="154618.39000000001"/>
    <d v="2004-06-30T00:00:00"/>
    <s v="555-01004"/>
    <s v="864 Main St"/>
    <s v="Dubai"/>
    <s v="DB"/>
    <x v="3"/>
    <n v="2.76"/>
    <n v="181"/>
  </r>
  <r>
    <s v="Marilyn"/>
    <n v="46"/>
    <x v="1"/>
    <x v="3"/>
    <s v="Software Engineer"/>
    <n v="1865"/>
    <n v="134842.67000000001"/>
    <d v="2001-04-30T00:00:00"/>
    <s v="555-01005"/>
    <s v="865 Main St"/>
    <s v="Tokyo"/>
    <s v="TK"/>
    <x v="4"/>
    <n v="2.96"/>
    <n v="30"/>
  </r>
  <r>
    <s v="Marina"/>
    <n v="37"/>
    <x v="2"/>
    <x v="0"/>
    <s v="HR Specialist"/>
    <n v="1866"/>
    <n v="99548.75"/>
    <d v="2020-05-28T00:00:00"/>
    <s v="555-01006"/>
    <s v="866 Main St"/>
    <s v="New York"/>
    <s v="NK"/>
    <x v="0"/>
    <n v="1.35"/>
    <n v="179"/>
  </r>
  <r>
    <s v="Mario"/>
    <n v="59"/>
    <x v="0"/>
    <x v="0"/>
    <s v="Project Manager"/>
    <n v="1867"/>
    <n v="196144.01"/>
    <d v="2006-12-05T00:00:00"/>
    <s v="555-01007"/>
    <s v="867 Main St"/>
    <s v="Paris"/>
    <s v="PA"/>
    <x v="1"/>
    <n v="1.99"/>
    <n v="71"/>
  </r>
  <r>
    <s v="Marisa"/>
    <n v="63"/>
    <x v="0"/>
    <x v="3"/>
    <s v="HR Specialist"/>
    <n v="1868"/>
    <n v="138349.20000000001"/>
    <d v="2005-10-16T00:00:00"/>
    <s v="555-01008"/>
    <s v="868 Main St"/>
    <s v="London"/>
    <s v="LN"/>
    <x v="2"/>
    <n v="4.17"/>
    <n v="85"/>
  </r>
  <r>
    <s v="Marisol"/>
    <n v="39"/>
    <x v="2"/>
    <x v="0"/>
    <s v="HR Specialist"/>
    <n v="1869"/>
    <n v="92001.43"/>
    <d v="2015-10-21T00:00:00"/>
    <s v="555-01009"/>
    <s v="869 Main St"/>
    <s v="Dubai"/>
    <s v="DB"/>
    <x v="3"/>
    <n v="2.95"/>
    <n v="83"/>
  </r>
  <r>
    <s v="Marissa"/>
    <n v="38"/>
    <x v="0"/>
    <x v="4"/>
    <s v="Project Manager"/>
    <n v="1870"/>
    <n v="144647.49"/>
    <d v="2006-03-25T00:00:00"/>
    <s v="555-01000"/>
    <s v="870 Main St"/>
    <s v="Tokyo"/>
    <s v="TK"/>
    <x v="4"/>
    <n v="2.0299999999999998"/>
    <n v="68"/>
  </r>
  <r>
    <s v="Marjorie"/>
    <n v="27"/>
    <x v="2"/>
    <x v="2"/>
    <s v="Software Engineer"/>
    <n v="1871"/>
    <n v="159695.98000000001"/>
    <d v="2009-12-01T00:00:00"/>
    <s v="555-01001"/>
    <s v="871 Main St"/>
    <s v="New York"/>
    <s v="NK"/>
    <x v="0"/>
    <n v="1.34"/>
    <n v="74"/>
  </r>
  <r>
    <s v="Mark"/>
    <n v="41"/>
    <x v="2"/>
    <x v="2"/>
    <s v="Software Engineer"/>
    <n v="1872"/>
    <n v="187138.26"/>
    <d v="2012-03-28T00:00:00"/>
    <s v="555-01002"/>
    <s v="872 Main St"/>
    <s v="Paris"/>
    <s v="PA"/>
    <x v="1"/>
    <n v="4.32"/>
    <n v="76"/>
  </r>
  <r>
    <s v="Marla"/>
    <n v="44"/>
    <x v="1"/>
    <x v="1"/>
    <s v="Software Engineer"/>
    <n v="1873"/>
    <n v="171734.08"/>
    <d v="2013-06-09T00:00:00"/>
    <s v="555-01003"/>
    <s v="873 Main St"/>
    <s v="London"/>
    <s v="LN"/>
    <x v="2"/>
    <n v="4.26"/>
    <n v="188"/>
  </r>
  <r>
    <s v="Marlene"/>
    <n v="33"/>
    <x v="1"/>
    <x v="1"/>
    <s v="Project Manager"/>
    <n v="1874"/>
    <n v="142592.78"/>
    <d v="2000-07-29T00:00:00"/>
    <s v="555-01004"/>
    <s v="874 Main St"/>
    <s v="Dubai"/>
    <s v="DB"/>
    <x v="3"/>
    <n v="2.63"/>
    <n v="107"/>
  </r>
  <r>
    <s v="Marlin"/>
    <n v="33"/>
    <x v="2"/>
    <x v="2"/>
    <s v="Project Manager"/>
    <n v="1875"/>
    <n v="182155.17"/>
    <d v="2022-08-26T00:00:00"/>
    <s v="555-01005"/>
    <s v="875 Main St"/>
    <s v="Tokyo"/>
    <s v="TK"/>
    <x v="4"/>
    <n v="1.71"/>
    <n v="13"/>
  </r>
  <r>
    <s v="Marley"/>
    <n v="55"/>
    <x v="1"/>
    <x v="3"/>
    <s v="Sales Executive"/>
    <n v="1876"/>
    <n v="148784.79"/>
    <d v="2008-02-25T00:00:00"/>
    <s v="555-01006"/>
    <s v="876 Main St"/>
    <s v="New York"/>
    <s v="NK"/>
    <x v="0"/>
    <n v="2.81"/>
    <n v="120"/>
  </r>
  <r>
    <s v="Marlo"/>
    <n v="29"/>
    <x v="1"/>
    <x v="3"/>
    <s v="Project Manager"/>
    <n v="1877"/>
    <n v="71435.12"/>
    <d v="2010-06-14T00:00:00"/>
    <s v="555-01007"/>
    <s v="877 Main St"/>
    <s v="Paris"/>
    <s v="PA"/>
    <x v="1"/>
    <n v="2.15"/>
    <n v="56"/>
  </r>
  <r>
    <s v="Marlon"/>
    <n v="48"/>
    <x v="0"/>
    <x v="4"/>
    <s v="Sales Executive"/>
    <n v="1878"/>
    <n v="95157.73"/>
    <d v="2008-07-26T00:00:00"/>
    <s v="555-01008"/>
    <s v="878 Main St"/>
    <s v="London"/>
    <s v="LN"/>
    <x v="2"/>
    <n v="3.04"/>
    <n v="42"/>
  </r>
  <r>
    <s v="Marsha"/>
    <n v="29"/>
    <x v="0"/>
    <x v="2"/>
    <s v="HR Specialist"/>
    <n v="1879"/>
    <n v="72172.27"/>
    <d v="2017-03-16T00:00:00"/>
    <s v="555-01009"/>
    <s v="879 Main St"/>
    <s v="Dubai"/>
    <s v="DB"/>
    <x v="3"/>
    <n v="2.68"/>
    <n v="51"/>
  </r>
  <r>
    <s v="Martha"/>
    <n v="54"/>
    <x v="1"/>
    <x v="0"/>
    <s v="Project Manager"/>
    <n v="1880"/>
    <n v="65759.850000000006"/>
    <d v="2000-07-24T00:00:00"/>
    <s v="555-01000"/>
    <s v="880 Main St"/>
    <s v="Tokyo"/>
    <s v="TK"/>
    <x v="4"/>
    <n v="3.2"/>
    <n v="120"/>
  </r>
  <r>
    <s v="Martin"/>
    <n v="58"/>
    <x v="2"/>
    <x v="0"/>
    <s v="Sales Executive"/>
    <n v="1881"/>
    <n v="140162.28"/>
    <d v="2005-08-12T00:00:00"/>
    <s v="555-01001"/>
    <s v="881 Main St"/>
    <s v="New York"/>
    <s v="NK"/>
    <x v="0"/>
    <n v="3.58"/>
    <n v="155"/>
  </r>
  <r>
    <s v="Martina"/>
    <n v="40"/>
    <x v="2"/>
    <x v="1"/>
    <s v="Software Engineer"/>
    <n v="1882"/>
    <n v="78631.05"/>
    <d v="2011-06-19T00:00:00"/>
    <s v="555-01002"/>
    <s v="882 Main St"/>
    <s v="Paris"/>
    <s v="PA"/>
    <x v="1"/>
    <n v="2.0099999999999998"/>
    <n v="91"/>
  </r>
  <r>
    <s v="Marty"/>
    <n v="45"/>
    <x v="1"/>
    <x v="2"/>
    <s v="HR Specialist"/>
    <n v="1883"/>
    <n v="188938.2"/>
    <d v="2008-12-08T00:00:00"/>
    <s v="555-01003"/>
    <s v="883 Main St"/>
    <s v="London"/>
    <s v="LN"/>
    <x v="2"/>
    <n v="2.74"/>
    <n v="138"/>
  </r>
  <r>
    <s v="Marvin"/>
    <n v="43"/>
    <x v="1"/>
    <x v="1"/>
    <s v="Project Manager"/>
    <n v="1884"/>
    <n v="137858.46"/>
    <d v="2018-11-10T00:00:00"/>
    <s v="555-01004"/>
    <s v="884 Main St"/>
    <s v="Dubai"/>
    <s v="DB"/>
    <x v="3"/>
    <n v="3.17"/>
    <n v="132"/>
  </r>
  <r>
    <s v="Mary"/>
    <n v="24"/>
    <x v="2"/>
    <x v="4"/>
    <s v="Analyst"/>
    <n v="1885"/>
    <n v="88089.32"/>
    <d v="2009-01-19T00:00:00"/>
    <s v="555-01005"/>
    <s v="885 Main St"/>
    <s v="Tokyo"/>
    <s v="TK"/>
    <x v="4"/>
    <n v="1.62"/>
    <n v="145"/>
  </r>
  <r>
    <s v="Maryann"/>
    <n v="30"/>
    <x v="0"/>
    <x v="1"/>
    <s v="HR Specialist"/>
    <n v="1886"/>
    <n v="133587.35999999999"/>
    <d v="2014-01-28T00:00:00"/>
    <s v="555-01006"/>
    <s v="886 Main St"/>
    <s v="New York"/>
    <s v="NK"/>
    <x v="0"/>
    <n v="2.77"/>
    <n v="194"/>
  </r>
  <r>
    <s v="Mat"/>
    <n v="32"/>
    <x v="0"/>
    <x v="4"/>
    <s v="HR Specialist"/>
    <n v="1887"/>
    <n v="156218.07999999999"/>
    <d v="2001-01-08T00:00:00"/>
    <s v="555-01007"/>
    <s v="887 Main St"/>
    <s v="Paris"/>
    <s v="PA"/>
    <x v="1"/>
    <n v="2.2999999999999998"/>
    <n v="110"/>
  </r>
  <r>
    <s v="Mateo"/>
    <n v="27"/>
    <x v="2"/>
    <x v="2"/>
    <s v="Sales Executive"/>
    <n v="1888"/>
    <n v="120260.5"/>
    <d v="2009-11-16T00:00:00"/>
    <s v="555-01008"/>
    <s v="888 Main St"/>
    <s v="London"/>
    <s v="LN"/>
    <x v="2"/>
    <n v="4.03"/>
    <n v="170"/>
  </r>
  <r>
    <s v="Mathew"/>
    <n v="60"/>
    <x v="1"/>
    <x v="4"/>
    <s v="Project Manager"/>
    <n v="1889"/>
    <n v="185773.04"/>
    <d v="2014-03-29T00:00:00"/>
    <s v="555-01009"/>
    <s v="889 Main St"/>
    <s v="Dubai"/>
    <s v="DB"/>
    <x v="3"/>
    <n v="2.4700000000000002"/>
    <n v="161"/>
  </r>
  <r>
    <s v="Mathilda"/>
    <n v="60"/>
    <x v="0"/>
    <x v="1"/>
    <s v="Sales Executive"/>
    <n v="1890"/>
    <n v="135617.43"/>
    <d v="2021-06-16T00:00:00"/>
    <s v="555-01000"/>
    <s v="890 Main St"/>
    <s v="Tokyo"/>
    <s v="TK"/>
    <x v="4"/>
    <n v="1.79"/>
    <n v="186"/>
  </r>
  <r>
    <s v="Mathilde"/>
    <n v="58"/>
    <x v="2"/>
    <x v="2"/>
    <s v="HR Specialist"/>
    <n v="1891"/>
    <n v="134543.37"/>
    <d v="2013-03-27T00:00:00"/>
    <s v="555-01001"/>
    <s v="891 Main St"/>
    <s v="New York"/>
    <s v="NK"/>
    <x v="0"/>
    <n v="1.87"/>
    <n v="173"/>
  </r>
  <r>
    <s v="Matilda"/>
    <n v="23"/>
    <x v="1"/>
    <x v="1"/>
    <s v="Software Engineer"/>
    <n v="1892"/>
    <n v="81548.740000000005"/>
    <d v="2006-01-12T00:00:00"/>
    <s v="555-01002"/>
    <s v="892 Main St"/>
    <s v="Paris"/>
    <s v="PA"/>
    <x v="1"/>
    <n v="2.57"/>
    <n v="116"/>
  </r>
  <r>
    <s v="Matt"/>
    <n v="58"/>
    <x v="1"/>
    <x v="0"/>
    <s v="Project Manager"/>
    <n v="1893"/>
    <n v="63105.98"/>
    <d v="2004-08-29T00:00:00"/>
    <s v="555-01003"/>
    <s v="893 Main St"/>
    <s v="London"/>
    <s v="LN"/>
    <x v="2"/>
    <n v="3.1"/>
    <n v="87"/>
  </r>
  <r>
    <s v="Matthew"/>
    <n v="27"/>
    <x v="0"/>
    <x v="3"/>
    <s v="Project Manager"/>
    <n v="1894"/>
    <n v="165066.71"/>
    <d v="2020-04-19T00:00:00"/>
    <s v="555-01004"/>
    <s v="894 Main St"/>
    <s v="Dubai"/>
    <s v="DB"/>
    <x v="3"/>
    <n v="3.06"/>
    <n v="185"/>
  </r>
  <r>
    <s v="Mattie"/>
    <n v="27"/>
    <x v="1"/>
    <x v="4"/>
    <s v="Project Manager"/>
    <n v="1895"/>
    <n v="128947.09"/>
    <d v="2009-11-02T00:00:00"/>
    <s v="555-01005"/>
    <s v="895 Main St"/>
    <s v="Tokyo"/>
    <s v="TK"/>
    <x v="4"/>
    <n v="2.78"/>
    <n v="108"/>
  </r>
  <r>
    <s v="Maureen"/>
    <n v="60"/>
    <x v="2"/>
    <x v="4"/>
    <s v="Software Engineer"/>
    <n v="1896"/>
    <n v="113975.28"/>
    <d v="2013-10-08T00:00:00"/>
    <s v="555-01006"/>
    <s v="896 Main St"/>
    <s v="New York"/>
    <s v="NK"/>
    <x v="0"/>
    <n v="3.82"/>
    <n v="6"/>
  </r>
  <r>
    <s v="Maverick"/>
    <n v="57"/>
    <x v="2"/>
    <x v="3"/>
    <s v="HR Specialist"/>
    <n v="1897"/>
    <n v="167239.96"/>
    <d v="2022-05-19T00:00:00"/>
    <s v="555-01007"/>
    <s v="897 Main St"/>
    <s v="Paris"/>
    <s v="PA"/>
    <x v="1"/>
    <n v="2.64"/>
    <n v="158"/>
  </r>
  <r>
    <s v="Max"/>
    <n v="46"/>
    <x v="2"/>
    <x v="4"/>
    <s v="Analyst"/>
    <n v="1898"/>
    <n v="110217.22"/>
    <d v="2005-09-10T00:00:00"/>
    <s v="555-01008"/>
    <s v="898 Main St"/>
    <s v="London"/>
    <s v="LN"/>
    <x v="2"/>
    <n v="1.52"/>
    <n v="107"/>
  </r>
  <r>
    <s v="Maximus"/>
    <n v="37"/>
    <x v="2"/>
    <x v="4"/>
    <s v="HR Specialist"/>
    <n v="1899"/>
    <n v="138160.42000000001"/>
    <d v="2001-11-23T00:00:00"/>
    <s v="555-01009"/>
    <s v="899 Main St"/>
    <s v="Dubai"/>
    <s v="DB"/>
    <x v="3"/>
    <n v="1.58"/>
    <n v="89"/>
  </r>
  <r>
    <s v="Maxwell"/>
    <n v="42"/>
    <x v="1"/>
    <x v="0"/>
    <s v="Software Engineer"/>
    <n v="1900"/>
    <n v="67064.23"/>
    <d v="2019-09-06T00:00:00"/>
    <s v="555-01000"/>
    <s v="900 Main St"/>
    <s v="Tokyo"/>
    <s v="TK"/>
    <x v="4"/>
    <n v="3.7"/>
    <n v="146"/>
  </r>
  <r>
    <s v="May"/>
    <n v="31"/>
    <x v="2"/>
    <x v="2"/>
    <s v="Sales Executive"/>
    <n v="1901"/>
    <n v="197991.14"/>
    <d v="2020-01-08T00:00:00"/>
    <s v="555-01001"/>
    <s v="901 Main St"/>
    <s v="New York"/>
    <s v="NK"/>
    <x v="0"/>
    <n v="3.55"/>
    <n v="36"/>
  </r>
  <r>
    <s v="Maya"/>
    <n v="26"/>
    <x v="0"/>
    <x v="4"/>
    <s v="Sales Executive"/>
    <n v="1902"/>
    <n v="74654.539999999994"/>
    <d v="2000-02-16T00:00:00"/>
    <s v="555-01002"/>
    <s v="902 Main St"/>
    <s v="Paris"/>
    <s v="PA"/>
    <x v="1"/>
    <n v="3.79"/>
    <n v="44"/>
  </r>
  <r>
    <s v="Mayson"/>
    <n v="46"/>
    <x v="1"/>
    <x v="0"/>
    <s v="Analyst"/>
    <n v="1903"/>
    <n v="75358.789999999994"/>
    <d v="2000-03-24T00:00:00"/>
    <s v="555-01003"/>
    <s v="903 Main St"/>
    <s v="London"/>
    <s v="LN"/>
    <x v="2"/>
    <n v="1.79"/>
    <n v="180"/>
  </r>
  <r>
    <s v="Meagan"/>
    <n v="52"/>
    <x v="1"/>
    <x v="4"/>
    <s v="Sales Executive"/>
    <n v="1904"/>
    <n v="116063.57"/>
    <d v="2005-04-20T00:00:00"/>
    <s v="555-01004"/>
    <s v="904 Main St"/>
    <s v="Dubai"/>
    <s v="DB"/>
    <x v="3"/>
    <n v="2.7"/>
    <n v="76"/>
  </r>
  <r>
    <s v="Meadow"/>
    <n v="24"/>
    <x v="1"/>
    <x v="2"/>
    <s v="Software Engineer"/>
    <n v="1905"/>
    <n v="88789.759999999995"/>
    <d v="2002-12-29T00:00:00"/>
    <s v="555-01005"/>
    <s v="905 Main St"/>
    <s v="Tokyo"/>
    <s v="TK"/>
    <x v="4"/>
    <n v="1.78"/>
    <n v="192"/>
  </r>
  <r>
    <s v="Meg"/>
    <n v="41"/>
    <x v="2"/>
    <x v="0"/>
    <s v="Analyst"/>
    <n v="1906"/>
    <n v="144437.32"/>
    <d v="2021-10-11T00:00:00"/>
    <s v="555-01006"/>
    <s v="906 Main St"/>
    <s v="New York"/>
    <s v="NK"/>
    <x v="0"/>
    <n v="2.23"/>
    <n v="185"/>
  </r>
  <r>
    <s v="Megan"/>
    <n v="25"/>
    <x v="1"/>
    <x v="4"/>
    <s v="Software Engineer"/>
    <n v="1907"/>
    <n v="51943.85"/>
    <d v="2001-07-23T00:00:00"/>
    <s v="555-01007"/>
    <s v="907 Main St"/>
    <s v="Paris"/>
    <s v="PA"/>
    <x v="1"/>
    <n v="1.93"/>
    <n v="148"/>
  </r>
  <r>
    <s v="Melanie"/>
    <n v="35"/>
    <x v="2"/>
    <x v="0"/>
    <s v="Project Manager"/>
    <n v="1908"/>
    <n v="129375.61"/>
    <d v="2010-01-06T00:00:00"/>
    <s v="555-01008"/>
    <s v="908 Main St"/>
    <s v="London"/>
    <s v="LN"/>
    <x v="2"/>
    <n v="1.1200000000000001"/>
    <n v="95"/>
  </r>
  <r>
    <s v="Melinda"/>
    <n v="33"/>
    <x v="2"/>
    <x v="3"/>
    <s v="Sales Executive"/>
    <n v="1909"/>
    <n v="172244.81"/>
    <d v="2010-09-15T00:00:00"/>
    <s v="555-01009"/>
    <s v="909 Main St"/>
    <s v="Dubai"/>
    <s v="DB"/>
    <x v="3"/>
    <n v="2.93"/>
    <n v="149"/>
  </r>
  <r>
    <s v="Melissa"/>
    <n v="35"/>
    <x v="1"/>
    <x v="4"/>
    <s v="Project Manager"/>
    <n v="1910"/>
    <n v="192453.8"/>
    <d v="2017-08-17T00:00:00"/>
    <s v="555-01000"/>
    <s v="910 Main St"/>
    <s v="Tokyo"/>
    <s v="TK"/>
    <x v="4"/>
    <n v="2.92"/>
    <n v="168"/>
  </r>
  <r>
    <s v="Melody"/>
    <n v="58"/>
    <x v="1"/>
    <x v="1"/>
    <s v="HR Specialist"/>
    <n v="1911"/>
    <n v="160984.26999999999"/>
    <d v="2004-07-17T00:00:00"/>
    <s v="555-01001"/>
    <s v="911 Main St"/>
    <s v="New York"/>
    <s v="NK"/>
    <x v="0"/>
    <n v="2.5499999999999998"/>
    <n v="145"/>
  </r>
  <r>
    <s v="Melvin"/>
    <n v="39"/>
    <x v="2"/>
    <x v="2"/>
    <s v="Project Manager"/>
    <n v="1912"/>
    <n v="78085.679999999993"/>
    <d v="2008-09-07T00:00:00"/>
    <s v="555-01002"/>
    <s v="912 Main St"/>
    <s v="Paris"/>
    <s v="PA"/>
    <x v="1"/>
    <n v="1.39"/>
    <n v="37"/>
  </r>
  <r>
    <s v="Mercedes"/>
    <n v="48"/>
    <x v="1"/>
    <x v="4"/>
    <s v="Sales Executive"/>
    <n v="1913"/>
    <n v="150329.75"/>
    <d v="2016-02-19T00:00:00"/>
    <s v="555-01003"/>
    <s v="913 Main St"/>
    <s v="London"/>
    <s v="LN"/>
    <x v="2"/>
    <n v="2.87"/>
    <n v="86"/>
  </r>
  <r>
    <s v="Meredith"/>
    <n v="28"/>
    <x v="1"/>
    <x v="4"/>
    <s v="HR Specialist"/>
    <n v="1914"/>
    <n v="151829.70000000001"/>
    <d v="2013-04-10T00:00:00"/>
    <s v="555-01004"/>
    <s v="914 Main St"/>
    <s v="Dubai"/>
    <s v="DB"/>
    <x v="3"/>
    <n v="3.29"/>
    <n v="127"/>
  </r>
  <r>
    <s v="Merlin"/>
    <n v="56"/>
    <x v="2"/>
    <x v="1"/>
    <s v="Sales Executive"/>
    <n v="1915"/>
    <n v="123716.51"/>
    <d v="2017-10-01T00:00:00"/>
    <s v="555-01005"/>
    <s v="915 Main St"/>
    <s v="Tokyo"/>
    <s v="TK"/>
    <x v="4"/>
    <n v="2.12"/>
    <n v="171"/>
  </r>
  <r>
    <s v="Meryl"/>
    <n v="43"/>
    <x v="2"/>
    <x v="0"/>
    <s v="Sales Executive"/>
    <n v="1916"/>
    <n v="164482.20000000001"/>
    <d v="2004-03-10T00:00:00"/>
    <s v="555-01006"/>
    <s v="916 Main St"/>
    <s v="New York"/>
    <s v="NK"/>
    <x v="0"/>
    <n v="4.8499999999999996"/>
    <n v="65"/>
  </r>
  <r>
    <s v="Micah"/>
    <n v="42"/>
    <x v="1"/>
    <x v="2"/>
    <s v="Sales Executive"/>
    <n v="1917"/>
    <n v="166000.63"/>
    <d v="2015-05-08T00:00:00"/>
    <s v="555-01007"/>
    <s v="917 Main St"/>
    <s v="Paris"/>
    <s v="PA"/>
    <x v="1"/>
    <n v="2.37"/>
    <n v="83"/>
  </r>
  <r>
    <s v="Michael"/>
    <n v="64"/>
    <x v="2"/>
    <x v="1"/>
    <s v="Software Engineer"/>
    <n v="1918"/>
    <n v="155768.04999999999"/>
    <d v="2020-03-27T00:00:00"/>
    <s v="555-01008"/>
    <s v="918 Main St"/>
    <s v="London"/>
    <s v="LN"/>
    <x v="2"/>
    <n v="1.47"/>
    <n v="20"/>
  </r>
  <r>
    <s v="Michaela"/>
    <n v="39"/>
    <x v="2"/>
    <x v="2"/>
    <s v="Sales Executive"/>
    <n v="1919"/>
    <n v="88581.45"/>
    <d v="2008-08-15T00:00:00"/>
    <s v="555-01009"/>
    <s v="919 Main St"/>
    <s v="Dubai"/>
    <s v="DB"/>
    <x v="3"/>
    <n v="1.84"/>
    <n v="187"/>
  </r>
  <r>
    <s v="Michele"/>
    <n v="59"/>
    <x v="0"/>
    <x v="4"/>
    <s v="HR Specialist"/>
    <n v="1920"/>
    <n v="188972.29"/>
    <d v="2002-02-20T00:00:00"/>
    <s v="555-01000"/>
    <s v="920 Main St"/>
    <s v="Tokyo"/>
    <s v="TK"/>
    <x v="4"/>
    <n v="4.63"/>
    <n v="13"/>
  </r>
  <r>
    <s v="Michelle"/>
    <n v="47"/>
    <x v="1"/>
    <x v="2"/>
    <s v="HR Specialist"/>
    <n v="1921"/>
    <n v="56917.11"/>
    <d v="2009-12-27T00:00:00"/>
    <s v="555-01001"/>
    <s v="921 Main St"/>
    <s v="New York"/>
    <s v="NK"/>
    <x v="0"/>
    <n v="3.04"/>
    <n v="94"/>
  </r>
  <r>
    <s v="Mick"/>
    <n v="43"/>
    <x v="1"/>
    <x v="0"/>
    <s v="Analyst"/>
    <n v="1922"/>
    <n v="195655.31"/>
    <d v="2016-04-30T00:00:00"/>
    <s v="555-01002"/>
    <s v="922 Main St"/>
    <s v="Paris"/>
    <s v="PA"/>
    <x v="1"/>
    <n v="4.99"/>
    <n v="129"/>
  </r>
  <r>
    <s v="Mickey"/>
    <n v="58"/>
    <x v="1"/>
    <x v="3"/>
    <s v="Sales Executive"/>
    <n v="1923"/>
    <n v="129769.32"/>
    <d v="2003-05-10T00:00:00"/>
    <s v="555-01003"/>
    <s v="923 Main St"/>
    <s v="London"/>
    <s v="LN"/>
    <x v="2"/>
    <n v="4.92"/>
    <n v="199"/>
  </r>
  <r>
    <s v="Miguel"/>
    <n v="26"/>
    <x v="1"/>
    <x v="2"/>
    <s v="Software Engineer"/>
    <n v="1924"/>
    <n v="147907.04"/>
    <d v="2019-11-16T00:00:00"/>
    <s v="555-01004"/>
    <s v="924 Main St"/>
    <s v="Dubai"/>
    <s v="DB"/>
    <x v="3"/>
    <n v="3.01"/>
    <n v="107"/>
  </r>
  <r>
    <s v="Mika"/>
    <n v="56"/>
    <x v="1"/>
    <x v="3"/>
    <s v="Sales Executive"/>
    <n v="1925"/>
    <n v="174755.69"/>
    <d v="2020-12-27T00:00:00"/>
    <s v="555-01005"/>
    <s v="925 Main St"/>
    <s v="Tokyo"/>
    <s v="TK"/>
    <x v="4"/>
    <n v="3.54"/>
    <n v="20"/>
  </r>
  <r>
    <s v="Mikel"/>
    <n v="33"/>
    <x v="2"/>
    <x v="0"/>
    <s v="HR Specialist"/>
    <n v="1926"/>
    <n v="74382.259999999995"/>
    <d v="2017-12-24T00:00:00"/>
    <s v="555-01006"/>
    <s v="926 Main St"/>
    <s v="New York"/>
    <s v="NK"/>
    <x v="0"/>
    <n v="2.4300000000000002"/>
    <n v="138"/>
  </r>
  <r>
    <s v="Mikhail"/>
    <n v="56"/>
    <x v="1"/>
    <x v="1"/>
    <s v="Project Manager"/>
    <n v="1927"/>
    <n v="184481.52"/>
    <d v="2016-04-12T00:00:00"/>
    <s v="555-01007"/>
    <s v="927 Main St"/>
    <s v="Paris"/>
    <s v="PA"/>
    <x v="1"/>
    <n v="4.13"/>
    <n v="145"/>
  </r>
  <r>
    <s v="Mila"/>
    <n v="55"/>
    <x v="1"/>
    <x v="2"/>
    <s v="Sales Executive"/>
    <n v="1928"/>
    <n v="51421.52"/>
    <d v="2011-03-11T00:00:00"/>
    <s v="555-01008"/>
    <s v="928 Main St"/>
    <s v="London"/>
    <s v="LN"/>
    <x v="2"/>
    <n v="3.02"/>
    <n v="143"/>
  </r>
  <r>
    <s v="Milan"/>
    <n v="41"/>
    <x v="0"/>
    <x v="2"/>
    <s v="Software Engineer"/>
    <n v="1929"/>
    <n v="189466.05"/>
    <d v="2014-01-22T00:00:00"/>
    <s v="555-01009"/>
    <s v="929 Main St"/>
    <s v="Dubai"/>
    <s v="DB"/>
    <x v="3"/>
    <n v="3.26"/>
    <n v="62"/>
  </r>
  <r>
    <s v="Milena"/>
    <n v="33"/>
    <x v="2"/>
    <x v="2"/>
    <s v="HR Specialist"/>
    <n v="1930"/>
    <n v="111711.1"/>
    <d v="2022-09-01T00:00:00"/>
    <s v="555-01000"/>
    <s v="930 Main St"/>
    <s v="Tokyo"/>
    <s v="TK"/>
    <x v="4"/>
    <n v="3.63"/>
    <n v="115"/>
  </r>
  <r>
    <s v="Miles"/>
    <n v="55"/>
    <x v="1"/>
    <x v="2"/>
    <s v="Sales Executive"/>
    <n v="1931"/>
    <n v="199315.04"/>
    <d v="2005-03-02T00:00:00"/>
    <s v="555-01001"/>
    <s v="931 Main St"/>
    <s v="New York"/>
    <s v="NK"/>
    <x v="0"/>
    <n v="3.37"/>
    <n v="194"/>
  </r>
  <r>
    <s v="Millie"/>
    <n v="47"/>
    <x v="1"/>
    <x v="3"/>
    <s v="Analyst"/>
    <n v="1932"/>
    <n v="84616.37"/>
    <d v="2010-04-13T00:00:00"/>
    <s v="555-01002"/>
    <s v="932 Main St"/>
    <s v="Paris"/>
    <s v="PA"/>
    <x v="1"/>
    <n v="2.2999999999999998"/>
    <n v="30"/>
  </r>
  <r>
    <s v="Milo"/>
    <n v="55"/>
    <x v="1"/>
    <x v="0"/>
    <s v="Project Manager"/>
    <n v="1933"/>
    <n v="149897.43"/>
    <d v="2006-11-19T00:00:00"/>
    <s v="555-01003"/>
    <s v="933 Main St"/>
    <s v="London"/>
    <s v="LN"/>
    <x v="2"/>
    <n v="1.99"/>
    <n v="50"/>
  </r>
  <r>
    <s v="Milton"/>
    <n v="53"/>
    <x v="1"/>
    <x v="3"/>
    <s v="HR Specialist"/>
    <n v="1934"/>
    <n v="177377.03"/>
    <d v="2001-07-20T00:00:00"/>
    <s v="555-01004"/>
    <s v="934 Main St"/>
    <s v="Dubai"/>
    <s v="DB"/>
    <x v="3"/>
    <n v="1.7"/>
    <n v="148"/>
  </r>
  <r>
    <s v="Mimi"/>
    <n v="28"/>
    <x v="2"/>
    <x v="4"/>
    <s v="Analyst"/>
    <n v="1935"/>
    <n v="53354.68"/>
    <d v="2010-07-06T00:00:00"/>
    <s v="555-01005"/>
    <s v="935 Main St"/>
    <s v="Tokyo"/>
    <s v="TK"/>
    <x v="4"/>
    <n v="4.0999999999999996"/>
    <n v="22"/>
  </r>
  <r>
    <s v="Mina"/>
    <n v="47"/>
    <x v="0"/>
    <x v="4"/>
    <s v="HR Specialist"/>
    <n v="1936"/>
    <n v="53603.86"/>
    <d v="2009-05-23T00:00:00"/>
    <s v="555-01006"/>
    <s v="936 Main St"/>
    <s v="New York"/>
    <s v="NK"/>
    <x v="0"/>
    <n v="1.68"/>
    <n v="59"/>
  </r>
  <r>
    <s v="Mindy"/>
    <n v="46"/>
    <x v="0"/>
    <x v="1"/>
    <s v="Project Manager"/>
    <n v="1937"/>
    <n v="54969.1"/>
    <d v="2002-05-16T00:00:00"/>
    <s v="555-01007"/>
    <s v="937 Main St"/>
    <s v="Paris"/>
    <s v="PA"/>
    <x v="1"/>
    <n v="2.92"/>
    <n v="153"/>
  </r>
  <r>
    <s v="Minnie"/>
    <n v="60"/>
    <x v="1"/>
    <x v="1"/>
    <s v="Analyst"/>
    <n v="1938"/>
    <n v="50894.73"/>
    <d v="2006-06-22T00:00:00"/>
    <s v="555-01008"/>
    <s v="938 Main St"/>
    <s v="London"/>
    <s v="LN"/>
    <x v="2"/>
    <n v="2.3199999999999998"/>
    <n v="109"/>
  </r>
  <r>
    <s v="Mira"/>
    <n v="38"/>
    <x v="0"/>
    <x v="2"/>
    <s v="Analyst"/>
    <n v="1939"/>
    <n v="82031.460000000006"/>
    <d v="2006-08-30T00:00:00"/>
    <s v="555-01009"/>
    <s v="939 Main St"/>
    <s v="Dubai"/>
    <s v="DB"/>
    <x v="3"/>
    <n v="2.21"/>
    <n v="85"/>
  </r>
  <r>
    <s v="Miranda"/>
    <n v="45"/>
    <x v="0"/>
    <x v="4"/>
    <s v="Project Manager"/>
    <n v="1940"/>
    <n v="170644.28"/>
    <d v="2011-11-23T00:00:00"/>
    <s v="555-01000"/>
    <s v="940 Main St"/>
    <s v="Tokyo"/>
    <s v="TK"/>
    <x v="4"/>
    <n v="1.95"/>
    <n v="116"/>
  </r>
  <r>
    <s v="Miriam"/>
    <n v="48"/>
    <x v="0"/>
    <x v="3"/>
    <s v="Project Manager"/>
    <n v="1941"/>
    <n v="83062.09"/>
    <d v="2022-07-11T00:00:00"/>
    <s v="555-01001"/>
    <s v="941 Main St"/>
    <s v="New York"/>
    <s v="NK"/>
    <x v="0"/>
    <n v="1.08"/>
    <n v="39"/>
  </r>
  <r>
    <s v="Missy"/>
    <n v="25"/>
    <x v="0"/>
    <x v="0"/>
    <s v="Project Manager"/>
    <n v="1942"/>
    <n v="103291.95"/>
    <d v="2019-02-06T00:00:00"/>
    <s v="555-01002"/>
    <s v="942 Main St"/>
    <s v="Paris"/>
    <s v="PA"/>
    <x v="1"/>
    <n v="2.87"/>
    <n v="70"/>
  </r>
  <r>
    <s v="Misty"/>
    <n v="48"/>
    <x v="0"/>
    <x v="4"/>
    <s v="HR Specialist"/>
    <n v="1943"/>
    <n v="56986.21"/>
    <d v="2007-10-14T00:00:00"/>
    <s v="555-01003"/>
    <s v="943 Main St"/>
    <s v="London"/>
    <s v="LN"/>
    <x v="2"/>
    <n v="1.91"/>
    <n v="82"/>
  </r>
  <r>
    <s v="Mitch"/>
    <n v="51"/>
    <x v="2"/>
    <x v="4"/>
    <s v="HR Specialist"/>
    <n v="1944"/>
    <n v="95924.43"/>
    <d v="2021-06-01T00:00:00"/>
    <s v="555-01004"/>
    <s v="944 Main St"/>
    <s v="Dubai"/>
    <s v="DB"/>
    <x v="3"/>
    <n v="3.93"/>
    <n v="137"/>
  </r>
  <r>
    <s v="Mitchell"/>
    <n v="24"/>
    <x v="2"/>
    <x v="3"/>
    <s v="Software Engineer"/>
    <n v="1945"/>
    <n v="61971.86"/>
    <d v="2005-11-12T00:00:00"/>
    <s v="555-01005"/>
    <s v="945 Main St"/>
    <s v="Tokyo"/>
    <s v="TK"/>
    <x v="4"/>
    <n v="4.99"/>
    <n v="175"/>
  </r>
  <r>
    <s v="Moira"/>
    <n v="27"/>
    <x v="2"/>
    <x v="4"/>
    <s v="Analyst"/>
    <n v="1946"/>
    <n v="92700.92"/>
    <d v="2015-10-18T00:00:00"/>
    <s v="555-01006"/>
    <s v="946 Main St"/>
    <s v="New York"/>
    <s v="NK"/>
    <x v="0"/>
    <n v="3.51"/>
    <n v="96"/>
  </r>
  <r>
    <s v="Molly"/>
    <n v="29"/>
    <x v="0"/>
    <x v="3"/>
    <s v="Analyst"/>
    <n v="1947"/>
    <n v="136291.26"/>
    <d v="2002-06-26T00:00:00"/>
    <s v="555-01007"/>
    <s v="947 Main St"/>
    <s v="Paris"/>
    <s v="PA"/>
    <x v="1"/>
    <n v="3.28"/>
    <n v="108"/>
  </r>
  <r>
    <s v="Monroe"/>
    <n v="37"/>
    <x v="2"/>
    <x v="3"/>
    <s v="Sales Executive"/>
    <n v="1948"/>
    <n v="89416.53"/>
    <d v="2002-09-12T00:00:00"/>
    <s v="555-01008"/>
    <s v="948 Main St"/>
    <s v="London"/>
    <s v="LN"/>
    <x v="2"/>
    <n v="4.1500000000000004"/>
    <n v="95"/>
  </r>
  <r>
    <s v="Monty"/>
    <n v="36"/>
    <x v="0"/>
    <x v="3"/>
    <s v="Analyst"/>
    <n v="1949"/>
    <n v="143808.74"/>
    <d v="2000-03-28T00:00:00"/>
    <s v="555-01009"/>
    <s v="949 Main St"/>
    <s v="Dubai"/>
    <s v="DB"/>
    <x v="3"/>
    <n v="1.23"/>
    <n v="86"/>
  </r>
  <r>
    <s v="Morgan"/>
    <n v="57"/>
    <x v="0"/>
    <x v="3"/>
    <s v="Software Engineer"/>
    <n v="1950"/>
    <n v="147998.56"/>
    <d v="2005-03-23T00:00:00"/>
    <s v="555-01000"/>
    <s v="950 Main St"/>
    <s v="Tokyo"/>
    <s v="TK"/>
    <x v="4"/>
    <n v="2.66"/>
    <n v="166"/>
  </r>
  <r>
    <s v="Morris"/>
    <n v="61"/>
    <x v="2"/>
    <x v="4"/>
    <s v="Software Engineer"/>
    <n v="1951"/>
    <n v="136616.25"/>
    <d v="2012-11-16T00:00:00"/>
    <s v="555-01001"/>
    <s v="951 Main St"/>
    <s v="New York"/>
    <s v="NK"/>
    <x v="0"/>
    <n v="2.46"/>
    <n v="48"/>
  </r>
  <r>
    <s v="Mortimer"/>
    <n v="29"/>
    <x v="1"/>
    <x v="4"/>
    <s v="Project Manager"/>
    <n v="1952"/>
    <n v="117086.02"/>
    <d v="2022-04-11T00:00:00"/>
    <s v="555-01002"/>
    <s v="952 Main St"/>
    <s v="Paris"/>
    <s v="PA"/>
    <x v="1"/>
    <n v="4.99"/>
    <n v="119"/>
  </r>
  <r>
    <s v="Morton"/>
    <n v="60"/>
    <x v="0"/>
    <x v="0"/>
    <s v="Analyst"/>
    <n v="1953"/>
    <n v="89340.12"/>
    <d v="2004-08-09T00:00:00"/>
    <s v="555-01003"/>
    <s v="953 Main St"/>
    <s v="London"/>
    <s v="LN"/>
    <x v="2"/>
    <n v="3.79"/>
    <n v="55"/>
  </r>
  <r>
    <s v="Moses"/>
    <n v="51"/>
    <x v="0"/>
    <x v="1"/>
    <s v="Software Engineer"/>
    <n v="1954"/>
    <n v="72062.789999999994"/>
    <d v="2015-10-25T00:00:00"/>
    <s v="555-01004"/>
    <s v="954 Main St"/>
    <s v="Dubai"/>
    <s v="DB"/>
    <x v="3"/>
    <n v="3.83"/>
    <n v="51"/>
  </r>
  <r>
    <s v="Muhammad"/>
    <n v="33"/>
    <x v="2"/>
    <x v="0"/>
    <s v="Project Manager"/>
    <n v="1955"/>
    <n v="119140.06"/>
    <d v="2001-02-02T00:00:00"/>
    <s v="555-01005"/>
    <s v="955 Main St"/>
    <s v="Tokyo"/>
    <s v="TK"/>
    <x v="4"/>
    <n v="2.5"/>
    <n v="4"/>
  </r>
  <r>
    <s v="Muriel"/>
    <n v="25"/>
    <x v="0"/>
    <x v="3"/>
    <s v="Software Engineer"/>
    <n v="1956"/>
    <n v="142279.82999999999"/>
    <d v="2011-12-02T00:00:00"/>
    <s v="555-01006"/>
    <s v="956 Main St"/>
    <s v="New York"/>
    <s v="NK"/>
    <x v="0"/>
    <n v="4.29"/>
    <n v="140"/>
  </r>
  <r>
    <s v="Myra"/>
    <n v="35"/>
    <x v="0"/>
    <x v="2"/>
    <s v="Analyst"/>
    <n v="1957"/>
    <n v="67202.83"/>
    <d v="2009-12-22T00:00:00"/>
    <s v="555-01007"/>
    <s v="957 Main St"/>
    <s v="Paris"/>
    <s v="PA"/>
    <x v="1"/>
    <n v="2.41"/>
    <n v="128"/>
  </r>
  <r>
    <s v="Myron"/>
    <n v="46"/>
    <x v="0"/>
    <x v="0"/>
    <s v="Analyst"/>
    <n v="1958"/>
    <n v="82251.240000000005"/>
    <d v="2018-02-05T00:00:00"/>
    <s v="555-01008"/>
    <s v="958 Main St"/>
    <s v="London"/>
    <s v="LN"/>
    <x v="2"/>
    <n v="1.17"/>
    <n v="160"/>
  </r>
  <r>
    <s v="Nadia"/>
    <n v="26"/>
    <x v="2"/>
    <x v="2"/>
    <s v="Project Manager"/>
    <n v="1959"/>
    <n v="76865.22"/>
    <d v="2013-09-27T00:00:00"/>
    <s v="555-01009"/>
    <s v="959 Main St"/>
    <s v="Dubai"/>
    <s v="DB"/>
    <x v="3"/>
    <n v="2.3199999999999998"/>
    <n v="112"/>
  </r>
  <r>
    <s v="Nadine"/>
    <n v="44"/>
    <x v="1"/>
    <x v="2"/>
    <s v="Analyst"/>
    <n v="1960"/>
    <n v="84546.02"/>
    <d v="2015-01-15T00:00:00"/>
    <s v="555-01000"/>
    <s v="960 Main St"/>
    <s v="Tokyo"/>
    <s v="TK"/>
    <x v="4"/>
    <n v="2.41"/>
    <n v="147"/>
  </r>
  <r>
    <s v="Nancy"/>
    <n v="51"/>
    <x v="1"/>
    <x v="4"/>
    <s v="Project Manager"/>
    <n v="1961"/>
    <n v="67489.210000000006"/>
    <d v="2009-03-23T00:00:00"/>
    <s v="555-01001"/>
    <s v="961 Main St"/>
    <s v="New York"/>
    <s v="NK"/>
    <x v="0"/>
    <n v="3.95"/>
    <n v="27"/>
  </r>
  <r>
    <s v="Naomi"/>
    <n v="60"/>
    <x v="2"/>
    <x v="3"/>
    <s v="Analyst"/>
    <n v="1962"/>
    <n v="113136.51"/>
    <d v="2013-02-05T00:00:00"/>
    <s v="555-01002"/>
    <s v="962 Main St"/>
    <s v="Paris"/>
    <s v="PA"/>
    <x v="1"/>
    <n v="4.57"/>
    <n v="165"/>
  </r>
  <r>
    <s v="Natalia"/>
    <n v="33"/>
    <x v="0"/>
    <x v="1"/>
    <s v="Sales Executive"/>
    <n v="1963"/>
    <n v="98106.89"/>
    <d v="2006-03-08T00:00:00"/>
    <s v="555-01003"/>
    <s v="963 Main St"/>
    <s v="London"/>
    <s v="LN"/>
    <x v="2"/>
    <n v="3.2"/>
    <n v="123"/>
  </r>
  <r>
    <s v="Natalie"/>
    <n v="36"/>
    <x v="1"/>
    <x v="1"/>
    <s v="Project Manager"/>
    <n v="1964"/>
    <n v="141348.25"/>
    <d v="2017-11-17T00:00:00"/>
    <s v="555-01004"/>
    <s v="964 Main St"/>
    <s v="Dubai"/>
    <s v="DB"/>
    <x v="3"/>
    <n v="1.68"/>
    <n v="106"/>
  </r>
  <r>
    <s v="Natasha"/>
    <n v="40"/>
    <x v="2"/>
    <x v="1"/>
    <s v="Sales Executive"/>
    <n v="1965"/>
    <n v="185568.84"/>
    <d v="2001-06-18T00:00:00"/>
    <s v="555-01005"/>
    <s v="965 Main St"/>
    <s v="Tokyo"/>
    <s v="TK"/>
    <x v="4"/>
    <n v="1.0900000000000001"/>
    <n v="185"/>
  </r>
  <r>
    <s v="Nate"/>
    <n v="47"/>
    <x v="2"/>
    <x v="1"/>
    <s v="Analyst"/>
    <n v="1966"/>
    <n v="139735.85"/>
    <d v="2018-03-20T00:00:00"/>
    <s v="555-01006"/>
    <s v="966 Main St"/>
    <s v="New York"/>
    <s v="NK"/>
    <x v="0"/>
    <n v="4.07"/>
    <n v="63"/>
  </r>
  <r>
    <s v="Nathan"/>
    <n v="25"/>
    <x v="0"/>
    <x v="1"/>
    <s v="HR Specialist"/>
    <n v="1967"/>
    <n v="77152.42"/>
    <d v="2016-11-06T00:00:00"/>
    <s v="555-01007"/>
    <s v="967 Main St"/>
    <s v="Paris"/>
    <s v="PA"/>
    <x v="1"/>
    <n v="3.18"/>
    <n v="22"/>
  </r>
  <r>
    <s v="Nathaniel"/>
    <n v="59"/>
    <x v="0"/>
    <x v="2"/>
    <s v="Analyst"/>
    <n v="1968"/>
    <n v="66707.75"/>
    <d v="2004-09-04T00:00:00"/>
    <s v="555-01008"/>
    <s v="968 Main St"/>
    <s v="London"/>
    <s v="LN"/>
    <x v="2"/>
    <n v="3.1"/>
    <n v="95"/>
  </r>
  <r>
    <s v="Neal"/>
    <n v="29"/>
    <x v="2"/>
    <x v="2"/>
    <s v="HR Specialist"/>
    <n v="1969"/>
    <n v="148180.19"/>
    <d v="2019-12-12T00:00:00"/>
    <s v="555-01009"/>
    <s v="969 Main St"/>
    <s v="Dubai"/>
    <s v="DB"/>
    <x v="3"/>
    <n v="3.72"/>
    <n v="66"/>
  </r>
  <r>
    <s v="Ned"/>
    <n v="51"/>
    <x v="2"/>
    <x v="2"/>
    <s v="Analyst"/>
    <n v="1970"/>
    <n v="172973.51"/>
    <d v="2000-04-11T00:00:00"/>
    <s v="555-01000"/>
    <s v="970 Main St"/>
    <s v="Tokyo"/>
    <s v="TK"/>
    <x v="4"/>
    <n v="2.29"/>
    <n v="182"/>
  </r>
  <r>
    <s v="Nehemiah"/>
    <n v="36"/>
    <x v="2"/>
    <x v="3"/>
    <s v="Project Manager"/>
    <n v="1971"/>
    <n v="98320.76"/>
    <d v="2018-09-04T00:00:00"/>
    <s v="555-01001"/>
    <s v="971 Main St"/>
    <s v="New York"/>
    <s v="NK"/>
    <x v="0"/>
    <n v="4.5599999999999996"/>
    <n v="156"/>
  </r>
  <r>
    <s v="Neil"/>
    <n v="33"/>
    <x v="1"/>
    <x v="0"/>
    <s v="Software Engineer"/>
    <n v="1972"/>
    <n v="126566.31"/>
    <d v="2002-04-29T00:00:00"/>
    <s v="555-01002"/>
    <s v="972 Main St"/>
    <s v="Paris"/>
    <s v="PA"/>
    <x v="1"/>
    <n v="1.46"/>
    <n v="45"/>
  </r>
  <r>
    <s v="Nell"/>
    <n v="31"/>
    <x v="0"/>
    <x v="4"/>
    <s v="Project Manager"/>
    <n v="1973"/>
    <n v="167987.33"/>
    <d v="2004-05-20T00:00:00"/>
    <s v="555-01003"/>
    <s v="973 Main St"/>
    <s v="London"/>
    <s v="LN"/>
    <x v="2"/>
    <n v="1.81"/>
    <n v="14"/>
  </r>
  <r>
    <s v="Nellie"/>
    <n v="33"/>
    <x v="2"/>
    <x v="2"/>
    <s v="HR Specialist"/>
    <n v="1974"/>
    <n v="52533.65"/>
    <d v="2009-02-15T00:00:00"/>
    <s v="555-01004"/>
    <s v="974 Main St"/>
    <s v="Dubai"/>
    <s v="DB"/>
    <x v="3"/>
    <n v="4.24"/>
    <n v="147"/>
  </r>
  <r>
    <s v="Nelson"/>
    <n v="38"/>
    <x v="0"/>
    <x v="3"/>
    <s v="Analyst"/>
    <n v="1975"/>
    <n v="154489.51999999999"/>
    <d v="2019-04-19T00:00:00"/>
    <s v="555-01005"/>
    <s v="975 Main St"/>
    <s v="Tokyo"/>
    <s v="TK"/>
    <x v="4"/>
    <n v="4.2699999999999996"/>
    <n v="118"/>
  </r>
  <r>
    <s v="Nia"/>
    <n v="61"/>
    <x v="1"/>
    <x v="3"/>
    <s v="Analyst"/>
    <n v="1976"/>
    <n v="126339.6"/>
    <d v="2005-10-26T00:00:00"/>
    <s v="555-01006"/>
    <s v="976 Main St"/>
    <s v="New York"/>
    <s v="NK"/>
    <x v="0"/>
    <n v="1.1599999999999999"/>
    <n v="68"/>
  </r>
  <r>
    <s v="Nicholas"/>
    <n v="23"/>
    <x v="2"/>
    <x v="4"/>
    <s v="Analyst"/>
    <n v="1977"/>
    <n v="158961.89000000001"/>
    <d v="2021-10-17T00:00:00"/>
    <s v="555-01007"/>
    <s v="977 Main St"/>
    <s v="Paris"/>
    <s v="PA"/>
    <x v="1"/>
    <n v="3.42"/>
    <n v="23"/>
  </r>
  <r>
    <s v="Nick"/>
    <n v="40"/>
    <x v="0"/>
    <x v="1"/>
    <s v="Software Engineer"/>
    <n v="1978"/>
    <n v="180855.63"/>
    <d v="2008-09-24T00:00:00"/>
    <s v="555-01008"/>
    <s v="978 Main St"/>
    <s v="London"/>
    <s v="LN"/>
    <x v="2"/>
    <n v="3.75"/>
    <n v="124"/>
  </r>
  <r>
    <s v="Nicki"/>
    <n v="50"/>
    <x v="1"/>
    <x v="3"/>
    <s v="Software Engineer"/>
    <n v="1979"/>
    <n v="124186.42"/>
    <d v="2003-01-07T00:00:00"/>
    <s v="555-01009"/>
    <s v="979 Main St"/>
    <s v="Dubai"/>
    <s v="DB"/>
    <x v="3"/>
    <n v="1.72"/>
    <n v="112"/>
  </r>
  <r>
    <s v="Nicola"/>
    <n v="22"/>
    <x v="2"/>
    <x v="0"/>
    <s v="Project Manager"/>
    <n v="1980"/>
    <n v="178381.65"/>
    <d v="2003-08-05T00:00:00"/>
    <s v="555-01000"/>
    <s v="980 Main St"/>
    <s v="Tokyo"/>
    <s v="TK"/>
    <x v="4"/>
    <n v="2.61"/>
    <n v="20"/>
  </r>
  <r>
    <s v="Nicole"/>
    <n v="43"/>
    <x v="0"/>
    <x v="0"/>
    <s v="Project Manager"/>
    <n v="1981"/>
    <n v="51904.54"/>
    <d v="2011-11-29T00:00:00"/>
    <s v="555-01001"/>
    <s v="981 Main St"/>
    <s v="New York"/>
    <s v="NK"/>
    <x v="0"/>
    <n v="3.56"/>
    <n v="120"/>
  </r>
  <r>
    <s v="Nicolette"/>
    <n v="46"/>
    <x v="2"/>
    <x v="0"/>
    <s v="HR Specialist"/>
    <n v="1982"/>
    <n v="144512.17000000001"/>
    <d v="2000-11-11T00:00:00"/>
    <s v="555-01002"/>
    <s v="982 Main St"/>
    <s v="Paris"/>
    <s v="PA"/>
    <x v="1"/>
    <n v="1.29"/>
    <n v="55"/>
  </r>
  <r>
    <s v="Nigel"/>
    <n v="31"/>
    <x v="0"/>
    <x v="3"/>
    <s v="Software Engineer"/>
    <n v="1983"/>
    <n v="198036.38"/>
    <d v="2004-11-17T00:00:00"/>
    <s v="555-01003"/>
    <s v="983 Main St"/>
    <s v="London"/>
    <s v="LN"/>
    <x v="2"/>
    <n v="3.23"/>
    <n v="145"/>
  </r>
  <r>
    <s v="Nikki"/>
    <n v="30"/>
    <x v="0"/>
    <x v="3"/>
    <s v="Sales Executive"/>
    <n v="1984"/>
    <n v="94047.25"/>
    <d v="2001-11-02T00:00:00"/>
    <s v="555-01004"/>
    <s v="984 Main St"/>
    <s v="Dubai"/>
    <s v="DB"/>
    <x v="3"/>
    <n v="2.78"/>
    <n v="144"/>
  </r>
  <r>
    <s v="Nina"/>
    <n v="40"/>
    <x v="1"/>
    <x v="3"/>
    <s v="Project Manager"/>
    <n v="1985"/>
    <n v="158473.84"/>
    <d v="2001-08-20T00:00:00"/>
    <s v="555-01005"/>
    <s v="985 Main St"/>
    <s v="Tokyo"/>
    <s v="TK"/>
    <x v="4"/>
    <n v="2.52"/>
    <n v="176"/>
  </r>
  <r>
    <s v="Noah"/>
    <n v="33"/>
    <x v="1"/>
    <x v="3"/>
    <s v="Sales Executive"/>
    <n v="1986"/>
    <n v="83666.149999999994"/>
    <d v="2004-08-06T00:00:00"/>
    <s v="555-01006"/>
    <s v="986 Main St"/>
    <s v="New York"/>
    <s v="NK"/>
    <x v="0"/>
    <n v="2.09"/>
    <n v="159"/>
  </r>
  <r>
    <s v="Noel"/>
    <n v="50"/>
    <x v="1"/>
    <x v="0"/>
    <s v="Project Manager"/>
    <n v="1987"/>
    <n v="195959.86"/>
    <d v="2007-05-05T00:00:00"/>
    <s v="555-01007"/>
    <s v="987 Main St"/>
    <s v="Paris"/>
    <s v="PA"/>
    <x v="1"/>
    <n v="4.0199999999999996"/>
    <n v="1"/>
  </r>
  <r>
    <s v="Noelle"/>
    <n v="39"/>
    <x v="1"/>
    <x v="4"/>
    <s v="Sales Executive"/>
    <n v="1988"/>
    <n v="116615.3"/>
    <d v="2012-04-30T00:00:00"/>
    <s v="555-01008"/>
    <s v="988 Main St"/>
    <s v="London"/>
    <s v="LN"/>
    <x v="2"/>
    <n v="3.58"/>
    <n v="171"/>
  </r>
  <r>
    <s v="Nolan"/>
    <n v="37"/>
    <x v="1"/>
    <x v="4"/>
    <s v="Sales Executive"/>
    <n v="1989"/>
    <n v="151533.74"/>
    <d v="2017-09-19T00:00:00"/>
    <s v="555-01009"/>
    <s v="989 Main St"/>
    <s v="Dubai"/>
    <s v="DB"/>
    <x v="3"/>
    <n v="3.33"/>
    <n v="124"/>
  </r>
  <r>
    <s v="Nola"/>
    <n v="25"/>
    <x v="0"/>
    <x v="3"/>
    <s v="Project Manager"/>
    <n v="1990"/>
    <n v="126087.4"/>
    <d v="2006-08-03T00:00:00"/>
    <s v="555-01000"/>
    <s v="990 Main St"/>
    <s v="Tokyo"/>
    <s v="TK"/>
    <x v="4"/>
    <n v="4.04"/>
    <n v="17"/>
  </r>
  <r>
    <s v="Nora"/>
    <n v="64"/>
    <x v="1"/>
    <x v="0"/>
    <s v="Software Engineer"/>
    <n v="1991"/>
    <n v="62115.94"/>
    <d v="2018-09-07T00:00:00"/>
    <s v="555-01001"/>
    <s v="991 Main St"/>
    <s v="New York"/>
    <s v="NK"/>
    <x v="0"/>
    <n v="1.26"/>
    <n v="61"/>
  </r>
  <r>
    <s v="Norah"/>
    <n v="46"/>
    <x v="0"/>
    <x v="4"/>
    <s v="Project Manager"/>
    <n v="1992"/>
    <n v="169548.08"/>
    <d v="2016-02-09T00:00:00"/>
    <s v="555-01002"/>
    <s v="992 Main St"/>
    <s v="Paris"/>
    <s v="PA"/>
    <x v="1"/>
    <n v="1.91"/>
    <n v="106"/>
  </r>
  <r>
    <s v="Norbert"/>
    <n v="43"/>
    <x v="0"/>
    <x v="0"/>
    <s v="Software Engineer"/>
    <n v="1993"/>
    <n v="86371.92"/>
    <d v="2015-04-18T00:00:00"/>
    <s v="555-01003"/>
    <s v="993 Main St"/>
    <s v="London"/>
    <s v="LN"/>
    <x v="2"/>
    <n v="2.82"/>
    <n v="128"/>
  </r>
  <r>
    <s v="Norman"/>
    <n v="50"/>
    <x v="2"/>
    <x v="3"/>
    <s v="Analyst"/>
    <n v="1994"/>
    <n v="91872.59"/>
    <d v="2016-10-24T00:00:00"/>
    <s v="555-01004"/>
    <s v="994 Main St"/>
    <s v="Dubai"/>
    <s v="DB"/>
    <x v="3"/>
    <n v="3.1"/>
    <n v="175"/>
  </r>
  <r>
    <s v="Norris"/>
    <n v="43"/>
    <x v="0"/>
    <x v="3"/>
    <s v="Analyst"/>
    <n v="1995"/>
    <n v="54564.9"/>
    <d v="2016-12-09T00:00:00"/>
    <s v="555-01005"/>
    <s v="995 Main St"/>
    <s v="Tokyo"/>
    <s v="TK"/>
    <x v="4"/>
    <n v="3.2"/>
    <n v="193"/>
  </r>
  <r>
    <s v="Nova"/>
    <n v="36"/>
    <x v="0"/>
    <x v="2"/>
    <s v="Analyst"/>
    <n v="1996"/>
    <n v="133267.21"/>
    <d v="2012-06-06T00:00:00"/>
    <s v="555-01006"/>
    <s v="996 Main St"/>
    <s v="New York"/>
    <s v="NK"/>
    <x v="0"/>
    <n v="3.05"/>
    <n v="118"/>
  </r>
  <r>
    <s v="Nya"/>
    <n v="23"/>
    <x v="1"/>
    <x v="3"/>
    <s v="Analyst"/>
    <n v="1997"/>
    <n v="130638.55"/>
    <d v="2011-09-01T00:00:00"/>
    <s v="555-01007"/>
    <s v="997 Main St"/>
    <s v="Paris"/>
    <s v="PA"/>
    <x v="1"/>
    <n v="2.5099999999999998"/>
    <n v="107"/>
  </r>
  <r>
    <s v="Nylah"/>
    <n v="34"/>
    <x v="0"/>
    <x v="0"/>
    <s v="HR Specialist"/>
    <n v="1998"/>
    <n v="77610.61"/>
    <d v="2022-09-10T00:00:00"/>
    <s v="555-01008"/>
    <s v="998 Main St"/>
    <s v="London"/>
    <s v="LN"/>
    <x v="2"/>
    <n v="1.1599999999999999"/>
    <n v="111"/>
  </r>
  <r>
    <s v="Nyle"/>
    <n v="33"/>
    <x v="1"/>
    <x v="3"/>
    <s v="HR Specialist"/>
    <n v="1999"/>
    <n v="158592.57"/>
    <d v="2020-10-07T00:00:00"/>
    <s v="555-01009"/>
    <s v="999 Main St"/>
    <s v="Dubai"/>
    <s v="DB"/>
    <x v="3"/>
    <n v="4.47"/>
    <n v="1"/>
  </r>
  <r>
    <s v="Nyla"/>
    <n v="47"/>
    <x v="0"/>
    <x v="1"/>
    <s v="Project Manager"/>
    <n v="2000"/>
    <n v="56975.31"/>
    <d v="2016-05-19T00:00:00"/>
    <s v="555-01000"/>
    <s v="1000 Main St"/>
    <s v="Tokyo"/>
    <s v="TK"/>
    <x v="4"/>
    <n v="2.39"/>
    <n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D8188-F19B-41A1-91C5-4231829CF20C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45:G47" firstHeaderRow="1" firstDataRow="1" firstDataCol="1"/>
  <pivotFields count="15">
    <pivotField showAll="0"/>
    <pivotField showAll="0"/>
    <pivotField axis="axisRow" dataFiel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85644-6205-407D-94C7-37BB6751C52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45:D4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axis="axisRow" showAll="0" measureFilter="1" sortType="descending">
      <items count="7">
        <item x="0"/>
        <item x="2"/>
        <item x="3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2">
    <i>
      <x v="3"/>
    </i>
    <i>
      <x v="1"/>
    </i>
  </rowItems>
  <colItems count="1">
    <i/>
  </colItems>
  <dataFields count="1">
    <dataField name="Sum of Salary" fld="6" showDataAs="percentOfTotal" baseField="0" baseItem="0" numFmtId="10"/>
  </dataField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68202-EA28-4EE6-A1DE-0E58D5DEAF64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45:J50" firstHeaderRow="1" firstDataRow="1" firstDataCol="1"/>
  <pivotFields count="15">
    <pivotField showAll="0"/>
    <pivotField showAll="0"/>
    <pivotField showAll="0"/>
    <pivotField axis="axisRow" dataField="1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4"/>
    </i>
    <i>
      <x/>
    </i>
    <i>
      <x v="1"/>
    </i>
    <i>
      <x v="2"/>
    </i>
    <i>
      <x v="3"/>
    </i>
  </rowItems>
  <colItems count="1">
    <i/>
  </colItems>
  <dataFields count="1">
    <dataField name="Count of Departmen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4"/>
  <sheetViews>
    <sheetView workbookViewId="0">
      <pane ySplit="1" topLeftCell="A970" activePane="bottomLeft" state="frozen"/>
      <selection pane="bottomLeft"/>
    </sheetView>
  </sheetViews>
  <sheetFormatPr defaultColWidth="12.6640625" defaultRowHeight="15" customHeight="1" x14ac:dyDescent="0.3"/>
  <cols>
    <col min="1" max="1" width="11.21875" customWidth="1"/>
    <col min="2" max="2" width="7.33203125" customWidth="1"/>
    <col min="3" max="3" width="7.88671875" customWidth="1"/>
    <col min="4" max="4" width="12.33203125" customWidth="1"/>
    <col min="5" max="5" width="16.44140625" customWidth="1"/>
    <col min="6" max="6" width="12.21875" customWidth="1"/>
    <col min="7" max="7" width="11.109375" customWidth="1"/>
    <col min="8" max="8" width="19.44140625" customWidth="1"/>
    <col min="9" max="9" width="14.21875" customWidth="1"/>
    <col min="10" max="10" width="12.109375" customWidth="1"/>
    <col min="11" max="11" width="8.88671875" customWidth="1"/>
    <col min="12" max="12" width="6" customWidth="1"/>
    <col min="13" max="13" width="8.44140625" customWidth="1"/>
    <col min="14" max="14" width="19" customWidth="1"/>
    <col min="15" max="15" width="11" customWidth="1"/>
    <col min="16" max="26" width="8.6640625" customWidth="1"/>
  </cols>
  <sheetData>
    <row r="1" spans="1:15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14.25" customHeight="1" x14ac:dyDescent="0.3">
      <c r="A2" s="4" t="s">
        <v>15</v>
      </c>
      <c r="B2" s="4">
        <v>22</v>
      </c>
      <c r="C2" s="4" t="s">
        <v>16</v>
      </c>
      <c r="D2" s="4" t="s">
        <v>17</v>
      </c>
      <c r="E2" s="4" t="s">
        <v>18</v>
      </c>
      <c r="F2" s="4">
        <v>1001</v>
      </c>
      <c r="G2" s="4">
        <v>186978.16</v>
      </c>
      <c r="H2" s="5">
        <v>43595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>
        <v>2.94</v>
      </c>
      <c r="O2" s="4">
        <v>182</v>
      </c>
    </row>
    <row r="3" spans="1:15" ht="14.25" customHeight="1" x14ac:dyDescent="0.3">
      <c r="A3" s="6" t="s">
        <v>24</v>
      </c>
      <c r="B3" s="6">
        <v>25</v>
      </c>
      <c r="C3" s="6" t="s">
        <v>25</v>
      </c>
      <c r="D3" s="6" t="s">
        <v>26</v>
      </c>
      <c r="E3" s="6" t="s">
        <v>27</v>
      </c>
      <c r="F3" s="6">
        <v>1002</v>
      </c>
      <c r="G3" s="6">
        <v>180610.63</v>
      </c>
      <c r="H3" s="7">
        <v>44927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>
        <v>3.75</v>
      </c>
      <c r="O3" s="6">
        <v>86</v>
      </c>
    </row>
    <row r="4" spans="1:15" ht="14.25" customHeight="1" x14ac:dyDescent="0.3">
      <c r="A4" s="6" t="s">
        <v>33</v>
      </c>
      <c r="B4" s="6">
        <v>25</v>
      </c>
      <c r="C4" s="6" t="s">
        <v>25</v>
      </c>
      <c r="D4" s="6" t="s">
        <v>17</v>
      </c>
      <c r="E4" s="6" t="s">
        <v>34</v>
      </c>
      <c r="F4" s="6">
        <v>1003</v>
      </c>
      <c r="G4" s="6">
        <v>85152.37</v>
      </c>
      <c r="H4" s="7">
        <v>44012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>
        <v>3.93</v>
      </c>
      <c r="O4" s="6">
        <v>49</v>
      </c>
    </row>
    <row r="5" spans="1:15" ht="14.25" customHeight="1" x14ac:dyDescent="0.3">
      <c r="A5" s="6" t="s">
        <v>40</v>
      </c>
      <c r="B5" s="6">
        <v>61</v>
      </c>
      <c r="C5" s="6" t="s">
        <v>25</v>
      </c>
      <c r="D5" s="6" t="s">
        <v>17</v>
      </c>
      <c r="E5" s="6" t="s">
        <v>18</v>
      </c>
      <c r="F5" s="6">
        <v>1004</v>
      </c>
      <c r="G5" s="6">
        <v>68024.81</v>
      </c>
      <c r="H5" s="7">
        <v>40924</v>
      </c>
      <c r="I5" s="6" t="s">
        <v>41</v>
      </c>
      <c r="J5" s="6" t="s">
        <v>42</v>
      </c>
      <c r="K5" s="6" t="s">
        <v>43</v>
      </c>
      <c r="L5" s="6" t="s">
        <v>44</v>
      </c>
      <c r="M5" s="6" t="s">
        <v>45</v>
      </c>
      <c r="N5" s="6">
        <v>4.38</v>
      </c>
      <c r="O5" s="6">
        <v>165</v>
      </c>
    </row>
    <row r="6" spans="1:15" ht="14.25" customHeight="1" x14ac:dyDescent="0.3">
      <c r="A6" s="6" t="s">
        <v>46</v>
      </c>
      <c r="B6" s="6">
        <v>31</v>
      </c>
      <c r="C6" s="6" t="s">
        <v>25</v>
      </c>
      <c r="D6" s="6" t="s">
        <v>47</v>
      </c>
      <c r="E6" s="6" t="s">
        <v>48</v>
      </c>
      <c r="F6" s="6">
        <v>1005</v>
      </c>
      <c r="G6" s="6">
        <v>130122.92</v>
      </c>
      <c r="H6" s="7">
        <v>43338</v>
      </c>
      <c r="I6" s="6" t="s">
        <v>49</v>
      </c>
      <c r="J6" s="6" t="s">
        <v>50</v>
      </c>
      <c r="K6" s="6" t="s">
        <v>51</v>
      </c>
      <c r="L6" s="6" t="s">
        <v>52</v>
      </c>
      <c r="M6" s="6" t="s">
        <v>53</v>
      </c>
      <c r="N6" s="6">
        <v>2.77</v>
      </c>
      <c r="O6" s="6">
        <v>130</v>
      </c>
    </row>
    <row r="7" spans="1:15" ht="14.25" customHeight="1" x14ac:dyDescent="0.3">
      <c r="A7" s="6" t="s">
        <v>54</v>
      </c>
      <c r="B7" s="6">
        <v>41</v>
      </c>
      <c r="C7" s="6" t="s">
        <v>16</v>
      </c>
      <c r="D7" s="6" t="s">
        <v>55</v>
      </c>
      <c r="E7" s="6" t="s">
        <v>48</v>
      </c>
      <c r="F7" s="6">
        <v>1006</v>
      </c>
      <c r="G7" s="6">
        <v>128330.48</v>
      </c>
      <c r="H7" s="7">
        <v>44314</v>
      </c>
      <c r="I7" s="6" t="s">
        <v>56</v>
      </c>
      <c r="J7" s="6" t="s">
        <v>57</v>
      </c>
      <c r="K7" s="6" t="s">
        <v>58</v>
      </c>
      <c r="L7" s="6" t="s">
        <v>59</v>
      </c>
      <c r="M7" s="6" t="s">
        <v>60</v>
      </c>
      <c r="N7" s="6">
        <v>1.34</v>
      </c>
      <c r="O7" s="6">
        <v>56</v>
      </c>
    </row>
    <row r="8" spans="1:15" ht="14.25" customHeight="1" x14ac:dyDescent="0.3">
      <c r="A8" s="6" t="s">
        <v>61</v>
      </c>
      <c r="B8" s="6">
        <v>43</v>
      </c>
      <c r="C8" s="6" t="s">
        <v>62</v>
      </c>
      <c r="D8" s="6" t="s">
        <v>26</v>
      </c>
      <c r="E8" s="6" t="s">
        <v>48</v>
      </c>
      <c r="F8" s="6">
        <v>1007</v>
      </c>
      <c r="G8" s="6">
        <v>119762.64</v>
      </c>
      <c r="H8" s="7">
        <v>39611</v>
      </c>
      <c r="I8" s="6" t="s">
        <v>63</v>
      </c>
      <c r="J8" s="6" t="s">
        <v>64</v>
      </c>
      <c r="K8" s="4" t="s">
        <v>21</v>
      </c>
      <c r="L8" s="4" t="s">
        <v>22</v>
      </c>
      <c r="M8" s="6" t="s">
        <v>23</v>
      </c>
      <c r="N8" s="6">
        <v>4.3600000000000003</v>
      </c>
      <c r="O8" s="6">
        <v>87</v>
      </c>
    </row>
    <row r="9" spans="1:15" ht="14.25" customHeight="1" x14ac:dyDescent="0.3">
      <c r="A9" s="6" t="s">
        <v>65</v>
      </c>
      <c r="B9" s="6">
        <v>58</v>
      </c>
      <c r="C9" s="6" t="s">
        <v>25</v>
      </c>
      <c r="D9" s="6" t="s">
        <v>17</v>
      </c>
      <c r="E9" s="6" t="s">
        <v>27</v>
      </c>
      <c r="F9" s="6">
        <v>1008</v>
      </c>
      <c r="G9" s="6">
        <v>126188.66</v>
      </c>
      <c r="H9" s="7">
        <v>41122</v>
      </c>
      <c r="I9" s="6" t="s">
        <v>66</v>
      </c>
      <c r="J9" s="6" t="s">
        <v>67</v>
      </c>
      <c r="K9" s="6" t="s">
        <v>30</v>
      </c>
      <c r="L9" s="6" t="s">
        <v>31</v>
      </c>
      <c r="M9" s="6" t="s">
        <v>32</v>
      </c>
      <c r="N9" s="6">
        <v>4.99</v>
      </c>
      <c r="O9" s="6">
        <v>190</v>
      </c>
    </row>
    <row r="10" spans="1:15" ht="14.25" customHeight="1" x14ac:dyDescent="0.3">
      <c r="A10" s="6" t="s">
        <v>68</v>
      </c>
      <c r="B10" s="6">
        <v>45</v>
      </c>
      <c r="C10" s="6" t="s">
        <v>62</v>
      </c>
      <c r="D10" s="6" t="s">
        <v>69</v>
      </c>
      <c r="E10" s="6" t="s">
        <v>34</v>
      </c>
      <c r="F10" s="6">
        <v>1009</v>
      </c>
      <c r="G10" s="6">
        <v>140463.31</v>
      </c>
      <c r="H10" s="7">
        <v>44175</v>
      </c>
      <c r="I10" s="6" t="s">
        <v>70</v>
      </c>
      <c r="J10" s="6" t="s">
        <v>71</v>
      </c>
      <c r="K10" s="6" t="s">
        <v>37</v>
      </c>
      <c r="L10" s="6" t="s">
        <v>38</v>
      </c>
      <c r="M10" s="6" t="s">
        <v>39</v>
      </c>
      <c r="N10" s="6">
        <v>2.91</v>
      </c>
      <c r="O10" s="6">
        <v>175</v>
      </c>
    </row>
    <row r="11" spans="1:15" ht="14.25" customHeight="1" x14ac:dyDescent="0.3">
      <c r="A11" s="6" t="s">
        <v>72</v>
      </c>
      <c r="B11" s="6">
        <v>28</v>
      </c>
      <c r="C11" s="6" t="s">
        <v>25</v>
      </c>
      <c r="D11" s="6" t="s">
        <v>55</v>
      </c>
      <c r="E11" s="6" t="s">
        <v>48</v>
      </c>
      <c r="F11" s="6">
        <v>1010</v>
      </c>
      <c r="G11" s="6">
        <v>192474.29</v>
      </c>
      <c r="H11" s="7">
        <v>41994</v>
      </c>
      <c r="I11" s="6" t="s">
        <v>73</v>
      </c>
      <c r="J11" s="6" t="s">
        <v>74</v>
      </c>
      <c r="K11" s="6" t="s">
        <v>43</v>
      </c>
      <c r="L11" s="6" t="s">
        <v>44</v>
      </c>
      <c r="M11" s="6" t="s">
        <v>45</v>
      </c>
      <c r="N11" s="6">
        <v>3.14</v>
      </c>
      <c r="O11" s="6">
        <v>74</v>
      </c>
    </row>
    <row r="12" spans="1:15" ht="14.25" customHeight="1" x14ac:dyDescent="0.3">
      <c r="A12" s="6" t="s">
        <v>75</v>
      </c>
      <c r="B12" s="6">
        <v>46</v>
      </c>
      <c r="C12" s="6" t="s">
        <v>25</v>
      </c>
      <c r="D12" s="6" t="s">
        <v>26</v>
      </c>
      <c r="E12" s="6" t="s">
        <v>34</v>
      </c>
      <c r="F12" s="6">
        <v>1011</v>
      </c>
      <c r="G12" s="6">
        <v>186296.33</v>
      </c>
      <c r="H12" s="7">
        <v>38409</v>
      </c>
      <c r="I12" s="6" t="s">
        <v>19</v>
      </c>
      <c r="J12" s="6" t="s">
        <v>76</v>
      </c>
      <c r="K12" s="6" t="s">
        <v>51</v>
      </c>
      <c r="L12" s="6" t="s">
        <v>52</v>
      </c>
      <c r="M12" s="6" t="s">
        <v>53</v>
      </c>
      <c r="N12" s="6">
        <v>4.5199999999999996</v>
      </c>
      <c r="O12" s="6">
        <v>13</v>
      </c>
    </row>
    <row r="13" spans="1:15" ht="14.25" customHeight="1" x14ac:dyDescent="0.3">
      <c r="A13" s="6" t="s">
        <v>77</v>
      </c>
      <c r="B13" s="6">
        <v>46</v>
      </c>
      <c r="C13" s="6" t="s">
        <v>25</v>
      </c>
      <c r="D13" s="6" t="s">
        <v>17</v>
      </c>
      <c r="E13" s="6" t="s">
        <v>48</v>
      </c>
      <c r="F13" s="6">
        <v>1012</v>
      </c>
      <c r="G13" s="6">
        <v>155436.01999999999</v>
      </c>
      <c r="H13" s="7">
        <v>44747</v>
      </c>
      <c r="I13" s="6" t="s">
        <v>28</v>
      </c>
      <c r="J13" s="6" t="s">
        <v>78</v>
      </c>
      <c r="K13" s="6" t="s">
        <v>58</v>
      </c>
      <c r="L13" s="6" t="s">
        <v>59</v>
      </c>
      <c r="M13" s="6" t="s">
        <v>60</v>
      </c>
      <c r="N13" s="6">
        <v>4.82</v>
      </c>
      <c r="O13" s="6">
        <v>189</v>
      </c>
    </row>
    <row r="14" spans="1:15" ht="14.25" customHeight="1" x14ac:dyDescent="0.3">
      <c r="A14" s="6" t="s">
        <v>79</v>
      </c>
      <c r="B14" s="6">
        <v>34</v>
      </c>
      <c r="C14" s="6" t="s">
        <v>62</v>
      </c>
      <c r="D14" s="6" t="s">
        <v>17</v>
      </c>
      <c r="E14" s="6" t="s">
        <v>80</v>
      </c>
      <c r="F14" s="6">
        <v>1013</v>
      </c>
      <c r="G14" s="6">
        <v>185303.25</v>
      </c>
      <c r="H14" s="7">
        <v>40629</v>
      </c>
      <c r="I14" s="6" t="s">
        <v>35</v>
      </c>
      <c r="J14" s="6" t="s">
        <v>81</v>
      </c>
      <c r="K14" s="4" t="s">
        <v>21</v>
      </c>
      <c r="L14" s="4" t="s">
        <v>22</v>
      </c>
      <c r="M14" s="6" t="s">
        <v>23</v>
      </c>
      <c r="N14" s="6">
        <v>2.02</v>
      </c>
      <c r="O14" s="6">
        <v>92</v>
      </c>
    </row>
    <row r="15" spans="1:15" ht="14.25" customHeight="1" x14ac:dyDescent="0.3">
      <c r="A15" s="6" t="s">
        <v>82</v>
      </c>
      <c r="B15" s="6">
        <v>23</v>
      </c>
      <c r="C15" s="6" t="s">
        <v>62</v>
      </c>
      <c r="D15" s="6" t="s">
        <v>55</v>
      </c>
      <c r="E15" s="6" t="s">
        <v>18</v>
      </c>
      <c r="F15" s="6">
        <v>1014</v>
      </c>
      <c r="G15" s="6">
        <v>147402.04999999999</v>
      </c>
      <c r="H15" s="7">
        <v>43144</v>
      </c>
      <c r="I15" s="6" t="s">
        <v>41</v>
      </c>
      <c r="J15" s="6" t="s">
        <v>83</v>
      </c>
      <c r="K15" s="6" t="s">
        <v>30</v>
      </c>
      <c r="L15" s="6" t="s">
        <v>31</v>
      </c>
      <c r="M15" s="6" t="s">
        <v>32</v>
      </c>
      <c r="N15" s="6">
        <v>1.51</v>
      </c>
      <c r="O15" s="6">
        <v>4</v>
      </c>
    </row>
    <row r="16" spans="1:15" ht="14.25" customHeight="1" x14ac:dyDescent="0.3">
      <c r="A16" s="6" t="s">
        <v>84</v>
      </c>
      <c r="B16" s="6">
        <v>60</v>
      </c>
      <c r="C16" s="6" t="s">
        <v>62</v>
      </c>
      <c r="D16" s="6" t="s">
        <v>69</v>
      </c>
      <c r="E16" s="6" t="s">
        <v>27</v>
      </c>
      <c r="F16" s="6">
        <v>1015</v>
      </c>
      <c r="G16" s="6">
        <v>160358.07999999999</v>
      </c>
      <c r="H16" s="7">
        <v>36528</v>
      </c>
      <c r="I16" s="6" t="s">
        <v>49</v>
      </c>
      <c r="J16" s="6" t="s">
        <v>85</v>
      </c>
      <c r="K16" s="6" t="s">
        <v>37</v>
      </c>
      <c r="L16" s="6" t="s">
        <v>38</v>
      </c>
      <c r="M16" s="6" t="s">
        <v>39</v>
      </c>
      <c r="N16" s="6">
        <v>1.78</v>
      </c>
      <c r="O16" s="6">
        <v>150</v>
      </c>
    </row>
    <row r="17" spans="1:15" ht="14.25" customHeight="1" x14ac:dyDescent="0.3">
      <c r="A17" s="6" t="s">
        <v>86</v>
      </c>
      <c r="B17" s="6">
        <v>61</v>
      </c>
      <c r="C17" s="6" t="s">
        <v>16</v>
      </c>
      <c r="D17" s="6" t="s">
        <v>17</v>
      </c>
      <c r="E17" s="6" t="s">
        <v>18</v>
      </c>
      <c r="F17" s="6">
        <v>1016</v>
      </c>
      <c r="G17" s="6">
        <v>142161.03</v>
      </c>
      <c r="H17" s="7">
        <v>42104</v>
      </c>
      <c r="I17" s="6" t="s">
        <v>56</v>
      </c>
      <c r="J17" s="6" t="s">
        <v>87</v>
      </c>
      <c r="K17" s="6" t="s">
        <v>43</v>
      </c>
      <c r="L17" s="6" t="s">
        <v>44</v>
      </c>
      <c r="M17" s="6" t="s">
        <v>45</v>
      </c>
      <c r="N17" s="6">
        <v>2.2200000000000002</v>
      </c>
      <c r="O17" s="6">
        <v>78</v>
      </c>
    </row>
    <row r="18" spans="1:15" ht="14.25" customHeight="1" x14ac:dyDescent="0.3">
      <c r="A18" s="6" t="s">
        <v>88</v>
      </c>
      <c r="B18" s="6">
        <v>45</v>
      </c>
      <c r="C18" s="6" t="s">
        <v>62</v>
      </c>
      <c r="D18" s="6" t="s">
        <v>47</v>
      </c>
      <c r="E18" s="6" t="s">
        <v>18</v>
      </c>
      <c r="F18" s="6">
        <v>1017</v>
      </c>
      <c r="G18" s="6">
        <v>106217.93</v>
      </c>
      <c r="H18" s="7">
        <v>41010</v>
      </c>
      <c r="I18" s="6" t="s">
        <v>63</v>
      </c>
      <c r="J18" s="6" t="s">
        <v>89</v>
      </c>
      <c r="K18" s="6" t="s">
        <v>51</v>
      </c>
      <c r="L18" s="6" t="s">
        <v>52</v>
      </c>
      <c r="M18" s="6" t="s">
        <v>53</v>
      </c>
      <c r="N18" s="6">
        <v>4.45</v>
      </c>
      <c r="O18" s="6">
        <v>182</v>
      </c>
    </row>
    <row r="19" spans="1:15" ht="14.25" customHeight="1" x14ac:dyDescent="0.3">
      <c r="A19" s="6" t="s">
        <v>90</v>
      </c>
      <c r="B19" s="6">
        <v>46</v>
      </c>
      <c r="C19" s="6" t="s">
        <v>16</v>
      </c>
      <c r="D19" s="6" t="s">
        <v>47</v>
      </c>
      <c r="E19" s="6" t="s">
        <v>80</v>
      </c>
      <c r="F19" s="6">
        <v>1018</v>
      </c>
      <c r="G19" s="6">
        <v>114500.4</v>
      </c>
      <c r="H19" s="7">
        <v>36903</v>
      </c>
      <c r="I19" s="6" t="s">
        <v>66</v>
      </c>
      <c r="J19" s="6" t="s">
        <v>91</v>
      </c>
      <c r="K19" s="6" t="s">
        <v>58</v>
      </c>
      <c r="L19" s="6" t="s">
        <v>59</v>
      </c>
      <c r="M19" s="6" t="s">
        <v>60</v>
      </c>
      <c r="N19" s="6">
        <v>3.96</v>
      </c>
      <c r="O19" s="6">
        <v>167</v>
      </c>
    </row>
    <row r="20" spans="1:15" ht="14.25" customHeight="1" x14ac:dyDescent="0.3">
      <c r="A20" s="6" t="s">
        <v>92</v>
      </c>
      <c r="B20" s="6">
        <v>39</v>
      </c>
      <c r="C20" s="6" t="s">
        <v>16</v>
      </c>
      <c r="D20" s="6" t="s">
        <v>55</v>
      </c>
      <c r="E20" s="6" t="s">
        <v>34</v>
      </c>
      <c r="F20" s="6">
        <v>1019</v>
      </c>
      <c r="G20" s="6">
        <v>135513.35</v>
      </c>
      <c r="H20" s="7">
        <v>41352</v>
      </c>
      <c r="I20" s="6" t="s">
        <v>70</v>
      </c>
      <c r="J20" s="6" t="s">
        <v>93</v>
      </c>
      <c r="K20" s="4" t="s">
        <v>21</v>
      </c>
      <c r="L20" s="4" t="s">
        <v>22</v>
      </c>
      <c r="M20" s="6" t="s">
        <v>23</v>
      </c>
      <c r="N20" s="6">
        <v>3.36</v>
      </c>
      <c r="O20" s="6">
        <v>59</v>
      </c>
    </row>
    <row r="21" spans="1:15" ht="14.25" customHeight="1" x14ac:dyDescent="0.3">
      <c r="A21" s="6" t="s">
        <v>94</v>
      </c>
      <c r="B21" s="6">
        <v>59</v>
      </c>
      <c r="C21" s="6" t="s">
        <v>62</v>
      </c>
      <c r="D21" s="6" t="s">
        <v>26</v>
      </c>
      <c r="E21" s="6" t="s">
        <v>18</v>
      </c>
      <c r="F21" s="6">
        <v>1020</v>
      </c>
      <c r="G21" s="6">
        <v>86687.91</v>
      </c>
      <c r="H21" s="7">
        <v>41057</v>
      </c>
      <c r="I21" s="6" t="s">
        <v>73</v>
      </c>
      <c r="J21" s="6" t="s">
        <v>95</v>
      </c>
      <c r="K21" s="6" t="s">
        <v>30</v>
      </c>
      <c r="L21" s="6" t="s">
        <v>31</v>
      </c>
      <c r="M21" s="6" t="s">
        <v>32</v>
      </c>
      <c r="N21" s="6">
        <v>3.9</v>
      </c>
      <c r="O21" s="6">
        <v>181</v>
      </c>
    </row>
    <row r="22" spans="1:15" ht="14.25" customHeight="1" x14ac:dyDescent="0.3">
      <c r="A22" s="6" t="s">
        <v>96</v>
      </c>
      <c r="B22" s="6">
        <v>47</v>
      </c>
      <c r="C22" s="6" t="s">
        <v>25</v>
      </c>
      <c r="D22" s="6" t="s">
        <v>55</v>
      </c>
      <c r="E22" s="6" t="s">
        <v>80</v>
      </c>
      <c r="F22" s="6">
        <v>1021</v>
      </c>
      <c r="G22" s="6">
        <v>61550.15</v>
      </c>
      <c r="H22" s="7">
        <v>38090</v>
      </c>
      <c r="I22" s="6" t="s">
        <v>19</v>
      </c>
      <c r="J22" s="6" t="s">
        <v>97</v>
      </c>
      <c r="K22" s="6" t="s">
        <v>37</v>
      </c>
      <c r="L22" s="6" t="s">
        <v>38</v>
      </c>
      <c r="M22" s="6" t="s">
        <v>39</v>
      </c>
      <c r="N22" s="6">
        <v>4.2300000000000004</v>
      </c>
      <c r="O22" s="6">
        <v>66</v>
      </c>
    </row>
    <row r="23" spans="1:15" ht="14.25" customHeight="1" x14ac:dyDescent="0.3">
      <c r="A23" s="6" t="s">
        <v>98</v>
      </c>
      <c r="B23" s="6">
        <v>35</v>
      </c>
      <c r="C23" s="6" t="s">
        <v>25</v>
      </c>
      <c r="D23" s="6" t="s">
        <v>55</v>
      </c>
      <c r="E23" s="6" t="s">
        <v>34</v>
      </c>
      <c r="F23" s="6">
        <v>1022</v>
      </c>
      <c r="G23" s="6">
        <v>154481.57999999999</v>
      </c>
      <c r="H23" s="7">
        <v>38264</v>
      </c>
      <c r="I23" s="6" t="s">
        <v>28</v>
      </c>
      <c r="J23" s="6" t="s">
        <v>99</v>
      </c>
      <c r="K23" s="6" t="s">
        <v>43</v>
      </c>
      <c r="L23" s="6" t="s">
        <v>44</v>
      </c>
      <c r="M23" s="6" t="s">
        <v>45</v>
      </c>
      <c r="N23" s="6">
        <v>3.04</v>
      </c>
      <c r="O23" s="6">
        <v>108</v>
      </c>
    </row>
    <row r="24" spans="1:15" ht="14.25" customHeight="1" x14ac:dyDescent="0.3">
      <c r="A24" s="6" t="s">
        <v>100</v>
      </c>
      <c r="B24" s="6">
        <v>30</v>
      </c>
      <c r="C24" s="6" t="s">
        <v>16</v>
      </c>
      <c r="D24" s="6" t="s">
        <v>26</v>
      </c>
      <c r="E24" s="6" t="s">
        <v>80</v>
      </c>
      <c r="F24" s="6">
        <v>1023</v>
      </c>
      <c r="G24" s="6">
        <v>123181.38</v>
      </c>
      <c r="H24" s="7">
        <v>41830</v>
      </c>
      <c r="I24" s="6" t="s">
        <v>35</v>
      </c>
      <c r="J24" s="6" t="s">
        <v>101</v>
      </c>
      <c r="K24" s="6" t="s">
        <v>51</v>
      </c>
      <c r="L24" s="6" t="s">
        <v>52</v>
      </c>
      <c r="M24" s="6" t="s">
        <v>53</v>
      </c>
      <c r="N24" s="6">
        <v>1.27</v>
      </c>
      <c r="O24" s="6">
        <v>181</v>
      </c>
    </row>
    <row r="25" spans="1:15" ht="14.25" customHeight="1" x14ac:dyDescent="0.3">
      <c r="A25" s="6" t="s">
        <v>102</v>
      </c>
      <c r="B25" s="6">
        <v>31</v>
      </c>
      <c r="C25" s="6" t="s">
        <v>25</v>
      </c>
      <c r="D25" s="6" t="s">
        <v>26</v>
      </c>
      <c r="E25" s="6" t="s">
        <v>34</v>
      </c>
      <c r="F25" s="6">
        <v>1024</v>
      </c>
      <c r="G25" s="6">
        <v>85790</v>
      </c>
      <c r="H25" s="7">
        <v>43176</v>
      </c>
      <c r="I25" s="6" t="s">
        <v>41</v>
      </c>
      <c r="J25" s="6" t="s">
        <v>103</v>
      </c>
      <c r="K25" s="6" t="s">
        <v>58</v>
      </c>
      <c r="L25" s="6" t="s">
        <v>59</v>
      </c>
      <c r="M25" s="6" t="s">
        <v>60</v>
      </c>
      <c r="N25" s="6">
        <v>4.3899999999999997</v>
      </c>
      <c r="O25" s="6">
        <v>81</v>
      </c>
    </row>
    <row r="26" spans="1:15" ht="14.25" customHeight="1" x14ac:dyDescent="0.3">
      <c r="A26" s="6" t="s">
        <v>104</v>
      </c>
      <c r="B26" s="6">
        <v>42</v>
      </c>
      <c r="C26" s="6" t="s">
        <v>25</v>
      </c>
      <c r="D26" s="6" t="s">
        <v>26</v>
      </c>
      <c r="E26" s="6" t="s">
        <v>80</v>
      </c>
      <c r="F26" s="6">
        <v>1025</v>
      </c>
      <c r="G26" s="6">
        <v>115900.12</v>
      </c>
      <c r="H26" s="7">
        <v>42757</v>
      </c>
      <c r="I26" s="6" t="s">
        <v>49</v>
      </c>
      <c r="J26" s="6" t="s">
        <v>105</v>
      </c>
      <c r="K26" s="4" t="s">
        <v>21</v>
      </c>
      <c r="L26" s="4" t="s">
        <v>22</v>
      </c>
      <c r="M26" s="6" t="s">
        <v>23</v>
      </c>
      <c r="N26" s="6">
        <v>2.78</v>
      </c>
      <c r="O26" s="6">
        <v>14</v>
      </c>
    </row>
    <row r="27" spans="1:15" ht="14.25" customHeight="1" x14ac:dyDescent="0.3">
      <c r="A27" s="6" t="s">
        <v>106</v>
      </c>
      <c r="B27" s="6">
        <v>38</v>
      </c>
      <c r="C27" s="6" t="s">
        <v>16</v>
      </c>
      <c r="D27" s="6" t="s">
        <v>69</v>
      </c>
      <c r="E27" s="6" t="s">
        <v>18</v>
      </c>
      <c r="F27" s="6">
        <v>1026</v>
      </c>
      <c r="G27" s="6">
        <v>54839.09</v>
      </c>
      <c r="H27" s="7">
        <v>42736</v>
      </c>
      <c r="I27" s="6" t="s">
        <v>56</v>
      </c>
      <c r="J27" s="6" t="s">
        <v>107</v>
      </c>
      <c r="K27" s="6" t="s">
        <v>30</v>
      </c>
      <c r="L27" s="6" t="s">
        <v>31</v>
      </c>
      <c r="M27" s="6" t="s">
        <v>32</v>
      </c>
      <c r="N27" s="6">
        <v>3.4</v>
      </c>
      <c r="O27" s="6">
        <v>9</v>
      </c>
    </row>
    <row r="28" spans="1:15" ht="14.25" customHeight="1" x14ac:dyDescent="0.3">
      <c r="A28" s="6" t="s">
        <v>108</v>
      </c>
      <c r="B28" s="6">
        <v>27</v>
      </c>
      <c r="C28" s="6" t="s">
        <v>62</v>
      </c>
      <c r="D28" s="6" t="s">
        <v>17</v>
      </c>
      <c r="E28" s="6" t="s">
        <v>18</v>
      </c>
      <c r="F28" s="6">
        <v>1027</v>
      </c>
      <c r="G28" s="6">
        <v>121415.73</v>
      </c>
      <c r="H28" s="7">
        <v>43876</v>
      </c>
      <c r="I28" s="6" t="s">
        <v>63</v>
      </c>
      <c r="J28" s="6" t="s">
        <v>109</v>
      </c>
      <c r="K28" s="6" t="s">
        <v>37</v>
      </c>
      <c r="L28" s="6" t="s">
        <v>38</v>
      </c>
      <c r="M28" s="6" t="s">
        <v>39</v>
      </c>
      <c r="N28" s="6">
        <v>1.95</v>
      </c>
      <c r="O28" s="6">
        <v>115</v>
      </c>
    </row>
    <row r="29" spans="1:15" ht="14.25" customHeight="1" x14ac:dyDescent="0.3">
      <c r="A29" s="6" t="s">
        <v>110</v>
      </c>
      <c r="B29" s="6">
        <v>37</v>
      </c>
      <c r="C29" s="6" t="s">
        <v>16</v>
      </c>
      <c r="D29" s="6" t="s">
        <v>55</v>
      </c>
      <c r="E29" s="6" t="s">
        <v>80</v>
      </c>
      <c r="F29" s="6">
        <v>1028</v>
      </c>
      <c r="G29" s="6">
        <v>145305.42000000001</v>
      </c>
      <c r="H29" s="7">
        <v>40804</v>
      </c>
      <c r="I29" s="6" t="s">
        <v>66</v>
      </c>
      <c r="J29" s="6" t="s">
        <v>111</v>
      </c>
      <c r="K29" s="6" t="s">
        <v>43</v>
      </c>
      <c r="L29" s="6" t="s">
        <v>44</v>
      </c>
      <c r="M29" s="6" t="s">
        <v>45</v>
      </c>
      <c r="N29" s="6">
        <v>3.96</v>
      </c>
      <c r="O29" s="6">
        <v>70</v>
      </c>
    </row>
    <row r="30" spans="1:15" ht="14.25" customHeight="1" x14ac:dyDescent="0.3">
      <c r="A30" s="6" t="s">
        <v>112</v>
      </c>
      <c r="B30" s="6">
        <v>22</v>
      </c>
      <c r="C30" s="6" t="s">
        <v>62</v>
      </c>
      <c r="D30" s="6" t="s">
        <v>47</v>
      </c>
      <c r="E30" s="6" t="s">
        <v>18</v>
      </c>
      <c r="F30" s="6">
        <v>1029</v>
      </c>
      <c r="G30" s="6">
        <v>147349.46</v>
      </c>
      <c r="H30" s="7">
        <v>43592</v>
      </c>
      <c r="I30" s="6" t="s">
        <v>70</v>
      </c>
      <c r="J30" s="6" t="s">
        <v>113</v>
      </c>
      <c r="K30" s="8" t="s">
        <v>51</v>
      </c>
      <c r="L30" s="8" t="s">
        <v>52</v>
      </c>
      <c r="M30" s="6" t="s">
        <v>53</v>
      </c>
      <c r="N30" s="6">
        <v>4.3899999999999997</v>
      </c>
      <c r="O30" s="6">
        <v>55</v>
      </c>
    </row>
    <row r="31" spans="1:15" ht="14.25" customHeight="1" x14ac:dyDescent="0.3">
      <c r="A31" s="6" t="s">
        <v>114</v>
      </c>
      <c r="B31" s="6">
        <v>40</v>
      </c>
      <c r="C31" s="6" t="s">
        <v>62</v>
      </c>
      <c r="D31" s="6" t="s">
        <v>26</v>
      </c>
      <c r="E31" s="6" t="s">
        <v>80</v>
      </c>
      <c r="F31" s="6">
        <v>1030</v>
      </c>
      <c r="G31" s="6">
        <v>81651.429999999993</v>
      </c>
      <c r="H31" s="7">
        <v>41894</v>
      </c>
      <c r="I31" s="6" t="s">
        <v>73</v>
      </c>
      <c r="J31" s="6" t="s">
        <v>115</v>
      </c>
      <c r="K31" s="6" t="s">
        <v>58</v>
      </c>
      <c r="L31" s="6" t="s">
        <v>59</v>
      </c>
      <c r="M31" s="6" t="s">
        <v>60</v>
      </c>
      <c r="N31" s="6">
        <v>1.0900000000000001</v>
      </c>
      <c r="O31" s="6">
        <v>124</v>
      </c>
    </row>
    <row r="32" spans="1:15" ht="14.25" customHeight="1" x14ac:dyDescent="0.3">
      <c r="A32" s="6" t="s">
        <v>116</v>
      </c>
      <c r="B32" s="6">
        <v>57</v>
      </c>
      <c r="C32" s="6" t="s">
        <v>16</v>
      </c>
      <c r="D32" s="6" t="s">
        <v>26</v>
      </c>
      <c r="E32" s="6" t="s">
        <v>80</v>
      </c>
      <c r="F32" s="6">
        <v>1031</v>
      </c>
      <c r="G32" s="6">
        <v>105524.85</v>
      </c>
      <c r="H32" s="7">
        <v>39283</v>
      </c>
      <c r="I32" s="6" t="s">
        <v>19</v>
      </c>
      <c r="J32" s="6" t="s">
        <v>117</v>
      </c>
      <c r="K32" s="6" t="s">
        <v>21</v>
      </c>
      <c r="L32" s="6" t="s">
        <v>22</v>
      </c>
      <c r="M32" s="6" t="s">
        <v>23</v>
      </c>
      <c r="N32" s="6">
        <v>4.34</v>
      </c>
      <c r="O32" s="6">
        <v>179</v>
      </c>
    </row>
    <row r="33" spans="1:15" ht="14.25" customHeight="1" x14ac:dyDescent="0.3">
      <c r="A33" s="6" t="s">
        <v>118</v>
      </c>
      <c r="B33" s="6">
        <v>46</v>
      </c>
      <c r="C33" s="6" t="s">
        <v>25</v>
      </c>
      <c r="D33" s="6" t="s">
        <v>26</v>
      </c>
      <c r="E33" s="6" t="s">
        <v>27</v>
      </c>
      <c r="F33" s="6">
        <v>1032</v>
      </c>
      <c r="G33" s="6">
        <v>122537.78</v>
      </c>
      <c r="H33" s="7">
        <v>39227</v>
      </c>
      <c r="I33" s="6" t="s">
        <v>28</v>
      </c>
      <c r="J33" s="6" t="s">
        <v>119</v>
      </c>
      <c r="K33" s="6" t="s">
        <v>30</v>
      </c>
      <c r="L33" s="6" t="s">
        <v>31</v>
      </c>
      <c r="M33" s="6" t="s">
        <v>32</v>
      </c>
      <c r="N33" s="6">
        <v>3.71</v>
      </c>
      <c r="O33" s="6">
        <v>163</v>
      </c>
    </row>
    <row r="34" spans="1:15" ht="14.25" customHeight="1" x14ac:dyDescent="0.3">
      <c r="A34" s="6" t="s">
        <v>120</v>
      </c>
      <c r="B34" s="6">
        <v>51</v>
      </c>
      <c r="C34" s="6" t="s">
        <v>62</v>
      </c>
      <c r="D34" s="6" t="s">
        <v>17</v>
      </c>
      <c r="E34" s="6" t="s">
        <v>48</v>
      </c>
      <c r="F34" s="6">
        <v>1033</v>
      </c>
      <c r="G34" s="6">
        <v>193496.4</v>
      </c>
      <c r="H34" s="7">
        <v>44911</v>
      </c>
      <c r="I34" s="6" t="s">
        <v>35</v>
      </c>
      <c r="J34" s="6" t="s">
        <v>121</v>
      </c>
      <c r="K34" s="6" t="s">
        <v>37</v>
      </c>
      <c r="L34" s="6" t="s">
        <v>38</v>
      </c>
      <c r="M34" s="6" t="s">
        <v>39</v>
      </c>
      <c r="N34" s="6">
        <v>3.55</v>
      </c>
      <c r="O34" s="6">
        <v>39</v>
      </c>
    </row>
    <row r="35" spans="1:15" ht="14.25" customHeight="1" x14ac:dyDescent="0.3">
      <c r="A35" s="6" t="s">
        <v>122</v>
      </c>
      <c r="B35" s="6">
        <v>41</v>
      </c>
      <c r="C35" s="6" t="s">
        <v>16</v>
      </c>
      <c r="D35" s="6" t="s">
        <v>47</v>
      </c>
      <c r="E35" s="6" t="s">
        <v>18</v>
      </c>
      <c r="F35" s="6">
        <v>1034</v>
      </c>
      <c r="G35" s="6">
        <v>105630.04</v>
      </c>
      <c r="H35" s="7">
        <v>40871</v>
      </c>
      <c r="I35" s="6" t="s">
        <v>41</v>
      </c>
      <c r="J35" s="6" t="s">
        <v>123</v>
      </c>
      <c r="K35" s="6" t="s">
        <v>43</v>
      </c>
      <c r="L35" s="6" t="s">
        <v>44</v>
      </c>
      <c r="M35" s="6" t="s">
        <v>45</v>
      </c>
      <c r="N35" s="6">
        <v>3.46</v>
      </c>
      <c r="O35" s="6">
        <v>83</v>
      </c>
    </row>
    <row r="36" spans="1:15" ht="14.25" customHeight="1" x14ac:dyDescent="0.3">
      <c r="A36" s="6" t="s">
        <v>124</v>
      </c>
      <c r="B36" s="6">
        <v>41</v>
      </c>
      <c r="C36" s="6" t="s">
        <v>16</v>
      </c>
      <c r="D36" s="6" t="s">
        <v>55</v>
      </c>
      <c r="E36" s="6" t="s">
        <v>80</v>
      </c>
      <c r="F36" s="6">
        <v>1035</v>
      </c>
      <c r="G36" s="6">
        <v>118351.06</v>
      </c>
      <c r="H36" s="7">
        <v>42728</v>
      </c>
      <c r="I36" s="6" t="s">
        <v>49</v>
      </c>
      <c r="J36" s="6" t="s">
        <v>125</v>
      </c>
      <c r="K36" s="6" t="s">
        <v>51</v>
      </c>
      <c r="L36" s="6" t="s">
        <v>52</v>
      </c>
      <c r="M36" s="6" t="s">
        <v>53</v>
      </c>
      <c r="N36" s="6">
        <v>2.38</v>
      </c>
      <c r="O36" s="6">
        <v>199</v>
      </c>
    </row>
    <row r="37" spans="1:15" ht="14.25" customHeight="1" x14ac:dyDescent="0.3">
      <c r="A37" s="6" t="s">
        <v>126</v>
      </c>
      <c r="B37" s="6">
        <v>36</v>
      </c>
      <c r="C37" s="6" t="s">
        <v>16</v>
      </c>
      <c r="D37" s="6" t="s">
        <v>17</v>
      </c>
      <c r="E37" s="6" t="s">
        <v>48</v>
      </c>
      <c r="F37" s="6">
        <v>1036</v>
      </c>
      <c r="G37" s="6">
        <v>199429.49</v>
      </c>
      <c r="H37" s="7">
        <v>41106</v>
      </c>
      <c r="I37" s="6" t="s">
        <v>56</v>
      </c>
      <c r="J37" s="6" t="s">
        <v>127</v>
      </c>
      <c r="K37" s="6" t="s">
        <v>21</v>
      </c>
      <c r="L37" s="6" t="s">
        <v>22</v>
      </c>
      <c r="M37" s="6" t="s">
        <v>23</v>
      </c>
      <c r="N37" s="6">
        <v>2.82</v>
      </c>
      <c r="O37" s="6">
        <v>108</v>
      </c>
    </row>
    <row r="38" spans="1:15" ht="14.25" customHeight="1" x14ac:dyDescent="0.3">
      <c r="A38" s="6" t="s">
        <v>128</v>
      </c>
      <c r="B38" s="6">
        <v>61</v>
      </c>
      <c r="C38" s="6" t="s">
        <v>62</v>
      </c>
      <c r="D38" s="6" t="s">
        <v>69</v>
      </c>
      <c r="E38" s="6" t="s">
        <v>80</v>
      </c>
      <c r="F38" s="6">
        <v>1037</v>
      </c>
      <c r="G38" s="6">
        <v>63495.8</v>
      </c>
      <c r="H38" s="7">
        <v>36677</v>
      </c>
      <c r="I38" s="6" t="s">
        <v>63</v>
      </c>
      <c r="J38" s="6" t="s">
        <v>129</v>
      </c>
      <c r="K38" s="6" t="s">
        <v>30</v>
      </c>
      <c r="L38" s="6" t="s">
        <v>31</v>
      </c>
      <c r="M38" s="6" t="s">
        <v>32</v>
      </c>
      <c r="N38" s="6">
        <v>4.33</v>
      </c>
      <c r="O38" s="6">
        <v>143</v>
      </c>
    </row>
    <row r="39" spans="1:15" ht="14.25" customHeight="1" x14ac:dyDescent="0.3">
      <c r="A39" s="6" t="s">
        <v>130</v>
      </c>
      <c r="B39" s="6">
        <v>54</v>
      </c>
      <c r="C39" s="6" t="s">
        <v>25</v>
      </c>
      <c r="D39" s="6" t="s">
        <v>47</v>
      </c>
      <c r="E39" s="6" t="s">
        <v>18</v>
      </c>
      <c r="F39" s="6">
        <v>1038</v>
      </c>
      <c r="G39" s="6">
        <v>50511.46</v>
      </c>
      <c r="H39" s="7">
        <v>37106</v>
      </c>
      <c r="I39" s="6" t="s">
        <v>66</v>
      </c>
      <c r="J39" s="6" t="s">
        <v>131</v>
      </c>
      <c r="K39" s="6" t="s">
        <v>37</v>
      </c>
      <c r="L39" s="6" t="s">
        <v>38</v>
      </c>
      <c r="M39" s="6" t="s">
        <v>39</v>
      </c>
      <c r="N39" s="6">
        <v>2.08</v>
      </c>
      <c r="O39" s="6">
        <v>160</v>
      </c>
    </row>
    <row r="40" spans="1:15" ht="14.25" customHeight="1" x14ac:dyDescent="0.3">
      <c r="A40" s="6" t="s">
        <v>132</v>
      </c>
      <c r="B40" s="6">
        <v>23</v>
      </c>
      <c r="C40" s="6" t="s">
        <v>25</v>
      </c>
      <c r="D40" s="6" t="s">
        <v>47</v>
      </c>
      <c r="E40" s="6" t="s">
        <v>80</v>
      </c>
      <c r="F40" s="6">
        <v>1039</v>
      </c>
      <c r="G40" s="6">
        <v>81183.16</v>
      </c>
      <c r="H40" s="7">
        <v>41311</v>
      </c>
      <c r="I40" s="6" t="s">
        <v>70</v>
      </c>
      <c r="J40" s="6" t="s">
        <v>133</v>
      </c>
      <c r="K40" s="6" t="s">
        <v>43</v>
      </c>
      <c r="L40" s="6" t="s">
        <v>44</v>
      </c>
      <c r="M40" s="6" t="s">
        <v>45</v>
      </c>
      <c r="N40" s="6">
        <v>3.76</v>
      </c>
      <c r="O40" s="6">
        <v>113</v>
      </c>
    </row>
    <row r="41" spans="1:15" ht="14.25" customHeight="1" x14ac:dyDescent="0.3">
      <c r="A41" s="6" t="s">
        <v>134</v>
      </c>
      <c r="B41" s="6">
        <v>31</v>
      </c>
      <c r="C41" s="6" t="s">
        <v>16</v>
      </c>
      <c r="D41" s="6" t="s">
        <v>69</v>
      </c>
      <c r="E41" s="6" t="s">
        <v>34</v>
      </c>
      <c r="F41" s="6">
        <v>1040</v>
      </c>
      <c r="G41" s="6">
        <v>62803.18</v>
      </c>
      <c r="H41" s="7">
        <v>39152</v>
      </c>
      <c r="I41" s="6" t="s">
        <v>73</v>
      </c>
      <c r="J41" s="6" t="s">
        <v>135</v>
      </c>
      <c r="K41" s="6" t="s">
        <v>51</v>
      </c>
      <c r="L41" s="6" t="s">
        <v>52</v>
      </c>
      <c r="M41" s="6" t="s">
        <v>53</v>
      </c>
      <c r="N41" s="6">
        <v>2.4900000000000002</v>
      </c>
      <c r="O41" s="6">
        <v>173</v>
      </c>
    </row>
    <row r="42" spans="1:15" ht="14.25" customHeight="1" x14ac:dyDescent="0.3">
      <c r="A42" s="6" t="s">
        <v>136</v>
      </c>
      <c r="B42" s="6">
        <v>54</v>
      </c>
      <c r="C42" s="6" t="s">
        <v>62</v>
      </c>
      <c r="D42" s="6" t="s">
        <v>55</v>
      </c>
      <c r="E42" s="6" t="s">
        <v>34</v>
      </c>
      <c r="F42" s="6">
        <v>1041</v>
      </c>
      <c r="G42" s="6">
        <v>183849.86</v>
      </c>
      <c r="H42" s="7">
        <v>40326</v>
      </c>
      <c r="I42" s="6" t="s">
        <v>19</v>
      </c>
      <c r="J42" s="6" t="s">
        <v>137</v>
      </c>
      <c r="K42" s="6" t="s">
        <v>21</v>
      </c>
      <c r="L42" s="6" t="s">
        <v>22</v>
      </c>
      <c r="M42" s="6" t="s">
        <v>23</v>
      </c>
      <c r="N42" s="6">
        <v>4.5999999999999996</v>
      </c>
      <c r="O42" s="6">
        <v>161</v>
      </c>
    </row>
    <row r="43" spans="1:15" ht="14.25" customHeight="1" x14ac:dyDescent="0.3">
      <c r="A43" s="6" t="s">
        <v>138</v>
      </c>
      <c r="B43" s="6">
        <v>53</v>
      </c>
      <c r="C43" s="6" t="s">
        <v>25</v>
      </c>
      <c r="D43" s="6" t="s">
        <v>47</v>
      </c>
      <c r="E43" s="6" t="s">
        <v>27</v>
      </c>
      <c r="F43" s="6">
        <v>1042</v>
      </c>
      <c r="G43" s="6">
        <v>125027.13</v>
      </c>
      <c r="H43" s="7">
        <v>38539</v>
      </c>
      <c r="I43" s="6" t="s">
        <v>28</v>
      </c>
      <c r="J43" s="6" t="s">
        <v>139</v>
      </c>
      <c r="K43" s="6" t="s">
        <v>30</v>
      </c>
      <c r="L43" s="6" t="s">
        <v>31</v>
      </c>
      <c r="M43" s="6" t="s">
        <v>32</v>
      </c>
      <c r="N43" s="6">
        <v>1.53</v>
      </c>
      <c r="O43" s="6">
        <v>32</v>
      </c>
    </row>
    <row r="44" spans="1:15" ht="14.25" customHeight="1" x14ac:dyDescent="0.3">
      <c r="A44" s="6" t="s">
        <v>140</v>
      </c>
      <c r="B44" s="6">
        <v>32</v>
      </c>
      <c r="C44" s="6" t="s">
        <v>16</v>
      </c>
      <c r="D44" s="6" t="s">
        <v>26</v>
      </c>
      <c r="E44" s="6" t="s">
        <v>18</v>
      </c>
      <c r="F44" s="6">
        <v>1043</v>
      </c>
      <c r="G44" s="6">
        <v>169114.03</v>
      </c>
      <c r="H44" s="7">
        <v>43513</v>
      </c>
      <c r="I44" s="6" t="s">
        <v>35</v>
      </c>
      <c r="J44" s="6" t="s">
        <v>141</v>
      </c>
      <c r="K44" s="6" t="s">
        <v>37</v>
      </c>
      <c r="L44" s="6" t="s">
        <v>38</v>
      </c>
      <c r="M44" s="6" t="s">
        <v>39</v>
      </c>
      <c r="N44" s="6">
        <v>1.04</v>
      </c>
      <c r="O44" s="6">
        <v>82</v>
      </c>
    </row>
    <row r="45" spans="1:15" ht="14.25" customHeight="1" x14ac:dyDescent="0.3">
      <c r="A45" s="6" t="s">
        <v>142</v>
      </c>
      <c r="B45" s="6">
        <v>45</v>
      </c>
      <c r="C45" s="6" t="s">
        <v>25</v>
      </c>
      <c r="D45" s="6" t="s">
        <v>55</v>
      </c>
      <c r="E45" s="6" t="s">
        <v>18</v>
      </c>
      <c r="F45" s="6">
        <v>1044</v>
      </c>
      <c r="G45" s="6">
        <v>187406.32</v>
      </c>
      <c r="H45" s="7">
        <v>40647</v>
      </c>
      <c r="I45" s="6" t="s">
        <v>41</v>
      </c>
      <c r="J45" s="6" t="s">
        <v>143</v>
      </c>
      <c r="K45" s="6" t="s">
        <v>43</v>
      </c>
      <c r="L45" s="6" t="s">
        <v>44</v>
      </c>
      <c r="M45" s="6" t="s">
        <v>45</v>
      </c>
      <c r="N45" s="6">
        <v>1.8</v>
      </c>
      <c r="O45" s="6">
        <v>65</v>
      </c>
    </row>
    <row r="46" spans="1:15" ht="14.25" customHeight="1" x14ac:dyDescent="0.3">
      <c r="A46" s="6" t="s">
        <v>144</v>
      </c>
      <c r="B46" s="6">
        <v>57</v>
      </c>
      <c r="C46" s="6" t="s">
        <v>25</v>
      </c>
      <c r="D46" s="6" t="s">
        <v>17</v>
      </c>
      <c r="E46" s="6" t="s">
        <v>48</v>
      </c>
      <c r="F46" s="6">
        <v>1045</v>
      </c>
      <c r="G46" s="6">
        <v>193266.69</v>
      </c>
      <c r="H46" s="7">
        <v>41093</v>
      </c>
      <c r="I46" s="6" t="s">
        <v>49</v>
      </c>
      <c r="J46" s="6" t="s">
        <v>145</v>
      </c>
      <c r="K46" s="6" t="s">
        <v>51</v>
      </c>
      <c r="L46" s="6" t="s">
        <v>52</v>
      </c>
      <c r="M46" s="6" t="s">
        <v>53</v>
      </c>
      <c r="N46" s="6">
        <v>4.79</v>
      </c>
      <c r="O46" s="6">
        <v>124</v>
      </c>
    </row>
    <row r="47" spans="1:15" ht="14.25" customHeight="1" x14ac:dyDescent="0.3">
      <c r="A47" s="6" t="s">
        <v>146</v>
      </c>
      <c r="B47" s="6">
        <v>33</v>
      </c>
      <c r="C47" s="6" t="s">
        <v>62</v>
      </c>
      <c r="D47" s="6" t="s">
        <v>69</v>
      </c>
      <c r="E47" s="6" t="s">
        <v>80</v>
      </c>
      <c r="F47" s="6">
        <v>1046</v>
      </c>
      <c r="G47" s="6">
        <v>96855.19</v>
      </c>
      <c r="H47" s="7">
        <v>43097</v>
      </c>
      <c r="I47" s="6" t="s">
        <v>56</v>
      </c>
      <c r="J47" s="6" t="s">
        <v>147</v>
      </c>
      <c r="K47" s="6" t="s">
        <v>21</v>
      </c>
      <c r="L47" s="6" t="s">
        <v>22</v>
      </c>
      <c r="M47" s="6" t="s">
        <v>23</v>
      </c>
      <c r="N47" s="6">
        <v>3.12</v>
      </c>
      <c r="O47" s="6">
        <v>149</v>
      </c>
    </row>
    <row r="48" spans="1:15" ht="14.25" customHeight="1" x14ac:dyDescent="0.3">
      <c r="A48" s="6" t="s">
        <v>148</v>
      </c>
      <c r="B48" s="6">
        <v>50</v>
      </c>
      <c r="C48" s="6" t="s">
        <v>16</v>
      </c>
      <c r="D48" s="6" t="s">
        <v>26</v>
      </c>
      <c r="E48" s="6" t="s">
        <v>18</v>
      </c>
      <c r="F48" s="6">
        <v>1047</v>
      </c>
      <c r="G48" s="6">
        <v>86845.98</v>
      </c>
      <c r="H48" s="7">
        <v>39925</v>
      </c>
      <c r="I48" s="6" t="s">
        <v>63</v>
      </c>
      <c r="J48" s="6" t="s">
        <v>149</v>
      </c>
      <c r="K48" s="6" t="s">
        <v>30</v>
      </c>
      <c r="L48" s="6" t="s">
        <v>31</v>
      </c>
      <c r="M48" s="6" t="s">
        <v>32</v>
      </c>
      <c r="N48" s="6">
        <v>3.72</v>
      </c>
      <c r="O48" s="6">
        <v>11</v>
      </c>
    </row>
    <row r="49" spans="1:15" ht="14.25" customHeight="1" x14ac:dyDescent="0.3">
      <c r="A49" s="6" t="s">
        <v>150</v>
      </c>
      <c r="B49" s="6">
        <v>56</v>
      </c>
      <c r="C49" s="6" t="s">
        <v>25</v>
      </c>
      <c r="D49" s="6" t="s">
        <v>26</v>
      </c>
      <c r="E49" s="6" t="s">
        <v>18</v>
      </c>
      <c r="F49" s="6">
        <v>1048</v>
      </c>
      <c r="G49" s="6">
        <v>139543.64000000001</v>
      </c>
      <c r="H49" s="7">
        <v>42794</v>
      </c>
      <c r="I49" s="6" t="s">
        <v>66</v>
      </c>
      <c r="J49" s="6" t="s">
        <v>151</v>
      </c>
      <c r="K49" s="6" t="s">
        <v>37</v>
      </c>
      <c r="L49" s="6" t="s">
        <v>38</v>
      </c>
      <c r="M49" s="6" t="s">
        <v>39</v>
      </c>
      <c r="N49" s="6">
        <v>1.02</v>
      </c>
      <c r="O49" s="6">
        <v>83</v>
      </c>
    </row>
    <row r="50" spans="1:15" ht="14.25" customHeight="1" x14ac:dyDescent="0.3">
      <c r="A50" s="6" t="s">
        <v>152</v>
      </c>
      <c r="B50" s="6">
        <v>22</v>
      </c>
      <c r="C50" s="6" t="s">
        <v>25</v>
      </c>
      <c r="D50" s="6" t="s">
        <v>26</v>
      </c>
      <c r="E50" s="6" t="s">
        <v>48</v>
      </c>
      <c r="F50" s="6">
        <v>1049</v>
      </c>
      <c r="G50" s="6">
        <v>133726.10999999999</v>
      </c>
      <c r="H50" s="7">
        <v>37516</v>
      </c>
      <c r="I50" s="6" t="s">
        <v>70</v>
      </c>
      <c r="J50" s="6" t="s">
        <v>153</v>
      </c>
      <c r="K50" s="6" t="s">
        <v>43</v>
      </c>
      <c r="L50" s="6" t="s">
        <v>44</v>
      </c>
      <c r="M50" s="6" t="s">
        <v>45</v>
      </c>
      <c r="N50" s="6">
        <v>3.72</v>
      </c>
      <c r="O50" s="6">
        <v>164</v>
      </c>
    </row>
    <row r="51" spans="1:15" ht="14.25" customHeight="1" x14ac:dyDescent="0.3">
      <c r="A51" s="6" t="s">
        <v>154</v>
      </c>
      <c r="B51" s="6">
        <v>22</v>
      </c>
      <c r="C51" s="6" t="s">
        <v>62</v>
      </c>
      <c r="D51" s="6" t="s">
        <v>17</v>
      </c>
      <c r="E51" s="6" t="s">
        <v>34</v>
      </c>
      <c r="F51" s="6">
        <v>1050</v>
      </c>
      <c r="G51" s="6">
        <v>184934.92</v>
      </c>
      <c r="H51" s="7">
        <v>43960</v>
      </c>
      <c r="I51" s="6" t="s">
        <v>73</v>
      </c>
      <c r="J51" s="6" t="s">
        <v>155</v>
      </c>
      <c r="K51" s="6" t="s">
        <v>51</v>
      </c>
      <c r="L51" s="6" t="s">
        <v>52</v>
      </c>
      <c r="M51" s="6" t="s">
        <v>53</v>
      </c>
      <c r="N51" s="6">
        <v>3.68</v>
      </c>
      <c r="O51" s="6">
        <v>183</v>
      </c>
    </row>
    <row r="52" spans="1:15" ht="14.25" customHeight="1" x14ac:dyDescent="0.3">
      <c r="A52" s="6" t="s">
        <v>156</v>
      </c>
      <c r="B52" s="6">
        <v>58</v>
      </c>
      <c r="C52" s="6" t="s">
        <v>62</v>
      </c>
      <c r="D52" s="6" t="s">
        <v>26</v>
      </c>
      <c r="E52" s="6" t="s">
        <v>18</v>
      </c>
      <c r="F52" s="6">
        <v>1051</v>
      </c>
      <c r="G52" s="6">
        <v>116625.29</v>
      </c>
      <c r="H52" s="7">
        <v>44350</v>
      </c>
      <c r="I52" s="6" t="s">
        <v>19</v>
      </c>
      <c r="J52" s="6" t="s">
        <v>157</v>
      </c>
      <c r="K52" s="6" t="s">
        <v>21</v>
      </c>
      <c r="L52" s="6" t="s">
        <v>22</v>
      </c>
      <c r="M52" s="6" t="s">
        <v>23</v>
      </c>
      <c r="N52" s="6">
        <v>1.74</v>
      </c>
      <c r="O52" s="6">
        <v>117</v>
      </c>
    </row>
    <row r="53" spans="1:15" ht="14.25" customHeight="1" x14ac:dyDescent="0.3">
      <c r="A53" s="6" t="s">
        <v>158</v>
      </c>
      <c r="B53" s="6">
        <v>27</v>
      </c>
      <c r="C53" s="6" t="s">
        <v>25</v>
      </c>
      <c r="D53" s="6" t="s">
        <v>47</v>
      </c>
      <c r="E53" s="6" t="s">
        <v>48</v>
      </c>
      <c r="F53" s="6">
        <v>1052</v>
      </c>
      <c r="G53" s="6">
        <v>198684.03</v>
      </c>
      <c r="H53" s="7">
        <v>41840</v>
      </c>
      <c r="I53" s="6" t="s">
        <v>28</v>
      </c>
      <c r="J53" s="6" t="s">
        <v>159</v>
      </c>
      <c r="K53" s="6" t="s">
        <v>30</v>
      </c>
      <c r="L53" s="6" t="s">
        <v>31</v>
      </c>
      <c r="M53" s="6" t="s">
        <v>32</v>
      </c>
      <c r="N53" s="6">
        <v>1.76</v>
      </c>
      <c r="O53" s="6">
        <v>30</v>
      </c>
    </row>
    <row r="54" spans="1:15" ht="14.25" customHeight="1" x14ac:dyDescent="0.3">
      <c r="A54" s="6" t="s">
        <v>160</v>
      </c>
      <c r="B54" s="6">
        <v>60</v>
      </c>
      <c r="C54" s="6" t="s">
        <v>62</v>
      </c>
      <c r="D54" s="6" t="s">
        <v>26</v>
      </c>
      <c r="E54" s="6" t="s">
        <v>34</v>
      </c>
      <c r="F54" s="6">
        <v>1053</v>
      </c>
      <c r="G54" s="6">
        <v>162065.97</v>
      </c>
      <c r="H54" s="7">
        <v>43659</v>
      </c>
      <c r="I54" s="6" t="s">
        <v>35</v>
      </c>
      <c r="J54" s="6" t="s">
        <v>161</v>
      </c>
      <c r="K54" s="6" t="s">
        <v>37</v>
      </c>
      <c r="L54" s="6" t="s">
        <v>38</v>
      </c>
      <c r="M54" s="6" t="s">
        <v>39</v>
      </c>
      <c r="N54" s="6">
        <v>3.97</v>
      </c>
      <c r="O54" s="6">
        <v>173</v>
      </c>
    </row>
    <row r="55" spans="1:15" ht="14.25" customHeight="1" x14ac:dyDescent="0.3">
      <c r="A55" s="6" t="s">
        <v>162</v>
      </c>
      <c r="B55" s="6">
        <v>62</v>
      </c>
      <c r="C55" s="6" t="s">
        <v>62</v>
      </c>
      <c r="D55" s="6" t="s">
        <v>55</v>
      </c>
      <c r="E55" s="6" t="s">
        <v>18</v>
      </c>
      <c r="F55" s="6">
        <v>1054</v>
      </c>
      <c r="G55" s="6">
        <v>180376.54</v>
      </c>
      <c r="H55" s="7">
        <v>39403</v>
      </c>
      <c r="I55" s="6" t="s">
        <v>41</v>
      </c>
      <c r="J55" s="6" t="s">
        <v>163</v>
      </c>
      <c r="K55" s="6" t="s">
        <v>43</v>
      </c>
      <c r="L55" s="6" t="s">
        <v>44</v>
      </c>
      <c r="M55" s="6" t="s">
        <v>45</v>
      </c>
      <c r="N55" s="6">
        <v>2.11</v>
      </c>
      <c r="O55" s="6">
        <v>143</v>
      </c>
    </row>
    <row r="56" spans="1:15" ht="14.25" customHeight="1" x14ac:dyDescent="0.3">
      <c r="A56" s="6" t="s">
        <v>164</v>
      </c>
      <c r="B56" s="6">
        <v>39</v>
      </c>
      <c r="C56" s="6" t="s">
        <v>16</v>
      </c>
      <c r="D56" s="6" t="s">
        <v>47</v>
      </c>
      <c r="E56" s="6" t="s">
        <v>34</v>
      </c>
      <c r="F56" s="6">
        <v>1055</v>
      </c>
      <c r="G56" s="6">
        <v>139521.15</v>
      </c>
      <c r="H56" s="7">
        <v>41431</v>
      </c>
      <c r="I56" s="6" t="s">
        <v>49</v>
      </c>
      <c r="J56" s="6" t="s">
        <v>165</v>
      </c>
      <c r="K56" s="6" t="s">
        <v>51</v>
      </c>
      <c r="L56" s="6" t="s">
        <v>52</v>
      </c>
      <c r="M56" s="6" t="s">
        <v>53</v>
      </c>
      <c r="N56" s="6">
        <v>2.06</v>
      </c>
      <c r="O56" s="6">
        <v>161</v>
      </c>
    </row>
    <row r="57" spans="1:15" ht="14.25" customHeight="1" x14ac:dyDescent="0.3">
      <c r="A57" s="6" t="s">
        <v>166</v>
      </c>
      <c r="B57" s="6">
        <v>37</v>
      </c>
      <c r="C57" s="6" t="s">
        <v>16</v>
      </c>
      <c r="D57" s="6" t="s">
        <v>26</v>
      </c>
      <c r="E57" s="6" t="s">
        <v>18</v>
      </c>
      <c r="F57" s="6">
        <v>1056</v>
      </c>
      <c r="G57" s="6">
        <v>160423.66</v>
      </c>
      <c r="H57" s="7">
        <v>43961</v>
      </c>
      <c r="I57" s="6" t="s">
        <v>56</v>
      </c>
      <c r="J57" s="6" t="s">
        <v>167</v>
      </c>
      <c r="K57" s="6" t="s">
        <v>21</v>
      </c>
      <c r="L57" s="6" t="s">
        <v>22</v>
      </c>
      <c r="M57" s="6" t="s">
        <v>23</v>
      </c>
      <c r="N57" s="6">
        <v>1.32</v>
      </c>
      <c r="O57" s="6">
        <v>183</v>
      </c>
    </row>
    <row r="58" spans="1:15" ht="14.25" customHeight="1" x14ac:dyDescent="0.3">
      <c r="A58" s="6" t="s">
        <v>168</v>
      </c>
      <c r="B58" s="6">
        <v>26</v>
      </c>
      <c r="C58" s="6" t="s">
        <v>25</v>
      </c>
      <c r="D58" s="6" t="s">
        <v>17</v>
      </c>
      <c r="E58" s="6" t="s">
        <v>27</v>
      </c>
      <c r="F58" s="6">
        <v>1057</v>
      </c>
      <c r="G58" s="6">
        <v>180510.58</v>
      </c>
      <c r="H58" s="7">
        <v>36706</v>
      </c>
      <c r="I58" s="6" t="s">
        <v>63</v>
      </c>
      <c r="J58" s="6" t="s">
        <v>169</v>
      </c>
      <c r="K58" s="6" t="s">
        <v>30</v>
      </c>
      <c r="L58" s="6" t="s">
        <v>31</v>
      </c>
      <c r="M58" s="6" t="s">
        <v>32</v>
      </c>
      <c r="N58" s="6">
        <v>4.3099999999999996</v>
      </c>
      <c r="O58" s="6">
        <v>168</v>
      </c>
    </row>
    <row r="59" spans="1:15" ht="14.25" customHeight="1" x14ac:dyDescent="0.3">
      <c r="A59" s="6" t="s">
        <v>170</v>
      </c>
      <c r="B59" s="6">
        <v>63</v>
      </c>
      <c r="C59" s="6" t="s">
        <v>25</v>
      </c>
      <c r="D59" s="6" t="s">
        <v>26</v>
      </c>
      <c r="E59" s="6" t="s">
        <v>80</v>
      </c>
      <c r="F59" s="6">
        <v>1058</v>
      </c>
      <c r="G59" s="6">
        <v>168671.1</v>
      </c>
      <c r="H59" s="7">
        <v>40690</v>
      </c>
      <c r="I59" s="6" t="s">
        <v>66</v>
      </c>
      <c r="J59" s="6" t="s">
        <v>171</v>
      </c>
      <c r="K59" s="6" t="s">
        <v>37</v>
      </c>
      <c r="L59" s="6" t="s">
        <v>38</v>
      </c>
      <c r="M59" s="6" t="s">
        <v>39</v>
      </c>
      <c r="N59" s="6">
        <v>3.53</v>
      </c>
      <c r="O59" s="6">
        <v>180</v>
      </c>
    </row>
    <row r="60" spans="1:15" ht="14.25" customHeight="1" x14ac:dyDescent="0.3">
      <c r="A60" s="6" t="s">
        <v>172</v>
      </c>
      <c r="B60" s="6">
        <v>64</v>
      </c>
      <c r="C60" s="6" t="s">
        <v>25</v>
      </c>
      <c r="D60" s="6" t="s">
        <v>17</v>
      </c>
      <c r="E60" s="6" t="s">
        <v>48</v>
      </c>
      <c r="F60" s="6">
        <v>1059</v>
      </c>
      <c r="G60" s="6">
        <v>132003.32999999999</v>
      </c>
      <c r="H60" s="7">
        <v>41421</v>
      </c>
      <c r="I60" s="6" t="s">
        <v>70</v>
      </c>
      <c r="J60" s="6" t="s">
        <v>173</v>
      </c>
      <c r="K60" s="6" t="s">
        <v>43</v>
      </c>
      <c r="L60" s="6" t="s">
        <v>44</v>
      </c>
      <c r="M60" s="6" t="s">
        <v>45</v>
      </c>
      <c r="N60" s="6">
        <v>1.08</v>
      </c>
      <c r="O60" s="6">
        <v>58</v>
      </c>
    </row>
    <row r="61" spans="1:15" ht="14.25" customHeight="1" x14ac:dyDescent="0.3">
      <c r="A61" s="6" t="s">
        <v>174</v>
      </c>
      <c r="B61" s="6">
        <v>53</v>
      </c>
      <c r="C61" s="6" t="s">
        <v>62</v>
      </c>
      <c r="D61" s="6" t="s">
        <v>47</v>
      </c>
      <c r="E61" s="6" t="s">
        <v>18</v>
      </c>
      <c r="F61" s="6">
        <v>1060</v>
      </c>
      <c r="G61" s="6">
        <v>187832.01</v>
      </c>
      <c r="H61" s="7">
        <v>39597</v>
      </c>
      <c r="I61" s="6" t="s">
        <v>73</v>
      </c>
      <c r="J61" s="6" t="s">
        <v>175</v>
      </c>
      <c r="K61" s="6" t="s">
        <v>51</v>
      </c>
      <c r="L61" s="6" t="s">
        <v>52</v>
      </c>
      <c r="M61" s="6" t="s">
        <v>53</v>
      </c>
      <c r="N61" s="6">
        <v>1.24</v>
      </c>
      <c r="O61" s="6">
        <v>153</v>
      </c>
    </row>
    <row r="62" spans="1:15" ht="14.25" customHeight="1" x14ac:dyDescent="0.3">
      <c r="A62" s="6" t="s">
        <v>176</v>
      </c>
      <c r="B62" s="6">
        <v>23</v>
      </c>
      <c r="C62" s="6" t="s">
        <v>16</v>
      </c>
      <c r="D62" s="6" t="s">
        <v>47</v>
      </c>
      <c r="E62" s="6" t="s">
        <v>80</v>
      </c>
      <c r="F62" s="6">
        <v>1061</v>
      </c>
      <c r="G62" s="6">
        <v>80646.55</v>
      </c>
      <c r="H62" s="7">
        <v>40004</v>
      </c>
      <c r="I62" s="6" t="s">
        <v>19</v>
      </c>
      <c r="J62" s="6" t="s">
        <v>177</v>
      </c>
      <c r="K62" s="6" t="s">
        <v>21</v>
      </c>
      <c r="L62" s="6" t="s">
        <v>22</v>
      </c>
      <c r="M62" s="6" t="s">
        <v>23</v>
      </c>
      <c r="N62" s="6">
        <v>2.35</v>
      </c>
      <c r="O62" s="6">
        <v>112</v>
      </c>
    </row>
    <row r="63" spans="1:15" ht="14.25" customHeight="1" x14ac:dyDescent="0.3">
      <c r="A63" s="6" t="s">
        <v>178</v>
      </c>
      <c r="B63" s="6">
        <v>23</v>
      </c>
      <c r="C63" s="6" t="s">
        <v>25</v>
      </c>
      <c r="D63" s="6" t="s">
        <v>47</v>
      </c>
      <c r="E63" s="6" t="s">
        <v>27</v>
      </c>
      <c r="F63" s="6">
        <v>1062</v>
      </c>
      <c r="G63" s="6">
        <v>86216.16</v>
      </c>
      <c r="H63" s="7">
        <v>43363</v>
      </c>
      <c r="I63" s="6" t="s">
        <v>28</v>
      </c>
      <c r="J63" s="6" t="s">
        <v>179</v>
      </c>
      <c r="K63" s="6" t="s">
        <v>30</v>
      </c>
      <c r="L63" s="6" t="s">
        <v>31</v>
      </c>
      <c r="M63" s="6" t="s">
        <v>32</v>
      </c>
      <c r="N63" s="6">
        <v>2.2200000000000002</v>
      </c>
      <c r="O63" s="6">
        <v>145</v>
      </c>
    </row>
    <row r="64" spans="1:15" ht="14.25" customHeight="1" x14ac:dyDescent="0.3">
      <c r="A64" s="6" t="s">
        <v>180</v>
      </c>
      <c r="B64" s="6">
        <v>61</v>
      </c>
      <c r="C64" s="6" t="s">
        <v>16</v>
      </c>
      <c r="D64" s="6" t="s">
        <v>47</v>
      </c>
      <c r="E64" s="6" t="s">
        <v>34</v>
      </c>
      <c r="F64" s="6">
        <v>1063</v>
      </c>
      <c r="G64" s="6">
        <v>146404.20000000001</v>
      </c>
      <c r="H64" s="7">
        <v>42445</v>
      </c>
      <c r="I64" s="6" t="s">
        <v>35</v>
      </c>
      <c r="J64" s="6" t="s">
        <v>181</v>
      </c>
      <c r="K64" s="6" t="s">
        <v>37</v>
      </c>
      <c r="L64" s="6" t="s">
        <v>38</v>
      </c>
      <c r="M64" s="6" t="s">
        <v>39</v>
      </c>
      <c r="N64" s="6">
        <v>4.5</v>
      </c>
      <c r="O64" s="6">
        <v>107</v>
      </c>
    </row>
    <row r="65" spans="1:15" ht="14.25" customHeight="1" x14ac:dyDescent="0.3">
      <c r="A65" s="6" t="s">
        <v>182</v>
      </c>
      <c r="B65" s="6">
        <v>63</v>
      </c>
      <c r="C65" s="6" t="s">
        <v>62</v>
      </c>
      <c r="D65" s="6" t="s">
        <v>17</v>
      </c>
      <c r="E65" s="6" t="s">
        <v>27</v>
      </c>
      <c r="F65" s="6">
        <v>1064</v>
      </c>
      <c r="G65" s="6">
        <v>179868.67</v>
      </c>
      <c r="H65" s="7">
        <v>39366</v>
      </c>
      <c r="I65" s="6" t="s">
        <v>41</v>
      </c>
      <c r="J65" s="6" t="s">
        <v>183</v>
      </c>
      <c r="K65" s="6" t="s">
        <v>43</v>
      </c>
      <c r="L65" s="6" t="s">
        <v>44</v>
      </c>
      <c r="M65" s="6" t="s">
        <v>45</v>
      </c>
      <c r="N65" s="6">
        <v>3.28</v>
      </c>
      <c r="O65" s="6">
        <v>150</v>
      </c>
    </row>
    <row r="66" spans="1:15" ht="14.25" customHeight="1" x14ac:dyDescent="0.3">
      <c r="A66" s="6" t="s">
        <v>184</v>
      </c>
      <c r="B66" s="6">
        <v>57</v>
      </c>
      <c r="C66" s="6" t="s">
        <v>16</v>
      </c>
      <c r="D66" s="6" t="s">
        <v>55</v>
      </c>
      <c r="E66" s="6" t="s">
        <v>80</v>
      </c>
      <c r="F66" s="6">
        <v>1065</v>
      </c>
      <c r="G66" s="6">
        <v>71229.509999999995</v>
      </c>
      <c r="H66" s="7">
        <v>39949</v>
      </c>
      <c r="I66" s="6" t="s">
        <v>49</v>
      </c>
      <c r="J66" s="6" t="s">
        <v>185</v>
      </c>
      <c r="K66" s="6" t="s">
        <v>51</v>
      </c>
      <c r="L66" s="6" t="s">
        <v>52</v>
      </c>
      <c r="M66" s="6" t="s">
        <v>53</v>
      </c>
      <c r="N66" s="6">
        <v>1.37</v>
      </c>
      <c r="O66" s="6">
        <v>12</v>
      </c>
    </row>
    <row r="67" spans="1:15" ht="14.25" customHeight="1" x14ac:dyDescent="0.3">
      <c r="A67" s="6" t="s">
        <v>186</v>
      </c>
      <c r="B67" s="6">
        <v>60</v>
      </c>
      <c r="C67" s="6" t="s">
        <v>62</v>
      </c>
      <c r="D67" s="6" t="s">
        <v>17</v>
      </c>
      <c r="E67" s="6" t="s">
        <v>48</v>
      </c>
      <c r="F67" s="6">
        <v>1066</v>
      </c>
      <c r="G67" s="6">
        <v>137742.38</v>
      </c>
      <c r="H67" s="7">
        <v>42676</v>
      </c>
      <c r="I67" s="6" t="s">
        <v>56</v>
      </c>
      <c r="J67" s="6" t="s">
        <v>187</v>
      </c>
      <c r="K67" s="6" t="s">
        <v>21</v>
      </c>
      <c r="L67" s="6" t="s">
        <v>22</v>
      </c>
      <c r="M67" s="6" t="s">
        <v>23</v>
      </c>
      <c r="N67" s="6">
        <v>1.38</v>
      </c>
      <c r="O67" s="6">
        <v>38</v>
      </c>
    </row>
    <row r="68" spans="1:15" ht="14.25" customHeight="1" x14ac:dyDescent="0.3">
      <c r="A68" s="6" t="s">
        <v>188</v>
      </c>
      <c r="B68" s="6">
        <v>33</v>
      </c>
      <c r="C68" s="6" t="s">
        <v>25</v>
      </c>
      <c r="D68" s="6" t="s">
        <v>17</v>
      </c>
      <c r="E68" s="6" t="s">
        <v>80</v>
      </c>
      <c r="F68" s="6">
        <v>1067</v>
      </c>
      <c r="G68" s="6">
        <v>178939.88</v>
      </c>
      <c r="H68" s="7">
        <v>38303</v>
      </c>
      <c r="I68" s="6" t="s">
        <v>63</v>
      </c>
      <c r="J68" s="6" t="s">
        <v>189</v>
      </c>
      <c r="K68" s="6" t="s">
        <v>30</v>
      </c>
      <c r="L68" s="6" t="s">
        <v>31</v>
      </c>
      <c r="M68" s="6" t="s">
        <v>32</v>
      </c>
      <c r="N68" s="6">
        <v>3.57</v>
      </c>
      <c r="O68" s="6">
        <v>163</v>
      </c>
    </row>
    <row r="69" spans="1:15" ht="14.25" customHeight="1" x14ac:dyDescent="0.3">
      <c r="A69" s="6" t="s">
        <v>190</v>
      </c>
      <c r="B69" s="6">
        <v>40</v>
      </c>
      <c r="C69" s="6" t="s">
        <v>62</v>
      </c>
      <c r="D69" s="6" t="s">
        <v>26</v>
      </c>
      <c r="E69" s="6" t="s">
        <v>34</v>
      </c>
      <c r="F69" s="6">
        <v>1068</v>
      </c>
      <c r="G69" s="6">
        <v>117411.9</v>
      </c>
      <c r="H69" s="7">
        <v>40289</v>
      </c>
      <c r="I69" s="6" t="s">
        <v>66</v>
      </c>
      <c r="J69" s="6" t="s">
        <v>191</v>
      </c>
      <c r="K69" s="6" t="s">
        <v>37</v>
      </c>
      <c r="L69" s="6" t="s">
        <v>38</v>
      </c>
      <c r="M69" s="6" t="s">
        <v>39</v>
      </c>
      <c r="N69" s="6">
        <v>2.5</v>
      </c>
      <c r="O69" s="6">
        <v>34</v>
      </c>
    </row>
    <row r="70" spans="1:15" ht="14.25" customHeight="1" x14ac:dyDescent="0.3">
      <c r="A70" s="6" t="s">
        <v>192</v>
      </c>
      <c r="B70" s="6">
        <v>49</v>
      </c>
      <c r="C70" s="6" t="s">
        <v>62</v>
      </c>
      <c r="D70" s="6" t="s">
        <v>26</v>
      </c>
      <c r="E70" s="6" t="s">
        <v>80</v>
      </c>
      <c r="F70" s="6">
        <v>1069</v>
      </c>
      <c r="G70" s="6">
        <v>101480.08</v>
      </c>
      <c r="H70" s="7">
        <v>36773</v>
      </c>
      <c r="I70" s="6" t="s">
        <v>70</v>
      </c>
      <c r="J70" s="6" t="s">
        <v>193</v>
      </c>
      <c r="K70" s="6" t="s">
        <v>43</v>
      </c>
      <c r="L70" s="6" t="s">
        <v>44</v>
      </c>
      <c r="M70" s="6" t="s">
        <v>45</v>
      </c>
      <c r="N70" s="6">
        <v>4.76</v>
      </c>
      <c r="O70" s="6">
        <v>23</v>
      </c>
    </row>
    <row r="71" spans="1:15" ht="14.25" customHeight="1" x14ac:dyDescent="0.3">
      <c r="A71" s="6" t="s">
        <v>194</v>
      </c>
      <c r="B71" s="6">
        <v>22</v>
      </c>
      <c r="C71" s="6" t="s">
        <v>62</v>
      </c>
      <c r="D71" s="6" t="s">
        <v>17</v>
      </c>
      <c r="E71" s="6" t="s">
        <v>27</v>
      </c>
      <c r="F71" s="6">
        <v>1070</v>
      </c>
      <c r="G71" s="6">
        <v>181861.73</v>
      </c>
      <c r="H71" s="7">
        <v>37264</v>
      </c>
      <c r="I71" s="6" t="s">
        <v>73</v>
      </c>
      <c r="J71" s="6" t="s">
        <v>195</v>
      </c>
      <c r="K71" s="6" t="s">
        <v>51</v>
      </c>
      <c r="L71" s="6" t="s">
        <v>52</v>
      </c>
      <c r="M71" s="6" t="s">
        <v>53</v>
      </c>
      <c r="N71" s="6">
        <v>1.64</v>
      </c>
      <c r="O71" s="6">
        <v>103</v>
      </c>
    </row>
    <row r="72" spans="1:15" ht="14.25" customHeight="1" x14ac:dyDescent="0.3">
      <c r="A72" s="6" t="s">
        <v>196</v>
      </c>
      <c r="B72" s="6">
        <v>36</v>
      </c>
      <c r="C72" s="6" t="s">
        <v>62</v>
      </c>
      <c r="D72" s="6" t="s">
        <v>69</v>
      </c>
      <c r="E72" s="6" t="s">
        <v>80</v>
      </c>
      <c r="F72" s="6">
        <v>1071</v>
      </c>
      <c r="G72" s="6">
        <v>190144.74</v>
      </c>
      <c r="H72" s="7">
        <v>40442</v>
      </c>
      <c r="I72" s="6" t="s">
        <v>19</v>
      </c>
      <c r="J72" s="6" t="s">
        <v>197</v>
      </c>
      <c r="K72" s="6" t="s">
        <v>21</v>
      </c>
      <c r="L72" s="6" t="s">
        <v>22</v>
      </c>
      <c r="M72" s="6" t="s">
        <v>23</v>
      </c>
      <c r="N72" s="6">
        <v>4.4000000000000004</v>
      </c>
      <c r="O72" s="6">
        <v>17</v>
      </c>
    </row>
    <row r="73" spans="1:15" ht="14.25" customHeight="1" x14ac:dyDescent="0.3">
      <c r="A73" s="6" t="s">
        <v>198</v>
      </c>
      <c r="B73" s="6">
        <v>57</v>
      </c>
      <c r="C73" s="6" t="s">
        <v>25</v>
      </c>
      <c r="D73" s="6" t="s">
        <v>55</v>
      </c>
      <c r="E73" s="6" t="s">
        <v>80</v>
      </c>
      <c r="F73" s="6">
        <v>1072</v>
      </c>
      <c r="G73" s="6">
        <v>147474.16</v>
      </c>
      <c r="H73" s="7">
        <v>38789</v>
      </c>
      <c r="I73" s="6" t="s">
        <v>28</v>
      </c>
      <c r="J73" s="6" t="s">
        <v>199</v>
      </c>
      <c r="K73" s="6" t="s">
        <v>30</v>
      </c>
      <c r="L73" s="6" t="s">
        <v>31</v>
      </c>
      <c r="M73" s="6" t="s">
        <v>32</v>
      </c>
      <c r="N73" s="6">
        <v>1.73</v>
      </c>
      <c r="O73" s="6">
        <v>118</v>
      </c>
    </row>
    <row r="74" spans="1:15" ht="14.25" customHeight="1" x14ac:dyDescent="0.3">
      <c r="A74" s="6" t="s">
        <v>200</v>
      </c>
      <c r="B74" s="6">
        <v>34</v>
      </c>
      <c r="C74" s="6" t="s">
        <v>16</v>
      </c>
      <c r="D74" s="6" t="s">
        <v>47</v>
      </c>
      <c r="E74" s="6" t="s">
        <v>80</v>
      </c>
      <c r="F74" s="6">
        <v>1073</v>
      </c>
      <c r="G74" s="6">
        <v>182363.39</v>
      </c>
      <c r="H74" s="7">
        <v>43517</v>
      </c>
      <c r="I74" s="6" t="s">
        <v>35</v>
      </c>
      <c r="J74" s="6" t="s">
        <v>201</v>
      </c>
      <c r="K74" s="6" t="s">
        <v>37</v>
      </c>
      <c r="L74" s="6" t="s">
        <v>38</v>
      </c>
      <c r="M74" s="6" t="s">
        <v>39</v>
      </c>
      <c r="N74" s="6">
        <v>2.2400000000000002</v>
      </c>
      <c r="O74" s="6">
        <v>37</v>
      </c>
    </row>
    <row r="75" spans="1:15" ht="14.25" customHeight="1" x14ac:dyDescent="0.3">
      <c r="A75" s="6" t="s">
        <v>202</v>
      </c>
      <c r="B75" s="6">
        <v>64</v>
      </c>
      <c r="C75" s="6" t="s">
        <v>25</v>
      </c>
      <c r="D75" s="6" t="s">
        <v>47</v>
      </c>
      <c r="E75" s="6" t="s">
        <v>80</v>
      </c>
      <c r="F75" s="6">
        <v>1074</v>
      </c>
      <c r="G75" s="6">
        <v>98636.45</v>
      </c>
      <c r="H75" s="7">
        <v>38759</v>
      </c>
      <c r="I75" s="6" t="s">
        <v>41</v>
      </c>
      <c r="J75" s="6" t="s">
        <v>203</v>
      </c>
      <c r="K75" s="6" t="s">
        <v>43</v>
      </c>
      <c r="L75" s="6" t="s">
        <v>44</v>
      </c>
      <c r="M75" s="6" t="s">
        <v>45</v>
      </c>
      <c r="N75" s="6">
        <v>3.84</v>
      </c>
      <c r="O75" s="6">
        <v>193</v>
      </c>
    </row>
    <row r="76" spans="1:15" ht="14.25" customHeight="1" x14ac:dyDescent="0.3">
      <c r="A76" s="6" t="s">
        <v>204</v>
      </c>
      <c r="B76" s="6">
        <v>42</v>
      </c>
      <c r="C76" s="6" t="s">
        <v>25</v>
      </c>
      <c r="D76" s="6" t="s">
        <v>47</v>
      </c>
      <c r="E76" s="6" t="s">
        <v>34</v>
      </c>
      <c r="F76" s="6">
        <v>1075</v>
      </c>
      <c r="G76" s="6">
        <v>136704</v>
      </c>
      <c r="H76" s="7">
        <v>37865</v>
      </c>
      <c r="I76" s="6" t="s">
        <v>49</v>
      </c>
      <c r="J76" s="6" t="s">
        <v>205</v>
      </c>
      <c r="K76" s="6" t="s">
        <v>51</v>
      </c>
      <c r="L76" s="6" t="s">
        <v>52</v>
      </c>
      <c r="M76" s="6" t="s">
        <v>53</v>
      </c>
      <c r="N76" s="6">
        <v>1.04</v>
      </c>
      <c r="O76" s="6">
        <v>155</v>
      </c>
    </row>
    <row r="77" spans="1:15" ht="14.25" customHeight="1" x14ac:dyDescent="0.3">
      <c r="A77" s="6" t="s">
        <v>206</v>
      </c>
      <c r="B77" s="6">
        <v>33</v>
      </c>
      <c r="C77" s="6" t="s">
        <v>62</v>
      </c>
      <c r="D77" s="6" t="s">
        <v>26</v>
      </c>
      <c r="E77" s="6" t="s">
        <v>80</v>
      </c>
      <c r="F77" s="6">
        <v>1076</v>
      </c>
      <c r="G77" s="6">
        <v>160288.32000000001</v>
      </c>
      <c r="H77" s="7">
        <v>42144</v>
      </c>
      <c r="I77" s="6" t="s">
        <v>56</v>
      </c>
      <c r="J77" s="6" t="s">
        <v>207</v>
      </c>
      <c r="K77" s="6" t="s">
        <v>21</v>
      </c>
      <c r="L77" s="6" t="s">
        <v>22</v>
      </c>
      <c r="M77" s="6" t="s">
        <v>23</v>
      </c>
      <c r="N77" s="6">
        <v>3.3</v>
      </c>
      <c r="O77" s="6">
        <v>78</v>
      </c>
    </row>
    <row r="78" spans="1:15" ht="14.25" customHeight="1" x14ac:dyDescent="0.3">
      <c r="A78" s="6" t="s">
        <v>208</v>
      </c>
      <c r="B78" s="6">
        <v>26</v>
      </c>
      <c r="C78" s="6" t="s">
        <v>25</v>
      </c>
      <c r="D78" s="6" t="s">
        <v>26</v>
      </c>
      <c r="E78" s="6" t="s">
        <v>48</v>
      </c>
      <c r="F78" s="6">
        <v>1077</v>
      </c>
      <c r="G78" s="6">
        <v>107907.36</v>
      </c>
      <c r="H78" s="7">
        <v>37493</v>
      </c>
      <c r="I78" s="6" t="s">
        <v>63</v>
      </c>
      <c r="J78" s="6" t="s">
        <v>209</v>
      </c>
      <c r="K78" s="6" t="s">
        <v>30</v>
      </c>
      <c r="L78" s="6" t="s">
        <v>31</v>
      </c>
      <c r="M78" s="6" t="s">
        <v>32</v>
      </c>
      <c r="N78" s="6">
        <v>1.72</v>
      </c>
      <c r="O78" s="6">
        <v>90</v>
      </c>
    </row>
    <row r="79" spans="1:15" ht="14.25" customHeight="1" x14ac:dyDescent="0.3">
      <c r="A79" s="6" t="s">
        <v>210</v>
      </c>
      <c r="B79" s="6">
        <v>28</v>
      </c>
      <c r="C79" s="6" t="s">
        <v>62</v>
      </c>
      <c r="D79" s="6" t="s">
        <v>55</v>
      </c>
      <c r="E79" s="6" t="s">
        <v>34</v>
      </c>
      <c r="F79" s="6">
        <v>1078</v>
      </c>
      <c r="G79" s="6">
        <v>126664.7</v>
      </c>
      <c r="H79" s="7">
        <v>38232</v>
      </c>
      <c r="I79" s="6" t="s">
        <v>66</v>
      </c>
      <c r="J79" s="6" t="s">
        <v>211</v>
      </c>
      <c r="K79" s="6" t="s">
        <v>37</v>
      </c>
      <c r="L79" s="6" t="s">
        <v>38</v>
      </c>
      <c r="M79" s="6" t="s">
        <v>39</v>
      </c>
      <c r="N79" s="6">
        <v>4.3600000000000003</v>
      </c>
      <c r="O79" s="6">
        <v>79</v>
      </c>
    </row>
    <row r="80" spans="1:15" ht="14.25" customHeight="1" x14ac:dyDescent="0.3">
      <c r="A80" s="6" t="s">
        <v>212</v>
      </c>
      <c r="B80" s="6">
        <v>26</v>
      </c>
      <c r="C80" s="6" t="s">
        <v>16</v>
      </c>
      <c r="D80" s="6" t="s">
        <v>55</v>
      </c>
      <c r="E80" s="6" t="s">
        <v>34</v>
      </c>
      <c r="F80" s="6">
        <v>1079</v>
      </c>
      <c r="G80" s="6">
        <v>199972.19</v>
      </c>
      <c r="H80" s="7">
        <v>41269</v>
      </c>
      <c r="I80" s="6" t="s">
        <v>70</v>
      </c>
      <c r="J80" s="6" t="s">
        <v>213</v>
      </c>
      <c r="K80" s="6" t="s">
        <v>43</v>
      </c>
      <c r="L80" s="6" t="s">
        <v>44</v>
      </c>
      <c r="M80" s="6" t="s">
        <v>45</v>
      </c>
      <c r="N80" s="6">
        <v>3.51</v>
      </c>
      <c r="O80" s="6">
        <v>160</v>
      </c>
    </row>
    <row r="81" spans="1:15" ht="14.25" customHeight="1" x14ac:dyDescent="0.3">
      <c r="A81" s="6" t="s">
        <v>214</v>
      </c>
      <c r="B81" s="6">
        <v>25</v>
      </c>
      <c r="C81" s="6" t="s">
        <v>62</v>
      </c>
      <c r="D81" s="6" t="s">
        <v>17</v>
      </c>
      <c r="E81" s="6" t="s">
        <v>80</v>
      </c>
      <c r="F81" s="6">
        <v>1080</v>
      </c>
      <c r="G81" s="6">
        <v>90064.11</v>
      </c>
      <c r="H81" s="7">
        <v>43281</v>
      </c>
      <c r="I81" s="6" t="s">
        <v>73</v>
      </c>
      <c r="J81" s="6" t="s">
        <v>215</v>
      </c>
      <c r="K81" s="6" t="s">
        <v>51</v>
      </c>
      <c r="L81" s="6" t="s">
        <v>52</v>
      </c>
      <c r="M81" s="6" t="s">
        <v>53</v>
      </c>
      <c r="N81" s="6">
        <v>3.54</v>
      </c>
      <c r="O81" s="6">
        <v>33</v>
      </c>
    </row>
    <row r="82" spans="1:15" ht="14.25" customHeight="1" x14ac:dyDescent="0.3">
      <c r="A82" s="6" t="s">
        <v>216</v>
      </c>
      <c r="B82" s="6">
        <v>34</v>
      </c>
      <c r="C82" s="6" t="s">
        <v>16</v>
      </c>
      <c r="D82" s="6" t="s">
        <v>26</v>
      </c>
      <c r="E82" s="6" t="s">
        <v>27</v>
      </c>
      <c r="F82" s="6">
        <v>1081</v>
      </c>
      <c r="G82" s="6">
        <v>81638.899999999994</v>
      </c>
      <c r="H82" s="7">
        <v>38831</v>
      </c>
      <c r="I82" s="6" t="s">
        <v>19</v>
      </c>
      <c r="J82" s="6" t="s">
        <v>217</v>
      </c>
      <c r="K82" s="6" t="s">
        <v>21</v>
      </c>
      <c r="L82" s="6" t="s">
        <v>22</v>
      </c>
      <c r="M82" s="6" t="s">
        <v>23</v>
      </c>
      <c r="N82" s="6">
        <v>2.8</v>
      </c>
      <c r="O82" s="6">
        <v>26</v>
      </c>
    </row>
    <row r="83" spans="1:15" ht="14.25" customHeight="1" x14ac:dyDescent="0.3">
      <c r="A83" s="6" t="s">
        <v>218</v>
      </c>
      <c r="B83" s="6">
        <v>58</v>
      </c>
      <c r="C83" s="6" t="s">
        <v>25</v>
      </c>
      <c r="D83" s="6" t="s">
        <v>47</v>
      </c>
      <c r="E83" s="6" t="s">
        <v>80</v>
      </c>
      <c r="F83" s="6">
        <v>1082</v>
      </c>
      <c r="G83" s="6">
        <v>77048.899999999994</v>
      </c>
      <c r="H83" s="7">
        <v>41920</v>
      </c>
      <c r="I83" s="6" t="s">
        <v>28</v>
      </c>
      <c r="J83" s="6" t="s">
        <v>219</v>
      </c>
      <c r="K83" s="6" t="s">
        <v>30</v>
      </c>
      <c r="L83" s="6" t="s">
        <v>31</v>
      </c>
      <c r="M83" s="6" t="s">
        <v>32</v>
      </c>
      <c r="N83" s="6">
        <v>3.01</v>
      </c>
      <c r="O83" s="6">
        <v>136</v>
      </c>
    </row>
    <row r="84" spans="1:15" ht="14.25" customHeight="1" x14ac:dyDescent="0.3">
      <c r="A84" s="6" t="s">
        <v>220</v>
      </c>
      <c r="B84" s="6">
        <v>62</v>
      </c>
      <c r="C84" s="6" t="s">
        <v>62</v>
      </c>
      <c r="D84" s="6" t="s">
        <v>17</v>
      </c>
      <c r="E84" s="6" t="s">
        <v>34</v>
      </c>
      <c r="F84" s="6">
        <v>1083</v>
      </c>
      <c r="G84" s="6">
        <v>85240.26</v>
      </c>
      <c r="H84" s="7">
        <v>37213</v>
      </c>
      <c r="I84" s="6" t="s">
        <v>35</v>
      </c>
      <c r="J84" s="6" t="s">
        <v>221</v>
      </c>
      <c r="K84" s="6" t="s">
        <v>37</v>
      </c>
      <c r="L84" s="6" t="s">
        <v>38</v>
      </c>
      <c r="M84" s="6" t="s">
        <v>39</v>
      </c>
      <c r="N84" s="6">
        <v>4.88</v>
      </c>
      <c r="O84" s="6">
        <v>64</v>
      </c>
    </row>
    <row r="85" spans="1:15" ht="14.25" customHeight="1" x14ac:dyDescent="0.3">
      <c r="A85" s="6" t="s">
        <v>222</v>
      </c>
      <c r="B85" s="6">
        <v>36</v>
      </c>
      <c r="C85" s="6" t="s">
        <v>16</v>
      </c>
      <c r="D85" s="6" t="s">
        <v>69</v>
      </c>
      <c r="E85" s="6" t="s">
        <v>18</v>
      </c>
      <c r="F85" s="6">
        <v>1084</v>
      </c>
      <c r="G85" s="6">
        <v>89440.43</v>
      </c>
      <c r="H85" s="7">
        <v>40620</v>
      </c>
      <c r="I85" s="6" t="s">
        <v>41</v>
      </c>
      <c r="J85" s="6" t="s">
        <v>223</v>
      </c>
      <c r="K85" s="6" t="s">
        <v>43</v>
      </c>
      <c r="L85" s="6" t="s">
        <v>44</v>
      </c>
      <c r="M85" s="6" t="s">
        <v>45</v>
      </c>
      <c r="N85" s="6">
        <v>3.85</v>
      </c>
      <c r="O85" s="6">
        <v>145</v>
      </c>
    </row>
    <row r="86" spans="1:15" ht="14.25" customHeight="1" x14ac:dyDescent="0.3">
      <c r="A86" s="6" t="s">
        <v>224</v>
      </c>
      <c r="B86" s="6">
        <v>37</v>
      </c>
      <c r="C86" s="6" t="s">
        <v>25</v>
      </c>
      <c r="D86" s="6" t="s">
        <v>69</v>
      </c>
      <c r="E86" s="6" t="s">
        <v>48</v>
      </c>
      <c r="F86" s="6">
        <v>1085</v>
      </c>
      <c r="G86" s="6">
        <v>114399.86</v>
      </c>
      <c r="H86" s="7">
        <v>39440</v>
      </c>
      <c r="I86" s="6" t="s">
        <v>49</v>
      </c>
      <c r="J86" s="6" t="s">
        <v>225</v>
      </c>
      <c r="K86" s="6" t="s">
        <v>51</v>
      </c>
      <c r="L86" s="6" t="s">
        <v>52</v>
      </c>
      <c r="M86" s="6" t="s">
        <v>53</v>
      </c>
      <c r="N86" s="6">
        <v>3.41</v>
      </c>
      <c r="O86" s="6">
        <v>41</v>
      </c>
    </row>
    <row r="87" spans="1:15" ht="14.25" customHeight="1" x14ac:dyDescent="0.3">
      <c r="A87" s="6" t="s">
        <v>226</v>
      </c>
      <c r="B87" s="6">
        <v>42</v>
      </c>
      <c r="C87" s="6" t="s">
        <v>16</v>
      </c>
      <c r="D87" s="6" t="s">
        <v>55</v>
      </c>
      <c r="E87" s="6" t="s">
        <v>27</v>
      </c>
      <c r="F87" s="6">
        <v>1086</v>
      </c>
      <c r="G87" s="6">
        <v>163549.73000000001</v>
      </c>
      <c r="H87" s="7">
        <v>38116</v>
      </c>
      <c r="I87" s="6" t="s">
        <v>56</v>
      </c>
      <c r="J87" s="6" t="s">
        <v>227</v>
      </c>
      <c r="K87" s="6" t="s">
        <v>21</v>
      </c>
      <c r="L87" s="6" t="s">
        <v>22</v>
      </c>
      <c r="M87" s="6" t="s">
        <v>23</v>
      </c>
      <c r="N87" s="6">
        <v>4.25</v>
      </c>
      <c r="O87" s="6">
        <v>6</v>
      </c>
    </row>
    <row r="88" spans="1:15" ht="14.25" customHeight="1" x14ac:dyDescent="0.3">
      <c r="A88" s="6" t="s">
        <v>228</v>
      </c>
      <c r="B88" s="6">
        <v>57</v>
      </c>
      <c r="C88" s="6" t="s">
        <v>62</v>
      </c>
      <c r="D88" s="6" t="s">
        <v>26</v>
      </c>
      <c r="E88" s="6" t="s">
        <v>27</v>
      </c>
      <c r="F88" s="6">
        <v>1087</v>
      </c>
      <c r="G88" s="6">
        <v>130455.49</v>
      </c>
      <c r="H88" s="7">
        <v>39881</v>
      </c>
      <c r="I88" s="6" t="s">
        <v>63</v>
      </c>
      <c r="J88" s="6" t="s">
        <v>229</v>
      </c>
      <c r="K88" s="6" t="s">
        <v>30</v>
      </c>
      <c r="L88" s="6" t="s">
        <v>31</v>
      </c>
      <c r="M88" s="6" t="s">
        <v>32</v>
      </c>
      <c r="N88" s="6">
        <v>3.92</v>
      </c>
      <c r="O88" s="6">
        <v>116</v>
      </c>
    </row>
    <row r="89" spans="1:15" ht="14.25" customHeight="1" x14ac:dyDescent="0.3">
      <c r="A89" s="6" t="s">
        <v>230</v>
      </c>
      <c r="B89" s="6">
        <v>45</v>
      </c>
      <c r="C89" s="6" t="s">
        <v>16</v>
      </c>
      <c r="D89" s="6" t="s">
        <v>26</v>
      </c>
      <c r="E89" s="6" t="s">
        <v>27</v>
      </c>
      <c r="F89" s="6">
        <v>1088</v>
      </c>
      <c r="G89" s="6">
        <v>177627.47</v>
      </c>
      <c r="H89" s="7">
        <v>40280</v>
      </c>
      <c r="I89" s="6" t="s">
        <v>66</v>
      </c>
      <c r="J89" s="6" t="s">
        <v>231</v>
      </c>
      <c r="K89" s="6" t="s">
        <v>37</v>
      </c>
      <c r="L89" s="6" t="s">
        <v>38</v>
      </c>
      <c r="M89" s="6" t="s">
        <v>39</v>
      </c>
      <c r="N89" s="6">
        <v>1.45</v>
      </c>
      <c r="O89" s="6">
        <v>170</v>
      </c>
    </row>
    <row r="90" spans="1:15" ht="14.25" customHeight="1" x14ac:dyDescent="0.3">
      <c r="A90" s="6" t="s">
        <v>232</v>
      </c>
      <c r="B90" s="6">
        <v>37</v>
      </c>
      <c r="C90" s="6" t="s">
        <v>16</v>
      </c>
      <c r="D90" s="6" t="s">
        <v>69</v>
      </c>
      <c r="E90" s="6" t="s">
        <v>34</v>
      </c>
      <c r="F90" s="6">
        <v>1089</v>
      </c>
      <c r="G90" s="6">
        <v>50532.9</v>
      </c>
      <c r="H90" s="7">
        <v>42641</v>
      </c>
      <c r="I90" s="6" t="s">
        <v>70</v>
      </c>
      <c r="J90" s="6" t="s">
        <v>233</v>
      </c>
      <c r="K90" s="6" t="s">
        <v>43</v>
      </c>
      <c r="L90" s="6" t="s">
        <v>44</v>
      </c>
      <c r="M90" s="6" t="s">
        <v>45</v>
      </c>
      <c r="N90" s="6">
        <v>4.95</v>
      </c>
      <c r="O90" s="6">
        <v>174</v>
      </c>
    </row>
    <row r="91" spans="1:15" ht="14.25" customHeight="1" x14ac:dyDescent="0.3">
      <c r="A91" s="6" t="s">
        <v>234</v>
      </c>
      <c r="B91" s="6">
        <v>35</v>
      </c>
      <c r="C91" s="6" t="s">
        <v>16</v>
      </c>
      <c r="D91" s="6" t="s">
        <v>55</v>
      </c>
      <c r="E91" s="6" t="s">
        <v>27</v>
      </c>
      <c r="F91" s="6">
        <v>1090</v>
      </c>
      <c r="G91" s="6">
        <v>191020.43</v>
      </c>
      <c r="H91" s="7">
        <v>38526</v>
      </c>
      <c r="I91" s="6" t="s">
        <v>73</v>
      </c>
      <c r="J91" s="6" t="s">
        <v>235</v>
      </c>
      <c r="K91" s="6" t="s">
        <v>51</v>
      </c>
      <c r="L91" s="6" t="s">
        <v>52</v>
      </c>
      <c r="M91" s="6" t="s">
        <v>53</v>
      </c>
      <c r="N91" s="6">
        <v>1.47</v>
      </c>
      <c r="O91" s="6">
        <v>27</v>
      </c>
    </row>
    <row r="92" spans="1:15" ht="14.25" customHeight="1" x14ac:dyDescent="0.3">
      <c r="A92" s="6" t="s">
        <v>236</v>
      </c>
      <c r="B92" s="6">
        <v>43</v>
      </c>
      <c r="C92" s="6" t="s">
        <v>25</v>
      </c>
      <c r="D92" s="6" t="s">
        <v>55</v>
      </c>
      <c r="E92" s="6" t="s">
        <v>27</v>
      </c>
      <c r="F92" s="6">
        <v>1091</v>
      </c>
      <c r="G92" s="6">
        <v>75577.7</v>
      </c>
      <c r="H92" s="7">
        <v>43101</v>
      </c>
      <c r="I92" s="6" t="s">
        <v>19</v>
      </c>
      <c r="J92" s="6" t="s">
        <v>237</v>
      </c>
      <c r="K92" s="6" t="s">
        <v>21</v>
      </c>
      <c r="L92" s="6" t="s">
        <v>22</v>
      </c>
      <c r="M92" s="6" t="s">
        <v>23</v>
      </c>
      <c r="N92" s="6">
        <v>4.0599999999999996</v>
      </c>
      <c r="O92" s="6">
        <v>74</v>
      </c>
    </row>
    <row r="93" spans="1:15" ht="14.25" customHeight="1" x14ac:dyDescent="0.3">
      <c r="A93" s="6" t="s">
        <v>238</v>
      </c>
      <c r="B93" s="6">
        <v>27</v>
      </c>
      <c r="C93" s="6" t="s">
        <v>16</v>
      </c>
      <c r="D93" s="6" t="s">
        <v>26</v>
      </c>
      <c r="E93" s="6" t="s">
        <v>18</v>
      </c>
      <c r="F93" s="6">
        <v>1092</v>
      </c>
      <c r="G93" s="6">
        <v>109813.63</v>
      </c>
      <c r="H93" s="7">
        <v>38861</v>
      </c>
      <c r="I93" s="6" t="s">
        <v>28</v>
      </c>
      <c r="J93" s="6" t="s">
        <v>239</v>
      </c>
      <c r="K93" s="6" t="s">
        <v>30</v>
      </c>
      <c r="L93" s="6" t="s">
        <v>31</v>
      </c>
      <c r="M93" s="6" t="s">
        <v>32</v>
      </c>
      <c r="N93" s="6">
        <v>4.43</v>
      </c>
      <c r="O93" s="6">
        <v>183</v>
      </c>
    </row>
    <row r="94" spans="1:15" ht="14.25" customHeight="1" x14ac:dyDescent="0.3">
      <c r="A94" s="6" t="s">
        <v>240</v>
      </c>
      <c r="B94" s="6">
        <v>63</v>
      </c>
      <c r="C94" s="6" t="s">
        <v>16</v>
      </c>
      <c r="D94" s="6" t="s">
        <v>26</v>
      </c>
      <c r="E94" s="6" t="s">
        <v>18</v>
      </c>
      <c r="F94" s="6">
        <v>1093</v>
      </c>
      <c r="G94" s="6">
        <v>175520.46</v>
      </c>
      <c r="H94" s="7">
        <v>43031</v>
      </c>
      <c r="I94" s="6" t="s">
        <v>35</v>
      </c>
      <c r="J94" s="6" t="s">
        <v>241</v>
      </c>
      <c r="K94" s="6" t="s">
        <v>37</v>
      </c>
      <c r="L94" s="6" t="s">
        <v>38</v>
      </c>
      <c r="M94" s="6" t="s">
        <v>39</v>
      </c>
      <c r="N94" s="6">
        <v>3.08</v>
      </c>
      <c r="O94" s="6">
        <v>73</v>
      </c>
    </row>
    <row r="95" spans="1:15" ht="14.25" customHeight="1" x14ac:dyDescent="0.3">
      <c r="A95" s="6" t="s">
        <v>242</v>
      </c>
      <c r="B95" s="6">
        <v>57</v>
      </c>
      <c r="C95" s="6" t="s">
        <v>16</v>
      </c>
      <c r="D95" s="6" t="s">
        <v>69</v>
      </c>
      <c r="E95" s="6" t="s">
        <v>18</v>
      </c>
      <c r="F95" s="6">
        <v>1094</v>
      </c>
      <c r="G95" s="6">
        <v>146799.99</v>
      </c>
      <c r="H95" s="7">
        <v>42974</v>
      </c>
      <c r="I95" s="6" t="s">
        <v>41</v>
      </c>
      <c r="J95" s="6" t="s">
        <v>243</v>
      </c>
      <c r="K95" s="6" t="s">
        <v>43</v>
      </c>
      <c r="L95" s="6" t="s">
        <v>44</v>
      </c>
      <c r="M95" s="6" t="s">
        <v>45</v>
      </c>
      <c r="N95" s="6">
        <v>1.17</v>
      </c>
      <c r="O95" s="6">
        <v>70</v>
      </c>
    </row>
    <row r="96" spans="1:15" ht="14.25" customHeight="1" x14ac:dyDescent="0.3">
      <c r="A96" s="6" t="s">
        <v>244</v>
      </c>
      <c r="B96" s="6">
        <v>22</v>
      </c>
      <c r="C96" s="6" t="s">
        <v>16</v>
      </c>
      <c r="D96" s="6" t="s">
        <v>47</v>
      </c>
      <c r="E96" s="6" t="s">
        <v>27</v>
      </c>
      <c r="F96" s="6">
        <v>1095</v>
      </c>
      <c r="G96" s="6">
        <v>67509.440000000002</v>
      </c>
      <c r="H96" s="7">
        <v>37040</v>
      </c>
      <c r="I96" s="6" t="s">
        <v>49</v>
      </c>
      <c r="J96" s="6" t="s">
        <v>245</v>
      </c>
      <c r="K96" s="6" t="s">
        <v>51</v>
      </c>
      <c r="L96" s="6" t="s">
        <v>52</v>
      </c>
      <c r="M96" s="6" t="s">
        <v>53</v>
      </c>
      <c r="N96" s="6">
        <v>3.95</v>
      </c>
      <c r="O96" s="6">
        <v>19</v>
      </c>
    </row>
    <row r="97" spans="1:15" ht="14.25" customHeight="1" x14ac:dyDescent="0.3">
      <c r="A97" s="6" t="s">
        <v>246</v>
      </c>
      <c r="B97" s="6">
        <v>53</v>
      </c>
      <c r="C97" s="6" t="s">
        <v>62</v>
      </c>
      <c r="D97" s="6" t="s">
        <v>55</v>
      </c>
      <c r="E97" s="6" t="s">
        <v>27</v>
      </c>
      <c r="F97" s="6">
        <v>1096</v>
      </c>
      <c r="G97" s="6">
        <v>187066.97</v>
      </c>
      <c r="H97" s="7">
        <v>42630</v>
      </c>
      <c r="I97" s="6" t="s">
        <v>56</v>
      </c>
      <c r="J97" s="6" t="s">
        <v>247</v>
      </c>
      <c r="K97" s="6" t="s">
        <v>21</v>
      </c>
      <c r="L97" s="6" t="s">
        <v>22</v>
      </c>
      <c r="M97" s="6" t="s">
        <v>23</v>
      </c>
      <c r="N97" s="6">
        <v>1.82</v>
      </c>
      <c r="O97" s="6">
        <v>157</v>
      </c>
    </row>
    <row r="98" spans="1:15" ht="14.25" customHeight="1" x14ac:dyDescent="0.3">
      <c r="A98" s="6" t="s">
        <v>248</v>
      </c>
      <c r="B98" s="6">
        <v>27</v>
      </c>
      <c r="C98" s="6" t="s">
        <v>62</v>
      </c>
      <c r="D98" s="6" t="s">
        <v>26</v>
      </c>
      <c r="E98" s="6" t="s">
        <v>80</v>
      </c>
      <c r="F98" s="6">
        <v>1097</v>
      </c>
      <c r="G98" s="6">
        <v>177682.97</v>
      </c>
      <c r="H98" s="7">
        <v>39992</v>
      </c>
      <c r="I98" s="6" t="s">
        <v>63</v>
      </c>
      <c r="J98" s="6" t="s">
        <v>249</v>
      </c>
      <c r="K98" s="6" t="s">
        <v>30</v>
      </c>
      <c r="L98" s="6" t="s">
        <v>31</v>
      </c>
      <c r="M98" s="6" t="s">
        <v>32</v>
      </c>
      <c r="N98" s="6">
        <v>1.42</v>
      </c>
      <c r="O98" s="6">
        <v>37</v>
      </c>
    </row>
    <row r="99" spans="1:15" ht="14.25" customHeight="1" x14ac:dyDescent="0.3">
      <c r="A99" s="6" t="s">
        <v>250</v>
      </c>
      <c r="B99" s="6">
        <v>52</v>
      </c>
      <c r="C99" s="6" t="s">
        <v>25</v>
      </c>
      <c r="D99" s="6" t="s">
        <v>55</v>
      </c>
      <c r="E99" s="6" t="s">
        <v>34</v>
      </c>
      <c r="F99" s="6">
        <v>1098</v>
      </c>
      <c r="G99" s="6">
        <v>112967.08</v>
      </c>
      <c r="H99" s="7">
        <v>42154</v>
      </c>
      <c r="I99" s="6" t="s">
        <v>66</v>
      </c>
      <c r="J99" s="6" t="s">
        <v>251</v>
      </c>
      <c r="K99" s="6" t="s">
        <v>37</v>
      </c>
      <c r="L99" s="6" t="s">
        <v>38</v>
      </c>
      <c r="M99" s="6" t="s">
        <v>39</v>
      </c>
      <c r="N99" s="6">
        <v>2.44</v>
      </c>
      <c r="O99" s="6">
        <v>44</v>
      </c>
    </row>
    <row r="100" spans="1:15" ht="14.25" customHeight="1" x14ac:dyDescent="0.3">
      <c r="A100" s="6" t="s">
        <v>252</v>
      </c>
      <c r="B100" s="6">
        <v>22</v>
      </c>
      <c r="C100" s="6" t="s">
        <v>16</v>
      </c>
      <c r="D100" s="6" t="s">
        <v>47</v>
      </c>
      <c r="E100" s="6" t="s">
        <v>80</v>
      </c>
      <c r="F100" s="6">
        <v>1099</v>
      </c>
      <c r="G100" s="6">
        <v>104824.8</v>
      </c>
      <c r="H100" s="7">
        <v>44663</v>
      </c>
      <c r="I100" s="6" t="s">
        <v>70</v>
      </c>
      <c r="J100" s="6" t="s">
        <v>253</v>
      </c>
      <c r="K100" s="6" t="s">
        <v>43</v>
      </c>
      <c r="L100" s="6" t="s">
        <v>44</v>
      </c>
      <c r="M100" s="6" t="s">
        <v>45</v>
      </c>
      <c r="N100" s="6">
        <v>4.24</v>
      </c>
      <c r="O100" s="6">
        <v>91</v>
      </c>
    </row>
    <row r="101" spans="1:15" ht="14.25" customHeight="1" x14ac:dyDescent="0.3">
      <c r="A101" s="6" t="s">
        <v>254</v>
      </c>
      <c r="B101" s="6">
        <v>58</v>
      </c>
      <c r="C101" s="6" t="s">
        <v>25</v>
      </c>
      <c r="D101" s="6" t="s">
        <v>69</v>
      </c>
      <c r="E101" s="6" t="s">
        <v>34</v>
      </c>
      <c r="F101" s="6">
        <v>1100</v>
      </c>
      <c r="G101" s="6">
        <v>159929.82999999999</v>
      </c>
      <c r="H101" s="7">
        <v>40679</v>
      </c>
      <c r="I101" s="6" t="s">
        <v>73</v>
      </c>
      <c r="J101" s="6" t="s">
        <v>255</v>
      </c>
      <c r="K101" s="6" t="s">
        <v>51</v>
      </c>
      <c r="L101" s="6" t="s">
        <v>52</v>
      </c>
      <c r="M101" s="6" t="s">
        <v>53</v>
      </c>
      <c r="N101" s="6">
        <v>3.94</v>
      </c>
      <c r="O101" s="6">
        <v>5</v>
      </c>
    </row>
    <row r="102" spans="1:15" ht="14.25" customHeight="1" x14ac:dyDescent="0.3">
      <c r="A102" s="6" t="s">
        <v>256</v>
      </c>
      <c r="B102" s="6">
        <v>56</v>
      </c>
      <c r="C102" s="6" t="s">
        <v>16</v>
      </c>
      <c r="D102" s="6" t="s">
        <v>47</v>
      </c>
      <c r="E102" s="6" t="s">
        <v>80</v>
      </c>
      <c r="F102" s="6">
        <v>1101</v>
      </c>
      <c r="G102" s="6">
        <v>135123.97</v>
      </c>
      <c r="H102" s="7">
        <v>41126</v>
      </c>
      <c r="I102" s="6" t="s">
        <v>19</v>
      </c>
      <c r="J102" s="6" t="s">
        <v>257</v>
      </c>
      <c r="K102" s="6" t="s">
        <v>21</v>
      </c>
      <c r="L102" s="6" t="s">
        <v>22</v>
      </c>
      <c r="M102" s="6" t="s">
        <v>23</v>
      </c>
      <c r="N102" s="6">
        <v>4.8099999999999996</v>
      </c>
      <c r="O102" s="6">
        <v>102</v>
      </c>
    </row>
    <row r="103" spans="1:15" ht="14.25" customHeight="1" x14ac:dyDescent="0.3">
      <c r="A103" s="6" t="s">
        <v>258</v>
      </c>
      <c r="B103" s="6">
        <v>51</v>
      </c>
      <c r="C103" s="6" t="s">
        <v>62</v>
      </c>
      <c r="D103" s="6" t="s">
        <v>69</v>
      </c>
      <c r="E103" s="6" t="s">
        <v>18</v>
      </c>
      <c r="F103" s="6">
        <v>1102</v>
      </c>
      <c r="G103" s="6">
        <v>52630.1</v>
      </c>
      <c r="H103" s="7">
        <v>39046</v>
      </c>
      <c r="I103" s="6" t="s">
        <v>28</v>
      </c>
      <c r="J103" s="6" t="s">
        <v>259</v>
      </c>
      <c r="K103" s="6" t="s">
        <v>30</v>
      </c>
      <c r="L103" s="6" t="s">
        <v>31</v>
      </c>
      <c r="M103" s="6" t="s">
        <v>32</v>
      </c>
      <c r="N103" s="6">
        <v>2.21</v>
      </c>
      <c r="O103" s="6">
        <v>69</v>
      </c>
    </row>
    <row r="104" spans="1:15" ht="14.25" customHeight="1" x14ac:dyDescent="0.3">
      <c r="A104" s="6" t="s">
        <v>260</v>
      </c>
      <c r="B104" s="6">
        <v>25</v>
      </c>
      <c r="C104" s="6" t="s">
        <v>16</v>
      </c>
      <c r="D104" s="6" t="s">
        <v>55</v>
      </c>
      <c r="E104" s="6" t="s">
        <v>27</v>
      </c>
      <c r="F104" s="6">
        <v>1103</v>
      </c>
      <c r="G104" s="6">
        <v>55964.99</v>
      </c>
      <c r="H104" s="7">
        <v>43570</v>
      </c>
      <c r="I104" s="6" t="s">
        <v>35</v>
      </c>
      <c r="J104" s="6" t="s">
        <v>261</v>
      </c>
      <c r="K104" s="6" t="s">
        <v>37</v>
      </c>
      <c r="L104" s="6" t="s">
        <v>38</v>
      </c>
      <c r="M104" s="6" t="s">
        <v>39</v>
      </c>
      <c r="N104" s="6">
        <v>4.59</v>
      </c>
      <c r="O104" s="6">
        <v>57</v>
      </c>
    </row>
    <row r="105" spans="1:15" ht="14.25" customHeight="1" x14ac:dyDescent="0.3">
      <c r="A105" s="6" t="s">
        <v>262</v>
      </c>
      <c r="B105" s="6">
        <v>56</v>
      </c>
      <c r="C105" s="6" t="s">
        <v>25</v>
      </c>
      <c r="D105" s="6" t="s">
        <v>17</v>
      </c>
      <c r="E105" s="6" t="s">
        <v>18</v>
      </c>
      <c r="F105" s="6">
        <v>1104</v>
      </c>
      <c r="G105" s="6">
        <v>169848.08</v>
      </c>
      <c r="H105" s="7">
        <v>42126</v>
      </c>
      <c r="I105" s="6" t="s">
        <v>41</v>
      </c>
      <c r="J105" s="6" t="s">
        <v>263</v>
      </c>
      <c r="K105" s="6" t="s">
        <v>43</v>
      </c>
      <c r="L105" s="6" t="s">
        <v>44</v>
      </c>
      <c r="M105" s="6" t="s">
        <v>45</v>
      </c>
      <c r="N105" s="6">
        <v>3.11</v>
      </c>
      <c r="O105" s="6">
        <v>195</v>
      </c>
    </row>
    <row r="106" spans="1:15" ht="14.25" customHeight="1" x14ac:dyDescent="0.3">
      <c r="A106" s="6" t="s">
        <v>264</v>
      </c>
      <c r="B106" s="6">
        <v>64</v>
      </c>
      <c r="C106" s="6" t="s">
        <v>16</v>
      </c>
      <c r="D106" s="6" t="s">
        <v>55</v>
      </c>
      <c r="E106" s="6" t="s">
        <v>80</v>
      </c>
      <c r="F106" s="6">
        <v>1105</v>
      </c>
      <c r="G106" s="6">
        <v>111312.24</v>
      </c>
      <c r="H106" s="7">
        <v>39609</v>
      </c>
      <c r="I106" s="6" t="s">
        <v>49</v>
      </c>
      <c r="J106" s="6" t="s">
        <v>265</v>
      </c>
      <c r="K106" s="6" t="s">
        <v>51</v>
      </c>
      <c r="L106" s="6" t="s">
        <v>52</v>
      </c>
      <c r="M106" s="6" t="s">
        <v>53</v>
      </c>
      <c r="N106" s="6">
        <v>2.21</v>
      </c>
      <c r="O106" s="6">
        <v>139</v>
      </c>
    </row>
    <row r="107" spans="1:15" ht="14.25" customHeight="1" x14ac:dyDescent="0.3">
      <c r="A107" s="6" t="s">
        <v>266</v>
      </c>
      <c r="B107" s="6">
        <v>35</v>
      </c>
      <c r="C107" s="6" t="s">
        <v>62</v>
      </c>
      <c r="D107" s="6" t="s">
        <v>17</v>
      </c>
      <c r="E107" s="6" t="s">
        <v>34</v>
      </c>
      <c r="F107" s="6">
        <v>1106</v>
      </c>
      <c r="G107" s="6">
        <v>69669.53</v>
      </c>
      <c r="H107" s="7">
        <v>36752</v>
      </c>
      <c r="I107" s="6" t="s">
        <v>56</v>
      </c>
      <c r="J107" s="6" t="s">
        <v>267</v>
      </c>
      <c r="K107" s="6" t="s">
        <v>21</v>
      </c>
      <c r="L107" s="6" t="s">
        <v>22</v>
      </c>
      <c r="M107" s="6" t="s">
        <v>23</v>
      </c>
      <c r="N107" s="6">
        <v>4.83</v>
      </c>
      <c r="O107" s="6">
        <v>106</v>
      </c>
    </row>
    <row r="108" spans="1:15" ht="14.25" customHeight="1" x14ac:dyDescent="0.3">
      <c r="A108" s="6" t="s">
        <v>268</v>
      </c>
      <c r="B108" s="6">
        <v>61</v>
      </c>
      <c r="C108" s="6" t="s">
        <v>25</v>
      </c>
      <c r="D108" s="6" t="s">
        <v>55</v>
      </c>
      <c r="E108" s="6" t="s">
        <v>48</v>
      </c>
      <c r="F108" s="6">
        <v>1107</v>
      </c>
      <c r="G108" s="6">
        <v>183950.64</v>
      </c>
      <c r="H108" s="7">
        <v>41325</v>
      </c>
      <c r="I108" s="6" t="s">
        <v>63</v>
      </c>
      <c r="J108" s="6" t="s">
        <v>269</v>
      </c>
      <c r="K108" s="6" t="s">
        <v>30</v>
      </c>
      <c r="L108" s="6" t="s">
        <v>31</v>
      </c>
      <c r="M108" s="6" t="s">
        <v>32</v>
      </c>
      <c r="N108" s="6">
        <v>1.37</v>
      </c>
      <c r="O108" s="6">
        <v>94</v>
      </c>
    </row>
    <row r="109" spans="1:15" ht="14.25" customHeight="1" x14ac:dyDescent="0.3">
      <c r="A109" s="6" t="s">
        <v>270</v>
      </c>
      <c r="B109" s="6">
        <v>43</v>
      </c>
      <c r="C109" s="6" t="s">
        <v>16</v>
      </c>
      <c r="D109" s="6" t="s">
        <v>47</v>
      </c>
      <c r="E109" s="6" t="s">
        <v>48</v>
      </c>
      <c r="F109" s="6">
        <v>1108</v>
      </c>
      <c r="G109" s="6">
        <v>158746.28</v>
      </c>
      <c r="H109" s="7">
        <v>43742</v>
      </c>
      <c r="I109" s="6" t="s">
        <v>66</v>
      </c>
      <c r="J109" s="6" t="s">
        <v>271</v>
      </c>
      <c r="K109" s="6" t="s">
        <v>37</v>
      </c>
      <c r="L109" s="6" t="s">
        <v>38</v>
      </c>
      <c r="M109" s="6" t="s">
        <v>39</v>
      </c>
      <c r="N109" s="6">
        <v>3.51</v>
      </c>
      <c r="O109" s="6">
        <v>187</v>
      </c>
    </row>
    <row r="110" spans="1:15" ht="14.25" customHeight="1" x14ac:dyDescent="0.3">
      <c r="A110" s="6" t="s">
        <v>272</v>
      </c>
      <c r="B110" s="6">
        <v>31</v>
      </c>
      <c r="C110" s="6" t="s">
        <v>62</v>
      </c>
      <c r="D110" s="6" t="s">
        <v>69</v>
      </c>
      <c r="E110" s="6" t="s">
        <v>27</v>
      </c>
      <c r="F110" s="6">
        <v>1109</v>
      </c>
      <c r="G110" s="6">
        <v>106077.69</v>
      </c>
      <c r="H110" s="7">
        <v>40209</v>
      </c>
      <c r="I110" s="6" t="s">
        <v>70</v>
      </c>
      <c r="J110" s="6" t="s">
        <v>273</v>
      </c>
      <c r="K110" s="6" t="s">
        <v>43</v>
      </c>
      <c r="L110" s="6" t="s">
        <v>44</v>
      </c>
      <c r="M110" s="6" t="s">
        <v>45</v>
      </c>
      <c r="N110" s="6">
        <v>1.06</v>
      </c>
      <c r="O110" s="6">
        <v>137</v>
      </c>
    </row>
    <row r="111" spans="1:15" ht="14.25" customHeight="1" x14ac:dyDescent="0.3">
      <c r="A111" s="6" t="s">
        <v>274</v>
      </c>
      <c r="B111" s="6">
        <v>22</v>
      </c>
      <c r="C111" s="6" t="s">
        <v>16</v>
      </c>
      <c r="D111" s="6" t="s">
        <v>55</v>
      </c>
      <c r="E111" s="6" t="s">
        <v>27</v>
      </c>
      <c r="F111" s="6">
        <v>1110</v>
      </c>
      <c r="G111" s="6">
        <v>70223.91</v>
      </c>
      <c r="H111" s="7">
        <v>39119</v>
      </c>
      <c r="I111" s="6" t="s">
        <v>73</v>
      </c>
      <c r="J111" s="6" t="s">
        <v>275</v>
      </c>
      <c r="K111" s="6" t="s">
        <v>51</v>
      </c>
      <c r="L111" s="6" t="s">
        <v>52</v>
      </c>
      <c r="M111" s="6" t="s">
        <v>53</v>
      </c>
      <c r="N111" s="6">
        <v>3.46</v>
      </c>
      <c r="O111" s="6">
        <v>26</v>
      </c>
    </row>
    <row r="112" spans="1:15" ht="14.25" customHeight="1" x14ac:dyDescent="0.3">
      <c r="A112" s="6" t="s">
        <v>276</v>
      </c>
      <c r="B112" s="6">
        <v>32</v>
      </c>
      <c r="C112" s="6" t="s">
        <v>62</v>
      </c>
      <c r="D112" s="6" t="s">
        <v>26</v>
      </c>
      <c r="E112" s="6" t="s">
        <v>80</v>
      </c>
      <c r="F112" s="6">
        <v>1111</v>
      </c>
      <c r="G112" s="6">
        <v>57538.97</v>
      </c>
      <c r="H112" s="7">
        <v>42154</v>
      </c>
      <c r="I112" s="6" t="s">
        <v>19</v>
      </c>
      <c r="J112" s="6" t="s">
        <v>277</v>
      </c>
      <c r="K112" s="6" t="s">
        <v>21</v>
      </c>
      <c r="L112" s="6" t="s">
        <v>22</v>
      </c>
      <c r="M112" s="6" t="s">
        <v>23</v>
      </c>
      <c r="N112" s="6">
        <v>3.93</v>
      </c>
      <c r="O112" s="6">
        <v>167</v>
      </c>
    </row>
    <row r="113" spans="1:15" ht="14.25" customHeight="1" x14ac:dyDescent="0.3">
      <c r="A113" s="6" t="s">
        <v>278</v>
      </c>
      <c r="B113" s="6">
        <v>45</v>
      </c>
      <c r="C113" s="6" t="s">
        <v>25</v>
      </c>
      <c r="D113" s="6" t="s">
        <v>69</v>
      </c>
      <c r="E113" s="6" t="s">
        <v>34</v>
      </c>
      <c r="F113" s="6">
        <v>1112</v>
      </c>
      <c r="G113" s="6">
        <v>146054.62</v>
      </c>
      <c r="H113" s="7">
        <v>39113</v>
      </c>
      <c r="I113" s="6" t="s">
        <v>28</v>
      </c>
      <c r="J113" s="6" t="s">
        <v>279</v>
      </c>
      <c r="K113" s="6" t="s">
        <v>30</v>
      </c>
      <c r="L113" s="6" t="s">
        <v>31</v>
      </c>
      <c r="M113" s="6" t="s">
        <v>32</v>
      </c>
      <c r="N113" s="6">
        <v>4.5199999999999996</v>
      </c>
      <c r="O113" s="6">
        <v>145</v>
      </c>
    </row>
    <row r="114" spans="1:15" ht="14.25" customHeight="1" x14ac:dyDescent="0.3">
      <c r="A114" s="6" t="s">
        <v>280</v>
      </c>
      <c r="B114" s="6">
        <v>24</v>
      </c>
      <c r="C114" s="6" t="s">
        <v>25</v>
      </c>
      <c r="D114" s="6" t="s">
        <v>47</v>
      </c>
      <c r="E114" s="6" t="s">
        <v>34</v>
      </c>
      <c r="F114" s="6">
        <v>1113</v>
      </c>
      <c r="G114" s="6">
        <v>143874.01</v>
      </c>
      <c r="H114" s="7">
        <v>44602</v>
      </c>
      <c r="I114" s="6" t="s">
        <v>35</v>
      </c>
      <c r="J114" s="6" t="s">
        <v>281</v>
      </c>
      <c r="K114" s="6" t="s">
        <v>37</v>
      </c>
      <c r="L114" s="6" t="s">
        <v>38</v>
      </c>
      <c r="M114" s="6" t="s">
        <v>39</v>
      </c>
      <c r="N114" s="6">
        <v>1.33</v>
      </c>
      <c r="O114" s="6">
        <v>16</v>
      </c>
    </row>
    <row r="115" spans="1:15" ht="14.25" customHeight="1" x14ac:dyDescent="0.3">
      <c r="A115" s="6" t="s">
        <v>282</v>
      </c>
      <c r="B115" s="6">
        <v>56</v>
      </c>
      <c r="C115" s="6" t="s">
        <v>16</v>
      </c>
      <c r="D115" s="6" t="s">
        <v>55</v>
      </c>
      <c r="E115" s="6" t="s">
        <v>18</v>
      </c>
      <c r="F115" s="6">
        <v>1114</v>
      </c>
      <c r="G115" s="6">
        <v>161261.99</v>
      </c>
      <c r="H115" s="7">
        <v>41146</v>
      </c>
      <c r="I115" s="6" t="s">
        <v>41</v>
      </c>
      <c r="J115" s="6" t="s">
        <v>283</v>
      </c>
      <c r="K115" s="6" t="s">
        <v>43</v>
      </c>
      <c r="L115" s="6" t="s">
        <v>44</v>
      </c>
      <c r="M115" s="6" t="s">
        <v>45</v>
      </c>
      <c r="N115" s="6">
        <v>1.34</v>
      </c>
      <c r="O115" s="6">
        <v>43</v>
      </c>
    </row>
    <row r="116" spans="1:15" ht="14.25" customHeight="1" x14ac:dyDescent="0.3">
      <c r="A116" s="6" t="s">
        <v>284</v>
      </c>
      <c r="B116" s="6">
        <v>57</v>
      </c>
      <c r="C116" s="6" t="s">
        <v>62</v>
      </c>
      <c r="D116" s="6" t="s">
        <v>69</v>
      </c>
      <c r="E116" s="6" t="s">
        <v>80</v>
      </c>
      <c r="F116" s="6">
        <v>1115</v>
      </c>
      <c r="G116" s="6">
        <v>147168.12</v>
      </c>
      <c r="H116" s="7">
        <v>44465</v>
      </c>
      <c r="I116" s="6" t="s">
        <v>49</v>
      </c>
      <c r="J116" s="6" t="s">
        <v>285</v>
      </c>
      <c r="K116" s="6" t="s">
        <v>51</v>
      </c>
      <c r="L116" s="6" t="s">
        <v>52</v>
      </c>
      <c r="M116" s="6" t="s">
        <v>53</v>
      </c>
      <c r="N116" s="6">
        <v>1.96</v>
      </c>
      <c r="O116" s="6">
        <v>132</v>
      </c>
    </row>
    <row r="117" spans="1:15" ht="14.25" customHeight="1" x14ac:dyDescent="0.3">
      <c r="A117" s="6" t="s">
        <v>286</v>
      </c>
      <c r="B117" s="6">
        <v>52</v>
      </c>
      <c r="C117" s="6" t="s">
        <v>25</v>
      </c>
      <c r="D117" s="6" t="s">
        <v>26</v>
      </c>
      <c r="E117" s="6" t="s">
        <v>18</v>
      </c>
      <c r="F117" s="6">
        <v>1116</v>
      </c>
      <c r="G117" s="6">
        <v>117431.74</v>
      </c>
      <c r="H117" s="7">
        <v>39569</v>
      </c>
      <c r="I117" s="6" t="s">
        <v>56</v>
      </c>
      <c r="J117" s="6" t="s">
        <v>287</v>
      </c>
      <c r="K117" s="6" t="s">
        <v>21</v>
      </c>
      <c r="L117" s="6" t="s">
        <v>22</v>
      </c>
      <c r="M117" s="6" t="s">
        <v>23</v>
      </c>
      <c r="N117" s="6">
        <v>1.21</v>
      </c>
      <c r="O117" s="6">
        <v>183</v>
      </c>
    </row>
    <row r="118" spans="1:15" ht="14.25" customHeight="1" x14ac:dyDescent="0.3">
      <c r="A118" s="6" t="s">
        <v>288</v>
      </c>
      <c r="B118" s="6">
        <v>25</v>
      </c>
      <c r="C118" s="6" t="s">
        <v>16</v>
      </c>
      <c r="D118" s="6" t="s">
        <v>69</v>
      </c>
      <c r="E118" s="6" t="s">
        <v>80</v>
      </c>
      <c r="F118" s="6">
        <v>1117</v>
      </c>
      <c r="G118" s="6">
        <v>67284.429999999993</v>
      </c>
      <c r="H118" s="7">
        <v>36644</v>
      </c>
      <c r="I118" s="6" t="s">
        <v>63</v>
      </c>
      <c r="J118" s="6" t="s">
        <v>289</v>
      </c>
      <c r="K118" s="6" t="s">
        <v>30</v>
      </c>
      <c r="L118" s="6" t="s">
        <v>31</v>
      </c>
      <c r="M118" s="6" t="s">
        <v>32</v>
      </c>
      <c r="N118" s="6">
        <v>3.58</v>
      </c>
      <c r="O118" s="6">
        <v>21</v>
      </c>
    </row>
    <row r="119" spans="1:15" ht="14.25" customHeight="1" x14ac:dyDescent="0.3">
      <c r="A119" s="6" t="s">
        <v>290</v>
      </c>
      <c r="B119" s="6">
        <v>40</v>
      </c>
      <c r="C119" s="6" t="s">
        <v>16</v>
      </c>
      <c r="D119" s="6" t="s">
        <v>55</v>
      </c>
      <c r="E119" s="6" t="s">
        <v>80</v>
      </c>
      <c r="F119" s="6">
        <v>1118</v>
      </c>
      <c r="G119" s="6">
        <v>105675.72</v>
      </c>
      <c r="H119" s="7">
        <v>37778</v>
      </c>
      <c r="I119" s="6" t="s">
        <v>66</v>
      </c>
      <c r="J119" s="6" t="s">
        <v>291</v>
      </c>
      <c r="K119" s="6" t="s">
        <v>37</v>
      </c>
      <c r="L119" s="6" t="s">
        <v>38</v>
      </c>
      <c r="M119" s="6" t="s">
        <v>39</v>
      </c>
      <c r="N119" s="6">
        <v>4.46</v>
      </c>
      <c r="O119" s="6">
        <v>31</v>
      </c>
    </row>
    <row r="120" spans="1:15" ht="14.25" customHeight="1" x14ac:dyDescent="0.3">
      <c r="A120" s="6" t="s">
        <v>292</v>
      </c>
      <c r="B120" s="6">
        <v>57</v>
      </c>
      <c r="C120" s="6" t="s">
        <v>16</v>
      </c>
      <c r="D120" s="6" t="s">
        <v>26</v>
      </c>
      <c r="E120" s="6" t="s">
        <v>27</v>
      </c>
      <c r="F120" s="6">
        <v>1119</v>
      </c>
      <c r="G120" s="6">
        <v>141270.35999999999</v>
      </c>
      <c r="H120" s="7">
        <v>39172</v>
      </c>
      <c r="I120" s="6" t="s">
        <v>70</v>
      </c>
      <c r="J120" s="6" t="s">
        <v>293</v>
      </c>
      <c r="K120" s="6" t="s">
        <v>43</v>
      </c>
      <c r="L120" s="6" t="s">
        <v>44</v>
      </c>
      <c r="M120" s="6" t="s">
        <v>45</v>
      </c>
      <c r="N120" s="6">
        <v>1.48</v>
      </c>
      <c r="O120" s="6">
        <v>91</v>
      </c>
    </row>
    <row r="121" spans="1:15" ht="14.25" customHeight="1" x14ac:dyDescent="0.3">
      <c r="A121" s="6" t="s">
        <v>294</v>
      </c>
      <c r="B121" s="6">
        <v>42</v>
      </c>
      <c r="C121" s="6" t="s">
        <v>62</v>
      </c>
      <c r="D121" s="6" t="s">
        <v>55</v>
      </c>
      <c r="E121" s="6" t="s">
        <v>27</v>
      </c>
      <c r="F121" s="6">
        <v>1120</v>
      </c>
      <c r="G121" s="6">
        <v>128756.24</v>
      </c>
      <c r="H121" s="7">
        <v>41600</v>
      </c>
      <c r="I121" s="6" t="s">
        <v>73</v>
      </c>
      <c r="J121" s="6" t="s">
        <v>295</v>
      </c>
      <c r="K121" s="6" t="s">
        <v>51</v>
      </c>
      <c r="L121" s="6" t="s">
        <v>52</v>
      </c>
      <c r="M121" s="6" t="s">
        <v>53</v>
      </c>
      <c r="N121" s="6">
        <v>1.78</v>
      </c>
      <c r="O121" s="6">
        <v>107</v>
      </c>
    </row>
    <row r="122" spans="1:15" ht="14.25" customHeight="1" x14ac:dyDescent="0.3">
      <c r="A122" s="6" t="s">
        <v>296</v>
      </c>
      <c r="B122" s="6">
        <v>39</v>
      </c>
      <c r="C122" s="6" t="s">
        <v>16</v>
      </c>
      <c r="D122" s="6" t="s">
        <v>17</v>
      </c>
      <c r="E122" s="6" t="s">
        <v>34</v>
      </c>
      <c r="F122" s="6">
        <v>1121</v>
      </c>
      <c r="G122" s="6">
        <v>93820.77</v>
      </c>
      <c r="H122" s="7">
        <v>37641</v>
      </c>
      <c r="I122" s="6" t="s">
        <v>19</v>
      </c>
      <c r="J122" s="6" t="s">
        <v>297</v>
      </c>
      <c r="K122" s="6" t="s">
        <v>21</v>
      </c>
      <c r="L122" s="6" t="s">
        <v>22</v>
      </c>
      <c r="M122" s="6" t="s">
        <v>23</v>
      </c>
      <c r="N122" s="6">
        <v>4.5999999999999996</v>
      </c>
      <c r="O122" s="6">
        <v>180</v>
      </c>
    </row>
    <row r="123" spans="1:15" ht="14.25" customHeight="1" x14ac:dyDescent="0.3">
      <c r="A123" s="6" t="s">
        <v>298</v>
      </c>
      <c r="B123" s="6">
        <v>49</v>
      </c>
      <c r="C123" s="6" t="s">
        <v>62</v>
      </c>
      <c r="D123" s="6" t="s">
        <v>69</v>
      </c>
      <c r="E123" s="6" t="s">
        <v>34</v>
      </c>
      <c r="F123" s="6">
        <v>1122</v>
      </c>
      <c r="G123" s="6">
        <v>85363.67</v>
      </c>
      <c r="H123" s="7">
        <v>41339</v>
      </c>
      <c r="I123" s="6" t="s">
        <v>28</v>
      </c>
      <c r="J123" s="6" t="s">
        <v>299</v>
      </c>
      <c r="K123" s="6" t="s">
        <v>30</v>
      </c>
      <c r="L123" s="6" t="s">
        <v>31</v>
      </c>
      <c r="M123" s="6" t="s">
        <v>32</v>
      </c>
      <c r="N123" s="6">
        <v>4.1500000000000004</v>
      </c>
      <c r="O123" s="6">
        <v>147</v>
      </c>
    </row>
    <row r="124" spans="1:15" ht="14.25" customHeight="1" x14ac:dyDescent="0.3">
      <c r="A124" s="6" t="s">
        <v>300</v>
      </c>
      <c r="B124" s="6">
        <v>36</v>
      </c>
      <c r="C124" s="6" t="s">
        <v>16</v>
      </c>
      <c r="D124" s="6" t="s">
        <v>26</v>
      </c>
      <c r="E124" s="6" t="s">
        <v>27</v>
      </c>
      <c r="F124" s="6">
        <v>1123</v>
      </c>
      <c r="G124" s="6">
        <v>95725.81</v>
      </c>
      <c r="H124" s="7">
        <v>37108</v>
      </c>
      <c r="I124" s="6" t="s">
        <v>35</v>
      </c>
      <c r="J124" s="6" t="s">
        <v>301</v>
      </c>
      <c r="K124" s="6" t="s">
        <v>37</v>
      </c>
      <c r="L124" s="6" t="s">
        <v>38</v>
      </c>
      <c r="M124" s="6" t="s">
        <v>39</v>
      </c>
      <c r="N124" s="6">
        <v>4.6900000000000004</v>
      </c>
      <c r="O124" s="6">
        <v>157</v>
      </c>
    </row>
    <row r="125" spans="1:15" ht="14.25" customHeight="1" x14ac:dyDescent="0.3">
      <c r="A125" s="6" t="s">
        <v>302</v>
      </c>
      <c r="B125" s="6">
        <v>63</v>
      </c>
      <c r="C125" s="6" t="s">
        <v>62</v>
      </c>
      <c r="D125" s="6" t="s">
        <v>55</v>
      </c>
      <c r="E125" s="6" t="s">
        <v>48</v>
      </c>
      <c r="F125" s="6">
        <v>1124</v>
      </c>
      <c r="G125" s="6">
        <v>59834.07</v>
      </c>
      <c r="H125" s="7">
        <v>42568</v>
      </c>
      <c r="I125" s="6" t="s">
        <v>41</v>
      </c>
      <c r="J125" s="6" t="s">
        <v>303</v>
      </c>
      <c r="K125" s="6" t="s">
        <v>304</v>
      </c>
      <c r="L125" s="6" t="s">
        <v>44</v>
      </c>
      <c r="M125" s="6" t="s">
        <v>45</v>
      </c>
      <c r="N125" s="6">
        <v>1.55</v>
      </c>
      <c r="O125" s="6">
        <v>104</v>
      </c>
    </row>
    <row r="126" spans="1:15" ht="14.25" customHeight="1" x14ac:dyDescent="0.3">
      <c r="A126" s="6" t="s">
        <v>305</v>
      </c>
      <c r="B126" s="6">
        <v>23</v>
      </c>
      <c r="C126" s="6" t="s">
        <v>16</v>
      </c>
      <c r="D126" s="6" t="s">
        <v>17</v>
      </c>
      <c r="E126" s="6" t="s">
        <v>34</v>
      </c>
      <c r="F126" s="6">
        <v>1125</v>
      </c>
      <c r="G126" s="6">
        <v>152954.07</v>
      </c>
      <c r="H126" s="7">
        <v>41867</v>
      </c>
      <c r="I126" s="6" t="s">
        <v>49</v>
      </c>
      <c r="J126" s="6" t="s">
        <v>306</v>
      </c>
      <c r="K126" s="6" t="s">
        <v>51</v>
      </c>
      <c r="L126" s="6" t="s">
        <v>52</v>
      </c>
      <c r="M126" s="6" t="s">
        <v>53</v>
      </c>
      <c r="N126" s="6">
        <v>3.67</v>
      </c>
      <c r="O126" s="6">
        <v>84</v>
      </c>
    </row>
    <row r="127" spans="1:15" ht="14.25" customHeight="1" x14ac:dyDescent="0.3">
      <c r="A127" s="6" t="s">
        <v>307</v>
      </c>
      <c r="B127" s="6">
        <v>58</v>
      </c>
      <c r="C127" s="6" t="s">
        <v>16</v>
      </c>
      <c r="D127" s="6" t="s">
        <v>55</v>
      </c>
      <c r="E127" s="6" t="s">
        <v>18</v>
      </c>
      <c r="F127" s="6">
        <v>1126</v>
      </c>
      <c r="G127" s="6">
        <v>102781.5</v>
      </c>
      <c r="H127" s="7">
        <v>37649</v>
      </c>
      <c r="I127" s="6" t="s">
        <v>56</v>
      </c>
      <c r="J127" s="6" t="s">
        <v>308</v>
      </c>
      <c r="K127" s="6" t="s">
        <v>21</v>
      </c>
      <c r="L127" s="6" t="s">
        <v>22</v>
      </c>
      <c r="M127" s="6" t="s">
        <v>23</v>
      </c>
      <c r="N127" s="6">
        <v>2.34</v>
      </c>
      <c r="O127" s="6">
        <v>119</v>
      </c>
    </row>
    <row r="128" spans="1:15" ht="14.25" customHeight="1" x14ac:dyDescent="0.3">
      <c r="A128" s="6" t="s">
        <v>309</v>
      </c>
      <c r="B128" s="6">
        <v>32</v>
      </c>
      <c r="C128" s="6" t="s">
        <v>62</v>
      </c>
      <c r="D128" s="6" t="s">
        <v>55</v>
      </c>
      <c r="E128" s="6" t="s">
        <v>48</v>
      </c>
      <c r="F128" s="6">
        <v>1127</v>
      </c>
      <c r="G128" s="6">
        <v>95566.29</v>
      </c>
      <c r="H128" s="7">
        <v>40907</v>
      </c>
      <c r="I128" s="6" t="s">
        <v>63</v>
      </c>
      <c r="J128" s="6" t="s">
        <v>310</v>
      </c>
      <c r="K128" s="6" t="s">
        <v>30</v>
      </c>
      <c r="L128" s="6" t="s">
        <v>31</v>
      </c>
      <c r="M128" s="6" t="s">
        <v>32</v>
      </c>
      <c r="N128" s="6">
        <v>3.75</v>
      </c>
      <c r="O128" s="6">
        <v>31</v>
      </c>
    </row>
    <row r="129" spans="1:15" ht="14.25" customHeight="1" x14ac:dyDescent="0.3">
      <c r="A129" s="6" t="s">
        <v>311</v>
      </c>
      <c r="B129" s="6">
        <v>44</v>
      </c>
      <c r="C129" s="6" t="s">
        <v>25</v>
      </c>
      <c r="D129" s="6" t="s">
        <v>69</v>
      </c>
      <c r="E129" s="6" t="s">
        <v>18</v>
      </c>
      <c r="F129" s="6">
        <v>1128</v>
      </c>
      <c r="G129" s="6">
        <v>130536.23</v>
      </c>
      <c r="H129" s="7">
        <v>38827</v>
      </c>
      <c r="I129" s="6" t="s">
        <v>66</v>
      </c>
      <c r="J129" s="6" t="s">
        <v>312</v>
      </c>
      <c r="K129" s="6" t="s">
        <v>37</v>
      </c>
      <c r="L129" s="6" t="s">
        <v>38</v>
      </c>
      <c r="M129" s="6" t="s">
        <v>39</v>
      </c>
      <c r="N129" s="6">
        <v>1.6</v>
      </c>
      <c r="O129" s="6">
        <v>116</v>
      </c>
    </row>
    <row r="130" spans="1:15" ht="14.25" customHeight="1" x14ac:dyDescent="0.3">
      <c r="A130" s="6" t="s">
        <v>313</v>
      </c>
      <c r="B130" s="6">
        <v>62</v>
      </c>
      <c r="C130" s="6" t="s">
        <v>25</v>
      </c>
      <c r="D130" s="6" t="s">
        <v>69</v>
      </c>
      <c r="E130" s="6" t="s">
        <v>80</v>
      </c>
      <c r="F130" s="6">
        <v>1129</v>
      </c>
      <c r="G130" s="6">
        <v>142573.92000000001</v>
      </c>
      <c r="H130" s="7">
        <v>42948</v>
      </c>
      <c r="I130" s="6" t="s">
        <v>70</v>
      </c>
      <c r="J130" s="6" t="s">
        <v>314</v>
      </c>
      <c r="K130" s="6" t="s">
        <v>43</v>
      </c>
      <c r="L130" s="6" t="s">
        <v>44</v>
      </c>
      <c r="M130" s="6" t="s">
        <v>45</v>
      </c>
      <c r="N130" s="6">
        <v>1.79</v>
      </c>
      <c r="O130" s="6">
        <v>66</v>
      </c>
    </row>
    <row r="131" spans="1:15" ht="14.25" customHeight="1" x14ac:dyDescent="0.3">
      <c r="A131" s="6" t="s">
        <v>315</v>
      </c>
      <c r="B131" s="6">
        <v>33</v>
      </c>
      <c r="C131" s="6" t="s">
        <v>25</v>
      </c>
      <c r="D131" s="6" t="s">
        <v>17</v>
      </c>
      <c r="E131" s="6" t="s">
        <v>80</v>
      </c>
      <c r="F131" s="6">
        <v>1130</v>
      </c>
      <c r="G131" s="6">
        <v>51482.720000000001</v>
      </c>
      <c r="H131" s="7">
        <v>38288</v>
      </c>
      <c r="I131" s="6" t="s">
        <v>73</v>
      </c>
      <c r="J131" s="6" t="s">
        <v>316</v>
      </c>
      <c r="K131" s="6" t="s">
        <v>51</v>
      </c>
      <c r="L131" s="6" t="s">
        <v>52</v>
      </c>
      <c r="M131" s="6" t="s">
        <v>53</v>
      </c>
      <c r="N131" s="6">
        <v>1.82</v>
      </c>
      <c r="O131" s="6">
        <v>99</v>
      </c>
    </row>
    <row r="132" spans="1:15" ht="14.25" customHeight="1" x14ac:dyDescent="0.3">
      <c r="A132" s="6" t="s">
        <v>317</v>
      </c>
      <c r="B132" s="6">
        <v>24</v>
      </c>
      <c r="C132" s="6" t="s">
        <v>62</v>
      </c>
      <c r="D132" s="6" t="s">
        <v>69</v>
      </c>
      <c r="E132" s="6" t="s">
        <v>80</v>
      </c>
      <c r="F132" s="6">
        <v>1131</v>
      </c>
      <c r="G132" s="6">
        <v>154557.16</v>
      </c>
      <c r="H132" s="7">
        <v>39048</v>
      </c>
      <c r="I132" s="6" t="s">
        <v>19</v>
      </c>
      <c r="J132" s="6" t="s">
        <v>318</v>
      </c>
      <c r="K132" s="6" t="s">
        <v>21</v>
      </c>
      <c r="L132" s="6" t="s">
        <v>22</v>
      </c>
      <c r="M132" s="6" t="s">
        <v>23</v>
      </c>
      <c r="N132" s="6">
        <v>3.11</v>
      </c>
      <c r="O132" s="6">
        <v>198</v>
      </c>
    </row>
    <row r="133" spans="1:15" ht="14.25" customHeight="1" x14ac:dyDescent="0.3">
      <c r="A133" s="6" t="s">
        <v>319</v>
      </c>
      <c r="B133" s="6">
        <v>38</v>
      </c>
      <c r="C133" s="6" t="s">
        <v>25</v>
      </c>
      <c r="D133" s="6" t="s">
        <v>26</v>
      </c>
      <c r="E133" s="6" t="s">
        <v>34</v>
      </c>
      <c r="F133" s="6">
        <v>1132</v>
      </c>
      <c r="G133" s="6">
        <v>154261.34</v>
      </c>
      <c r="H133" s="7">
        <v>41253</v>
      </c>
      <c r="I133" s="6" t="s">
        <v>28</v>
      </c>
      <c r="J133" s="6" t="s">
        <v>320</v>
      </c>
      <c r="K133" s="6" t="s">
        <v>30</v>
      </c>
      <c r="L133" s="6" t="s">
        <v>31</v>
      </c>
      <c r="M133" s="6" t="s">
        <v>32</v>
      </c>
      <c r="N133" s="6">
        <v>2.52</v>
      </c>
      <c r="O133" s="6">
        <v>197</v>
      </c>
    </row>
    <row r="134" spans="1:15" ht="14.25" customHeight="1" x14ac:dyDescent="0.3">
      <c r="A134" s="6" t="s">
        <v>321</v>
      </c>
      <c r="B134" s="6">
        <v>54</v>
      </c>
      <c r="C134" s="6" t="s">
        <v>16</v>
      </c>
      <c r="D134" s="6" t="s">
        <v>17</v>
      </c>
      <c r="E134" s="6" t="s">
        <v>34</v>
      </c>
      <c r="F134" s="6">
        <v>1133</v>
      </c>
      <c r="G134" s="6">
        <v>116150.2</v>
      </c>
      <c r="H134" s="7">
        <v>37665</v>
      </c>
      <c r="I134" s="6" t="s">
        <v>35</v>
      </c>
      <c r="J134" s="6" t="s">
        <v>322</v>
      </c>
      <c r="K134" s="6" t="s">
        <v>37</v>
      </c>
      <c r="L134" s="6" t="s">
        <v>38</v>
      </c>
      <c r="M134" s="6" t="s">
        <v>39</v>
      </c>
      <c r="N134" s="6">
        <v>3.68</v>
      </c>
      <c r="O134" s="6">
        <v>35</v>
      </c>
    </row>
    <row r="135" spans="1:15" ht="14.25" customHeight="1" x14ac:dyDescent="0.3">
      <c r="A135" s="6" t="s">
        <v>323</v>
      </c>
      <c r="B135" s="6">
        <v>22</v>
      </c>
      <c r="C135" s="6" t="s">
        <v>62</v>
      </c>
      <c r="D135" s="6" t="s">
        <v>69</v>
      </c>
      <c r="E135" s="6" t="s">
        <v>80</v>
      </c>
      <c r="F135" s="6">
        <v>1134</v>
      </c>
      <c r="G135" s="6">
        <v>137115.62</v>
      </c>
      <c r="H135" s="7">
        <v>43734</v>
      </c>
      <c r="I135" s="6" t="s">
        <v>41</v>
      </c>
      <c r="J135" s="6" t="s">
        <v>324</v>
      </c>
      <c r="K135" s="6" t="s">
        <v>43</v>
      </c>
      <c r="L135" s="6" t="s">
        <v>44</v>
      </c>
      <c r="M135" s="6" t="s">
        <v>45</v>
      </c>
      <c r="N135" s="6">
        <v>3.38</v>
      </c>
      <c r="O135" s="6">
        <v>55</v>
      </c>
    </row>
    <row r="136" spans="1:15" ht="14.25" customHeight="1" x14ac:dyDescent="0.3">
      <c r="A136" s="6" t="s">
        <v>325</v>
      </c>
      <c r="B136" s="6">
        <v>60</v>
      </c>
      <c r="C136" s="6" t="s">
        <v>25</v>
      </c>
      <c r="D136" s="6" t="s">
        <v>47</v>
      </c>
      <c r="E136" s="6" t="s">
        <v>34</v>
      </c>
      <c r="F136" s="6">
        <v>1135</v>
      </c>
      <c r="G136" s="6">
        <v>125582.69</v>
      </c>
      <c r="H136" s="7">
        <v>36809</v>
      </c>
      <c r="I136" s="6" t="s">
        <v>49</v>
      </c>
      <c r="J136" s="6" t="s">
        <v>326</v>
      </c>
      <c r="K136" s="6" t="s">
        <v>51</v>
      </c>
      <c r="L136" s="6" t="s">
        <v>52</v>
      </c>
      <c r="M136" s="6" t="s">
        <v>53</v>
      </c>
      <c r="N136" s="6">
        <v>1.17</v>
      </c>
      <c r="O136" s="6">
        <v>91</v>
      </c>
    </row>
    <row r="137" spans="1:15" ht="14.25" customHeight="1" x14ac:dyDescent="0.3">
      <c r="A137" s="6" t="s">
        <v>327</v>
      </c>
      <c r="B137" s="6">
        <v>41</v>
      </c>
      <c r="C137" s="6" t="s">
        <v>16</v>
      </c>
      <c r="D137" s="6" t="s">
        <v>26</v>
      </c>
      <c r="E137" s="6" t="s">
        <v>34</v>
      </c>
      <c r="F137" s="6">
        <v>1136</v>
      </c>
      <c r="G137" s="6">
        <v>52229.94</v>
      </c>
      <c r="H137" s="7">
        <v>41248</v>
      </c>
      <c r="I137" s="6" t="s">
        <v>56</v>
      </c>
      <c r="J137" s="6" t="s">
        <v>328</v>
      </c>
      <c r="K137" s="6" t="s">
        <v>21</v>
      </c>
      <c r="L137" s="6" t="s">
        <v>22</v>
      </c>
      <c r="M137" s="6" t="s">
        <v>23</v>
      </c>
      <c r="N137" s="6">
        <v>4.41</v>
      </c>
      <c r="O137" s="6">
        <v>178</v>
      </c>
    </row>
    <row r="138" spans="1:15" ht="14.25" customHeight="1" x14ac:dyDescent="0.3">
      <c r="A138" s="6" t="s">
        <v>329</v>
      </c>
      <c r="B138" s="6">
        <v>64</v>
      </c>
      <c r="C138" s="6" t="s">
        <v>16</v>
      </c>
      <c r="D138" s="6" t="s">
        <v>55</v>
      </c>
      <c r="E138" s="6" t="s">
        <v>18</v>
      </c>
      <c r="F138" s="6">
        <v>1137</v>
      </c>
      <c r="G138" s="6">
        <v>67393.98</v>
      </c>
      <c r="H138" s="7">
        <v>41720</v>
      </c>
      <c r="I138" s="6" t="s">
        <v>63</v>
      </c>
      <c r="J138" s="6" t="s">
        <v>330</v>
      </c>
      <c r="K138" s="6" t="s">
        <v>30</v>
      </c>
      <c r="L138" s="6" t="s">
        <v>31</v>
      </c>
      <c r="M138" s="6" t="s">
        <v>32</v>
      </c>
      <c r="N138" s="6">
        <v>4.4400000000000004</v>
      </c>
      <c r="O138" s="6">
        <v>24</v>
      </c>
    </row>
    <row r="139" spans="1:15" ht="14.25" customHeight="1" x14ac:dyDescent="0.3">
      <c r="A139" s="6" t="s">
        <v>331</v>
      </c>
      <c r="B139" s="6">
        <v>62</v>
      </c>
      <c r="C139" s="6" t="s">
        <v>62</v>
      </c>
      <c r="D139" s="6" t="s">
        <v>26</v>
      </c>
      <c r="E139" s="6" t="s">
        <v>27</v>
      </c>
      <c r="F139" s="6">
        <v>1138</v>
      </c>
      <c r="G139" s="6">
        <v>141807.04999999999</v>
      </c>
      <c r="H139" s="7">
        <v>42063</v>
      </c>
      <c r="I139" s="6" t="s">
        <v>66</v>
      </c>
      <c r="J139" s="6" t="s">
        <v>332</v>
      </c>
      <c r="K139" s="6" t="s">
        <v>37</v>
      </c>
      <c r="L139" s="6" t="s">
        <v>38</v>
      </c>
      <c r="M139" s="6" t="s">
        <v>39</v>
      </c>
      <c r="N139" s="6">
        <v>4.25</v>
      </c>
      <c r="O139" s="6">
        <v>104</v>
      </c>
    </row>
    <row r="140" spans="1:15" ht="14.25" customHeight="1" x14ac:dyDescent="0.3">
      <c r="A140" s="6" t="s">
        <v>333</v>
      </c>
      <c r="B140" s="6">
        <v>35</v>
      </c>
      <c r="C140" s="6" t="s">
        <v>25</v>
      </c>
      <c r="D140" s="6" t="s">
        <v>26</v>
      </c>
      <c r="E140" s="6" t="s">
        <v>80</v>
      </c>
      <c r="F140" s="6">
        <v>1139</v>
      </c>
      <c r="G140" s="6">
        <v>92140.25</v>
      </c>
      <c r="H140" s="7">
        <v>42243</v>
      </c>
      <c r="I140" s="6" t="s">
        <v>70</v>
      </c>
      <c r="J140" s="6" t="s">
        <v>334</v>
      </c>
      <c r="K140" s="6" t="s">
        <v>43</v>
      </c>
      <c r="L140" s="6" t="s">
        <v>44</v>
      </c>
      <c r="M140" s="6" t="s">
        <v>45</v>
      </c>
      <c r="N140" s="6">
        <v>4.3600000000000003</v>
      </c>
      <c r="O140" s="6">
        <v>134</v>
      </c>
    </row>
    <row r="141" spans="1:15" ht="14.25" customHeight="1" x14ac:dyDescent="0.3">
      <c r="A141" s="6" t="s">
        <v>335</v>
      </c>
      <c r="B141" s="6">
        <v>52</v>
      </c>
      <c r="C141" s="6" t="s">
        <v>16</v>
      </c>
      <c r="D141" s="6" t="s">
        <v>26</v>
      </c>
      <c r="E141" s="6" t="s">
        <v>48</v>
      </c>
      <c r="F141" s="6">
        <v>1140</v>
      </c>
      <c r="G141" s="6">
        <v>53356.22</v>
      </c>
      <c r="H141" s="7">
        <v>39398</v>
      </c>
      <c r="I141" s="6" t="s">
        <v>73</v>
      </c>
      <c r="J141" s="6" t="s">
        <v>336</v>
      </c>
      <c r="K141" s="6" t="s">
        <v>51</v>
      </c>
      <c r="L141" s="6" t="s">
        <v>52</v>
      </c>
      <c r="M141" s="6" t="s">
        <v>53</v>
      </c>
      <c r="N141" s="6">
        <v>1.1200000000000001</v>
      </c>
      <c r="O141" s="6">
        <v>31</v>
      </c>
    </row>
    <row r="142" spans="1:15" ht="14.25" customHeight="1" x14ac:dyDescent="0.3">
      <c r="A142" s="6" t="s">
        <v>337</v>
      </c>
      <c r="B142" s="6">
        <v>46</v>
      </c>
      <c r="C142" s="6" t="s">
        <v>25</v>
      </c>
      <c r="D142" s="6" t="s">
        <v>47</v>
      </c>
      <c r="E142" s="6" t="s">
        <v>27</v>
      </c>
      <c r="F142" s="6">
        <v>1141</v>
      </c>
      <c r="G142" s="6">
        <v>183419.13</v>
      </c>
      <c r="H142" s="7">
        <v>42008</v>
      </c>
      <c r="I142" s="6" t="s">
        <v>19</v>
      </c>
      <c r="J142" s="6" t="s">
        <v>338</v>
      </c>
      <c r="K142" s="6" t="s">
        <v>21</v>
      </c>
      <c r="L142" s="6" t="s">
        <v>22</v>
      </c>
      <c r="M142" s="6" t="s">
        <v>23</v>
      </c>
      <c r="N142" s="6">
        <v>4.09</v>
      </c>
      <c r="O142" s="6">
        <v>153</v>
      </c>
    </row>
    <row r="143" spans="1:15" ht="14.25" customHeight="1" x14ac:dyDescent="0.3">
      <c r="A143" s="6" t="s">
        <v>339</v>
      </c>
      <c r="B143" s="6">
        <v>24</v>
      </c>
      <c r="C143" s="6" t="s">
        <v>16</v>
      </c>
      <c r="D143" s="6" t="s">
        <v>26</v>
      </c>
      <c r="E143" s="6" t="s">
        <v>27</v>
      </c>
      <c r="F143" s="6">
        <v>1142</v>
      </c>
      <c r="G143" s="6">
        <v>187395.08</v>
      </c>
      <c r="H143" s="7">
        <v>43429</v>
      </c>
      <c r="I143" s="6" t="s">
        <v>28</v>
      </c>
      <c r="J143" s="6" t="s">
        <v>340</v>
      </c>
      <c r="K143" s="6" t="s">
        <v>30</v>
      </c>
      <c r="L143" s="6" t="s">
        <v>31</v>
      </c>
      <c r="M143" s="6" t="s">
        <v>32</v>
      </c>
      <c r="N143" s="6">
        <v>2.54</v>
      </c>
      <c r="O143" s="6">
        <v>34</v>
      </c>
    </row>
    <row r="144" spans="1:15" ht="14.25" customHeight="1" x14ac:dyDescent="0.3">
      <c r="A144" s="6" t="s">
        <v>341</v>
      </c>
      <c r="B144" s="6">
        <v>25</v>
      </c>
      <c r="C144" s="6" t="s">
        <v>16</v>
      </c>
      <c r="D144" s="6" t="s">
        <v>47</v>
      </c>
      <c r="E144" s="6" t="s">
        <v>18</v>
      </c>
      <c r="F144" s="6">
        <v>1143</v>
      </c>
      <c r="G144" s="6">
        <v>136605.31</v>
      </c>
      <c r="H144" s="7">
        <v>38368</v>
      </c>
      <c r="I144" s="6" t="s">
        <v>35</v>
      </c>
      <c r="J144" s="6" t="s">
        <v>342</v>
      </c>
      <c r="K144" s="6" t="s">
        <v>37</v>
      </c>
      <c r="L144" s="6" t="s">
        <v>38</v>
      </c>
      <c r="M144" s="6" t="s">
        <v>39</v>
      </c>
      <c r="N144" s="6">
        <v>1.44</v>
      </c>
      <c r="O144" s="6">
        <v>157</v>
      </c>
    </row>
    <row r="145" spans="1:15" ht="14.25" customHeight="1" x14ac:dyDescent="0.3">
      <c r="A145" s="6" t="s">
        <v>343</v>
      </c>
      <c r="B145" s="6">
        <v>52</v>
      </c>
      <c r="C145" s="6" t="s">
        <v>62</v>
      </c>
      <c r="D145" s="6" t="s">
        <v>47</v>
      </c>
      <c r="E145" s="6" t="s">
        <v>80</v>
      </c>
      <c r="F145" s="6">
        <v>1144</v>
      </c>
      <c r="G145" s="6">
        <v>119278.22</v>
      </c>
      <c r="H145" s="7">
        <v>40848</v>
      </c>
      <c r="I145" s="6" t="s">
        <v>41</v>
      </c>
      <c r="J145" s="6" t="s">
        <v>344</v>
      </c>
      <c r="K145" s="6" t="s">
        <v>43</v>
      </c>
      <c r="L145" s="6" t="s">
        <v>44</v>
      </c>
      <c r="M145" s="6" t="s">
        <v>45</v>
      </c>
      <c r="N145" s="6">
        <v>5</v>
      </c>
      <c r="O145" s="6">
        <v>9</v>
      </c>
    </row>
    <row r="146" spans="1:15" ht="14.25" customHeight="1" x14ac:dyDescent="0.3">
      <c r="A146" s="6" t="s">
        <v>345</v>
      </c>
      <c r="B146" s="6">
        <v>56</v>
      </c>
      <c r="C146" s="6" t="s">
        <v>25</v>
      </c>
      <c r="D146" s="6" t="s">
        <v>69</v>
      </c>
      <c r="E146" s="6" t="s">
        <v>48</v>
      </c>
      <c r="F146" s="6">
        <v>1145</v>
      </c>
      <c r="G146" s="6">
        <v>71070.22</v>
      </c>
      <c r="H146" s="7">
        <v>42693</v>
      </c>
      <c r="I146" s="6" t="s">
        <v>49</v>
      </c>
      <c r="J146" s="6" t="s">
        <v>346</v>
      </c>
      <c r="K146" s="6" t="s">
        <v>51</v>
      </c>
      <c r="L146" s="6" t="s">
        <v>52</v>
      </c>
      <c r="M146" s="6" t="s">
        <v>53</v>
      </c>
      <c r="N146" s="6">
        <v>3.63</v>
      </c>
      <c r="O146" s="6">
        <v>116</v>
      </c>
    </row>
    <row r="147" spans="1:15" ht="14.25" customHeight="1" x14ac:dyDescent="0.3">
      <c r="A147" s="6" t="s">
        <v>347</v>
      </c>
      <c r="B147" s="6">
        <v>35</v>
      </c>
      <c r="C147" s="6" t="s">
        <v>16</v>
      </c>
      <c r="D147" s="6" t="s">
        <v>47</v>
      </c>
      <c r="E147" s="6" t="s">
        <v>48</v>
      </c>
      <c r="F147" s="6">
        <v>1146</v>
      </c>
      <c r="G147" s="6">
        <v>189565.49</v>
      </c>
      <c r="H147" s="7">
        <v>38281</v>
      </c>
      <c r="I147" s="6" t="s">
        <v>56</v>
      </c>
      <c r="J147" s="6" t="s">
        <v>348</v>
      </c>
      <c r="K147" s="6" t="s">
        <v>21</v>
      </c>
      <c r="L147" s="6" t="s">
        <v>22</v>
      </c>
      <c r="M147" s="6" t="s">
        <v>23</v>
      </c>
      <c r="N147" s="6">
        <v>4.26</v>
      </c>
      <c r="O147" s="6">
        <v>188</v>
      </c>
    </row>
    <row r="148" spans="1:15" ht="14.25" customHeight="1" x14ac:dyDescent="0.3">
      <c r="A148" s="6" t="s">
        <v>349</v>
      </c>
      <c r="B148" s="6">
        <v>62</v>
      </c>
      <c r="C148" s="6" t="s">
        <v>25</v>
      </c>
      <c r="D148" s="6" t="s">
        <v>47</v>
      </c>
      <c r="E148" s="6" t="s">
        <v>18</v>
      </c>
      <c r="F148" s="6">
        <v>1147</v>
      </c>
      <c r="G148" s="6">
        <v>153919.70000000001</v>
      </c>
      <c r="H148" s="7">
        <v>43285</v>
      </c>
      <c r="I148" s="6" t="s">
        <v>63</v>
      </c>
      <c r="J148" s="6" t="s">
        <v>350</v>
      </c>
      <c r="K148" s="6" t="s">
        <v>30</v>
      </c>
      <c r="L148" s="6" t="s">
        <v>31</v>
      </c>
      <c r="M148" s="6" t="s">
        <v>32</v>
      </c>
      <c r="N148" s="6">
        <v>1.67</v>
      </c>
      <c r="O148" s="6">
        <v>97</v>
      </c>
    </row>
    <row r="149" spans="1:15" ht="14.25" customHeight="1" x14ac:dyDescent="0.3">
      <c r="A149" s="6" t="s">
        <v>351</v>
      </c>
      <c r="B149" s="6">
        <v>30</v>
      </c>
      <c r="C149" s="6" t="s">
        <v>25</v>
      </c>
      <c r="D149" s="6" t="s">
        <v>17</v>
      </c>
      <c r="E149" s="6" t="s">
        <v>27</v>
      </c>
      <c r="F149" s="6">
        <v>1148</v>
      </c>
      <c r="G149" s="6">
        <v>106734.88</v>
      </c>
      <c r="H149" s="7">
        <v>38381</v>
      </c>
      <c r="I149" s="6" t="s">
        <v>66</v>
      </c>
      <c r="J149" s="6" t="s">
        <v>352</v>
      </c>
      <c r="K149" s="6" t="s">
        <v>37</v>
      </c>
      <c r="L149" s="6" t="s">
        <v>38</v>
      </c>
      <c r="M149" s="6" t="s">
        <v>39</v>
      </c>
      <c r="N149" s="6">
        <v>2</v>
      </c>
      <c r="O149" s="6">
        <v>111</v>
      </c>
    </row>
    <row r="150" spans="1:15" ht="14.25" customHeight="1" x14ac:dyDescent="0.3">
      <c r="A150" s="6" t="s">
        <v>353</v>
      </c>
      <c r="B150" s="6">
        <v>41</v>
      </c>
      <c r="C150" s="6" t="s">
        <v>25</v>
      </c>
      <c r="D150" s="6" t="s">
        <v>47</v>
      </c>
      <c r="E150" s="6" t="s">
        <v>18</v>
      </c>
      <c r="F150" s="6">
        <v>1149</v>
      </c>
      <c r="G150" s="6">
        <v>88353.35</v>
      </c>
      <c r="H150" s="7">
        <v>44467</v>
      </c>
      <c r="I150" s="6" t="s">
        <v>70</v>
      </c>
      <c r="J150" s="6" t="s">
        <v>354</v>
      </c>
      <c r="K150" s="6" t="s">
        <v>43</v>
      </c>
      <c r="L150" s="6" t="s">
        <v>44</v>
      </c>
      <c r="M150" s="6" t="s">
        <v>45</v>
      </c>
      <c r="N150" s="6">
        <v>2.63</v>
      </c>
      <c r="O150" s="6">
        <v>90</v>
      </c>
    </row>
    <row r="151" spans="1:15" ht="14.25" customHeight="1" x14ac:dyDescent="0.3">
      <c r="A151" s="6" t="s">
        <v>355</v>
      </c>
      <c r="B151" s="6">
        <v>53</v>
      </c>
      <c r="C151" s="6" t="s">
        <v>62</v>
      </c>
      <c r="D151" s="6" t="s">
        <v>26</v>
      </c>
      <c r="E151" s="6" t="s">
        <v>48</v>
      </c>
      <c r="F151" s="6">
        <v>1150</v>
      </c>
      <c r="G151" s="6">
        <v>106234.64</v>
      </c>
      <c r="H151" s="7">
        <v>37989</v>
      </c>
      <c r="I151" s="6" t="s">
        <v>73</v>
      </c>
      <c r="J151" s="6" t="s">
        <v>356</v>
      </c>
      <c r="K151" s="6" t="s">
        <v>51</v>
      </c>
      <c r="L151" s="6" t="s">
        <v>52</v>
      </c>
      <c r="M151" s="6" t="s">
        <v>53</v>
      </c>
      <c r="N151" s="6">
        <v>3.01</v>
      </c>
      <c r="O151" s="6">
        <v>137</v>
      </c>
    </row>
    <row r="152" spans="1:15" ht="14.25" customHeight="1" x14ac:dyDescent="0.3">
      <c r="A152" s="6" t="s">
        <v>357</v>
      </c>
      <c r="B152" s="6">
        <v>30</v>
      </c>
      <c r="C152" s="6" t="s">
        <v>16</v>
      </c>
      <c r="D152" s="6" t="s">
        <v>55</v>
      </c>
      <c r="E152" s="6" t="s">
        <v>27</v>
      </c>
      <c r="F152" s="6">
        <v>1151</v>
      </c>
      <c r="G152" s="6">
        <v>188957.26</v>
      </c>
      <c r="H152" s="7">
        <v>38219</v>
      </c>
      <c r="I152" s="6" t="s">
        <v>19</v>
      </c>
      <c r="J152" s="6" t="s">
        <v>358</v>
      </c>
      <c r="K152" s="6" t="s">
        <v>21</v>
      </c>
      <c r="L152" s="6" t="s">
        <v>22</v>
      </c>
      <c r="M152" s="6" t="s">
        <v>23</v>
      </c>
      <c r="N152" s="6">
        <v>2.76</v>
      </c>
      <c r="O152" s="6">
        <v>10</v>
      </c>
    </row>
    <row r="153" spans="1:15" ht="14.25" customHeight="1" x14ac:dyDescent="0.3">
      <c r="A153" s="6" t="s">
        <v>359</v>
      </c>
      <c r="B153" s="6">
        <v>48</v>
      </c>
      <c r="C153" s="6" t="s">
        <v>25</v>
      </c>
      <c r="D153" s="6" t="s">
        <v>47</v>
      </c>
      <c r="E153" s="6" t="s">
        <v>27</v>
      </c>
      <c r="F153" s="6">
        <v>1152</v>
      </c>
      <c r="G153" s="6">
        <v>82479.19</v>
      </c>
      <c r="H153" s="7">
        <v>39466</v>
      </c>
      <c r="I153" s="6" t="s">
        <v>28</v>
      </c>
      <c r="J153" s="6" t="s">
        <v>360</v>
      </c>
      <c r="K153" s="6" t="s">
        <v>30</v>
      </c>
      <c r="L153" s="6" t="s">
        <v>31</v>
      </c>
      <c r="M153" s="6" t="s">
        <v>32</v>
      </c>
      <c r="N153" s="6">
        <v>2.0499999999999998</v>
      </c>
      <c r="O153" s="6">
        <v>27</v>
      </c>
    </row>
    <row r="154" spans="1:15" ht="14.25" customHeight="1" x14ac:dyDescent="0.3">
      <c r="A154" s="6" t="s">
        <v>361</v>
      </c>
      <c r="B154" s="6">
        <v>24</v>
      </c>
      <c r="C154" s="6" t="s">
        <v>62</v>
      </c>
      <c r="D154" s="6" t="s">
        <v>47</v>
      </c>
      <c r="E154" s="6" t="s">
        <v>18</v>
      </c>
      <c r="F154" s="6">
        <v>1153</v>
      </c>
      <c r="G154" s="6">
        <v>83730.61</v>
      </c>
      <c r="H154" s="7">
        <v>42895</v>
      </c>
      <c r="I154" s="6" t="s">
        <v>35</v>
      </c>
      <c r="J154" s="6" t="s">
        <v>362</v>
      </c>
      <c r="K154" s="6" t="s">
        <v>37</v>
      </c>
      <c r="L154" s="6" t="s">
        <v>38</v>
      </c>
      <c r="M154" s="6" t="s">
        <v>39</v>
      </c>
      <c r="N154" s="6">
        <v>1.04</v>
      </c>
      <c r="O154" s="6">
        <v>199</v>
      </c>
    </row>
    <row r="155" spans="1:15" ht="14.25" customHeight="1" x14ac:dyDescent="0.3">
      <c r="A155" s="6" t="s">
        <v>363</v>
      </c>
      <c r="B155" s="6">
        <v>25</v>
      </c>
      <c r="C155" s="6" t="s">
        <v>25</v>
      </c>
      <c r="D155" s="6" t="s">
        <v>69</v>
      </c>
      <c r="E155" s="6" t="s">
        <v>80</v>
      </c>
      <c r="F155" s="6">
        <v>1154</v>
      </c>
      <c r="G155" s="6">
        <v>112813.36</v>
      </c>
      <c r="H155" s="7">
        <v>42173</v>
      </c>
      <c r="I155" s="6" t="s">
        <v>41</v>
      </c>
      <c r="J155" s="6" t="s">
        <v>364</v>
      </c>
      <c r="K155" s="6" t="s">
        <v>43</v>
      </c>
      <c r="L155" s="6" t="s">
        <v>44</v>
      </c>
      <c r="M155" s="6" t="s">
        <v>45</v>
      </c>
      <c r="N155" s="6">
        <v>1.1599999999999999</v>
      </c>
      <c r="O155" s="6">
        <v>109</v>
      </c>
    </row>
    <row r="156" spans="1:15" ht="14.25" customHeight="1" x14ac:dyDescent="0.3">
      <c r="A156" s="6" t="s">
        <v>365</v>
      </c>
      <c r="B156" s="6">
        <v>36</v>
      </c>
      <c r="C156" s="6" t="s">
        <v>62</v>
      </c>
      <c r="D156" s="6" t="s">
        <v>69</v>
      </c>
      <c r="E156" s="6" t="s">
        <v>34</v>
      </c>
      <c r="F156" s="6">
        <v>1155</v>
      </c>
      <c r="G156" s="6">
        <v>106580.85</v>
      </c>
      <c r="H156" s="7">
        <v>38675</v>
      </c>
      <c r="I156" s="6" t="s">
        <v>49</v>
      </c>
      <c r="J156" s="6" t="s">
        <v>366</v>
      </c>
      <c r="K156" s="6" t="s">
        <v>51</v>
      </c>
      <c r="L156" s="6" t="s">
        <v>52</v>
      </c>
      <c r="M156" s="6" t="s">
        <v>53</v>
      </c>
      <c r="N156" s="6">
        <v>3.65</v>
      </c>
      <c r="O156" s="6">
        <v>119</v>
      </c>
    </row>
    <row r="157" spans="1:15" ht="14.25" customHeight="1" x14ac:dyDescent="0.3">
      <c r="A157" s="6" t="s">
        <v>367</v>
      </c>
      <c r="B157" s="6">
        <v>54</v>
      </c>
      <c r="C157" s="6" t="s">
        <v>25</v>
      </c>
      <c r="D157" s="6" t="s">
        <v>26</v>
      </c>
      <c r="E157" s="6" t="s">
        <v>27</v>
      </c>
      <c r="F157" s="6">
        <v>1156</v>
      </c>
      <c r="G157" s="6">
        <v>116570.12</v>
      </c>
      <c r="H157" s="7">
        <v>39617</v>
      </c>
      <c r="I157" s="6" t="s">
        <v>56</v>
      </c>
      <c r="J157" s="6" t="s">
        <v>368</v>
      </c>
      <c r="K157" s="6" t="s">
        <v>21</v>
      </c>
      <c r="L157" s="6" t="s">
        <v>22</v>
      </c>
      <c r="M157" s="6" t="s">
        <v>23</v>
      </c>
      <c r="N157" s="6">
        <v>3.72</v>
      </c>
      <c r="O157" s="6">
        <v>88</v>
      </c>
    </row>
    <row r="158" spans="1:15" ht="14.25" customHeight="1" x14ac:dyDescent="0.3">
      <c r="A158" s="6" t="s">
        <v>369</v>
      </c>
      <c r="B158" s="6">
        <v>26</v>
      </c>
      <c r="C158" s="6" t="s">
        <v>25</v>
      </c>
      <c r="D158" s="6" t="s">
        <v>17</v>
      </c>
      <c r="E158" s="6" t="s">
        <v>27</v>
      </c>
      <c r="F158" s="6">
        <v>1157</v>
      </c>
      <c r="G158" s="6">
        <v>140480.73000000001</v>
      </c>
      <c r="H158" s="7">
        <v>36593</v>
      </c>
      <c r="I158" s="6" t="s">
        <v>63</v>
      </c>
      <c r="J158" s="6" t="s">
        <v>370</v>
      </c>
      <c r="K158" s="6" t="s">
        <v>30</v>
      </c>
      <c r="L158" s="6" t="s">
        <v>31</v>
      </c>
      <c r="M158" s="6" t="s">
        <v>32</v>
      </c>
      <c r="N158" s="6">
        <v>3.12</v>
      </c>
      <c r="O158" s="6">
        <v>171</v>
      </c>
    </row>
    <row r="159" spans="1:15" ht="14.25" customHeight="1" x14ac:dyDescent="0.3">
      <c r="A159" s="6" t="s">
        <v>371</v>
      </c>
      <c r="B159" s="6">
        <v>25</v>
      </c>
      <c r="C159" s="6" t="s">
        <v>25</v>
      </c>
      <c r="D159" s="6" t="s">
        <v>47</v>
      </c>
      <c r="E159" s="6" t="s">
        <v>34</v>
      </c>
      <c r="F159" s="6">
        <v>1158</v>
      </c>
      <c r="G159" s="6">
        <v>184040.76</v>
      </c>
      <c r="H159" s="7">
        <v>44063</v>
      </c>
      <c r="I159" s="6" t="s">
        <v>66</v>
      </c>
      <c r="J159" s="6" t="s">
        <v>372</v>
      </c>
      <c r="K159" s="6" t="s">
        <v>37</v>
      </c>
      <c r="L159" s="6" t="s">
        <v>38</v>
      </c>
      <c r="M159" s="6" t="s">
        <v>39</v>
      </c>
      <c r="N159" s="6">
        <v>1.63</v>
      </c>
      <c r="O159" s="6">
        <v>160</v>
      </c>
    </row>
    <row r="160" spans="1:15" ht="14.25" customHeight="1" x14ac:dyDescent="0.3">
      <c r="A160" s="6" t="s">
        <v>373</v>
      </c>
      <c r="B160" s="6">
        <v>33</v>
      </c>
      <c r="C160" s="6" t="s">
        <v>62</v>
      </c>
      <c r="D160" s="6" t="s">
        <v>55</v>
      </c>
      <c r="E160" s="6" t="s">
        <v>48</v>
      </c>
      <c r="F160" s="6">
        <v>1159</v>
      </c>
      <c r="G160" s="6">
        <v>190807.87</v>
      </c>
      <c r="H160" s="7">
        <v>43898</v>
      </c>
      <c r="I160" s="6" t="s">
        <v>70</v>
      </c>
      <c r="J160" s="6" t="s">
        <v>374</v>
      </c>
      <c r="K160" s="6" t="s">
        <v>43</v>
      </c>
      <c r="L160" s="6" t="s">
        <v>44</v>
      </c>
      <c r="M160" s="6" t="s">
        <v>45</v>
      </c>
      <c r="N160" s="6">
        <v>2.59</v>
      </c>
      <c r="O160" s="6">
        <v>157</v>
      </c>
    </row>
    <row r="161" spans="1:15" ht="14.25" customHeight="1" x14ac:dyDescent="0.3">
      <c r="A161" s="6" t="s">
        <v>375</v>
      </c>
      <c r="B161" s="6">
        <v>44</v>
      </c>
      <c r="C161" s="6" t="s">
        <v>62</v>
      </c>
      <c r="D161" s="6" t="s">
        <v>47</v>
      </c>
      <c r="E161" s="6" t="s">
        <v>34</v>
      </c>
      <c r="F161" s="6">
        <v>1160</v>
      </c>
      <c r="G161" s="6">
        <v>191072.85</v>
      </c>
      <c r="H161" s="7">
        <v>43773</v>
      </c>
      <c r="I161" s="6" t="s">
        <v>73</v>
      </c>
      <c r="J161" s="6" t="s">
        <v>376</v>
      </c>
      <c r="K161" s="6" t="s">
        <v>51</v>
      </c>
      <c r="L161" s="6" t="s">
        <v>52</v>
      </c>
      <c r="M161" s="6" t="s">
        <v>53</v>
      </c>
      <c r="N161" s="6">
        <v>4.6500000000000004</v>
      </c>
      <c r="O161" s="6">
        <v>69</v>
      </c>
    </row>
    <row r="162" spans="1:15" ht="14.25" customHeight="1" x14ac:dyDescent="0.3">
      <c r="A162" s="6" t="s">
        <v>377</v>
      </c>
      <c r="B162" s="6">
        <v>35</v>
      </c>
      <c r="C162" s="6" t="s">
        <v>16</v>
      </c>
      <c r="D162" s="6" t="s">
        <v>17</v>
      </c>
      <c r="E162" s="6" t="s">
        <v>18</v>
      </c>
      <c r="F162" s="6">
        <v>1161</v>
      </c>
      <c r="G162" s="6">
        <v>50831.66</v>
      </c>
      <c r="H162" s="7">
        <v>39796</v>
      </c>
      <c r="I162" s="6" t="s">
        <v>19</v>
      </c>
      <c r="J162" s="6" t="s">
        <v>378</v>
      </c>
      <c r="K162" s="6" t="s">
        <v>21</v>
      </c>
      <c r="L162" s="6" t="s">
        <v>22</v>
      </c>
      <c r="M162" s="6" t="s">
        <v>23</v>
      </c>
      <c r="N162" s="6">
        <v>3.04</v>
      </c>
      <c r="O162" s="6">
        <v>96</v>
      </c>
    </row>
    <row r="163" spans="1:15" ht="14.25" customHeight="1" x14ac:dyDescent="0.3">
      <c r="A163" s="6" t="s">
        <v>379</v>
      </c>
      <c r="B163" s="6">
        <v>33</v>
      </c>
      <c r="C163" s="6" t="s">
        <v>16</v>
      </c>
      <c r="D163" s="6" t="s">
        <v>17</v>
      </c>
      <c r="E163" s="6" t="s">
        <v>27</v>
      </c>
      <c r="F163" s="6">
        <v>1162</v>
      </c>
      <c r="G163" s="6">
        <v>178449.14</v>
      </c>
      <c r="H163" s="7">
        <v>41340</v>
      </c>
      <c r="I163" s="6" t="s">
        <v>28</v>
      </c>
      <c r="J163" s="6" t="s">
        <v>380</v>
      </c>
      <c r="K163" s="6" t="s">
        <v>30</v>
      </c>
      <c r="L163" s="6" t="s">
        <v>31</v>
      </c>
      <c r="M163" s="6" t="s">
        <v>32</v>
      </c>
      <c r="N163" s="6">
        <v>3.19</v>
      </c>
      <c r="O163" s="6">
        <v>78</v>
      </c>
    </row>
    <row r="164" spans="1:15" ht="14.25" customHeight="1" x14ac:dyDescent="0.3">
      <c r="A164" s="6" t="s">
        <v>381</v>
      </c>
      <c r="B164" s="6">
        <v>38</v>
      </c>
      <c r="C164" s="6" t="s">
        <v>62</v>
      </c>
      <c r="D164" s="6" t="s">
        <v>55</v>
      </c>
      <c r="E164" s="6" t="s">
        <v>27</v>
      </c>
      <c r="F164" s="6">
        <v>1163</v>
      </c>
      <c r="G164" s="6">
        <v>137283.79999999999</v>
      </c>
      <c r="H164" s="7">
        <v>42563</v>
      </c>
      <c r="I164" s="6" t="s">
        <v>35</v>
      </c>
      <c r="J164" s="6" t="s">
        <v>382</v>
      </c>
      <c r="K164" s="6" t="s">
        <v>37</v>
      </c>
      <c r="L164" s="6" t="s">
        <v>38</v>
      </c>
      <c r="M164" s="6" t="s">
        <v>39</v>
      </c>
      <c r="N164" s="6">
        <v>4.71</v>
      </c>
      <c r="O164" s="6">
        <v>153</v>
      </c>
    </row>
    <row r="165" spans="1:15" ht="14.25" customHeight="1" x14ac:dyDescent="0.3">
      <c r="A165" s="6" t="s">
        <v>383</v>
      </c>
      <c r="B165" s="6">
        <v>46</v>
      </c>
      <c r="C165" s="6" t="s">
        <v>16</v>
      </c>
      <c r="D165" s="6" t="s">
        <v>26</v>
      </c>
      <c r="E165" s="6" t="s">
        <v>80</v>
      </c>
      <c r="F165" s="6">
        <v>1164</v>
      </c>
      <c r="G165" s="6">
        <v>110179.37</v>
      </c>
      <c r="H165" s="7">
        <v>40817</v>
      </c>
      <c r="I165" s="6" t="s">
        <v>41</v>
      </c>
      <c r="J165" s="6" t="s">
        <v>384</v>
      </c>
      <c r="K165" s="6" t="s">
        <v>43</v>
      </c>
      <c r="L165" s="6" t="s">
        <v>44</v>
      </c>
      <c r="M165" s="6" t="s">
        <v>45</v>
      </c>
      <c r="N165" s="6">
        <v>4.88</v>
      </c>
      <c r="O165" s="6">
        <v>191</v>
      </c>
    </row>
    <row r="166" spans="1:15" ht="14.25" customHeight="1" x14ac:dyDescent="0.3">
      <c r="A166" s="6" t="s">
        <v>385</v>
      </c>
      <c r="B166" s="6">
        <v>51</v>
      </c>
      <c r="C166" s="6" t="s">
        <v>62</v>
      </c>
      <c r="D166" s="6" t="s">
        <v>47</v>
      </c>
      <c r="E166" s="6" t="s">
        <v>48</v>
      </c>
      <c r="F166" s="6">
        <v>1165</v>
      </c>
      <c r="G166" s="6">
        <v>146244.54999999999</v>
      </c>
      <c r="H166" s="7">
        <v>39521</v>
      </c>
      <c r="I166" s="6" t="s">
        <v>49</v>
      </c>
      <c r="J166" s="6" t="s">
        <v>386</v>
      </c>
      <c r="K166" s="6" t="s">
        <v>51</v>
      </c>
      <c r="L166" s="6" t="s">
        <v>52</v>
      </c>
      <c r="M166" s="6" t="s">
        <v>53</v>
      </c>
      <c r="N166" s="6">
        <v>3.74</v>
      </c>
      <c r="O166" s="6">
        <v>61</v>
      </c>
    </row>
    <row r="167" spans="1:15" ht="14.25" customHeight="1" x14ac:dyDescent="0.3">
      <c r="A167" s="6" t="s">
        <v>387</v>
      </c>
      <c r="B167" s="6">
        <v>43</v>
      </c>
      <c r="C167" s="6" t="s">
        <v>62</v>
      </c>
      <c r="D167" s="6" t="s">
        <v>47</v>
      </c>
      <c r="E167" s="6" t="s">
        <v>18</v>
      </c>
      <c r="F167" s="6">
        <v>1166</v>
      </c>
      <c r="G167" s="6">
        <v>135417.26</v>
      </c>
      <c r="H167" s="7">
        <v>42701</v>
      </c>
      <c r="I167" s="6" t="s">
        <v>56</v>
      </c>
      <c r="J167" s="6" t="s">
        <v>388</v>
      </c>
      <c r="K167" s="6" t="s">
        <v>21</v>
      </c>
      <c r="L167" s="6" t="s">
        <v>22</v>
      </c>
      <c r="M167" s="6" t="s">
        <v>23</v>
      </c>
      <c r="N167" s="6">
        <v>2.85</v>
      </c>
      <c r="O167" s="6">
        <v>97</v>
      </c>
    </row>
    <row r="168" spans="1:15" ht="14.25" customHeight="1" x14ac:dyDescent="0.3">
      <c r="A168" s="6" t="s">
        <v>389</v>
      </c>
      <c r="B168" s="6">
        <v>47</v>
      </c>
      <c r="C168" s="6" t="s">
        <v>62</v>
      </c>
      <c r="D168" s="6" t="s">
        <v>69</v>
      </c>
      <c r="E168" s="6" t="s">
        <v>34</v>
      </c>
      <c r="F168" s="6">
        <v>1167</v>
      </c>
      <c r="G168" s="6">
        <v>80727.91</v>
      </c>
      <c r="H168" s="7">
        <v>41249</v>
      </c>
      <c r="I168" s="6" t="s">
        <v>63</v>
      </c>
      <c r="J168" s="6" t="s">
        <v>390</v>
      </c>
      <c r="K168" s="6" t="s">
        <v>30</v>
      </c>
      <c r="L168" s="6" t="s">
        <v>31</v>
      </c>
      <c r="M168" s="6" t="s">
        <v>32</v>
      </c>
      <c r="N168" s="6">
        <v>2.15</v>
      </c>
      <c r="O168" s="6">
        <v>197</v>
      </c>
    </row>
    <row r="169" spans="1:15" ht="14.25" customHeight="1" x14ac:dyDescent="0.3">
      <c r="A169" s="6" t="s">
        <v>391</v>
      </c>
      <c r="B169" s="6">
        <v>38</v>
      </c>
      <c r="C169" s="6" t="s">
        <v>16</v>
      </c>
      <c r="D169" s="6" t="s">
        <v>26</v>
      </c>
      <c r="E169" s="6" t="s">
        <v>48</v>
      </c>
      <c r="F169" s="6">
        <v>1168</v>
      </c>
      <c r="G169" s="6">
        <v>62707.45</v>
      </c>
      <c r="H169" s="7">
        <v>39973</v>
      </c>
      <c r="I169" s="6" t="s">
        <v>66</v>
      </c>
      <c r="J169" s="6" t="s">
        <v>392</v>
      </c>
      <c r="K169" s="6" t="s">
        <v>37</v>
      </c>
      <c r="L169" s="6" t="s">
        <v>38</v>
      </c>
      <c r="M169" s="6" t="s">
        <v>39</v>
      </c>
      <c r="N169" s="6">
        <v>2.4500000000000002</v>
      </c>
      <c r="O169" s="6">
        <v>155</v>
      </c>
    </row>
    <row r="170" spans="1:15" ht="14.25" customHeight="1" x14ac:dyDescent="0.3">
      <c r="A170" s="6" t="s">
        <v>393</v>
      </c>
      <c r="B170" s="6">
        <v>41</v>
      </c>
      <c r="C170" s="6" t="s">
        <v>25</v>
      </c>
      <c r="D170" s="6" t="s">
        <v>55</v>
      </c>
      <c r="E170" s="6" t="s">
        <v>48</v>
      </c>
      <c r="F170" s="6">
        <v>1169</v>
      </c>
      <c r="G170" s="6">
        <v>78835.399999999994</v>
      </c>
      <c r="H170" s="7">
        <v>40270</v>
      </c>
      <c r="I170" s="6" t="s">
        <v>70</v>
      </c>
      <c r="J170" s="6" t="s">
        <v>394</v>
      </c>
      <c r="K170" s="6" t="s">
        <v>43</v>
      </c>
      <c r="L170" s="6" t="s">
        <v>44</v>
      </c>
      <c r="M170" s="6" t="s">
        <v>45</v>
      </c>
      <c r="N170" s="6">
        <v>2.5099999999999998</v>
      </c>
      <c r="O170" s="6">
        <v>101</v>
      </c>
    </row>
    <row r="171" spans="1:15" ht="14.25" customHeight="1" x14ac:dyDescent="0.3">
      <c r="A171" s="6" t="s">
        <v>395</v>
      </c>
      <c r="B171" s="6">
        <v>55</v>
      </c>
      <c r="C171" s="6" t="s">
        <v>16</v>
      </c>
      <c r="D171" s="6" t="s">
        <v>47</v>
      </c>
      <c r="E171" s="6" t="s">
        <v>18</v>
      </c>
      <c r="F171" s="6">
        <v>1170</v>
      </c>
      <c r="G171" s="6">
        <v>84119.27</v>
      </c>
      <c r="H171" s="7">
        <v>44643</v>
      </c>
      <c r="I171" s="6" t="s">
        <v>73</v>
      </c>
      <c r="J171" s="6" t="s">
        <v>396</v>
      </c>
      <c r="K171" s="6" t="s">
        <v>51</v>
      </c>
      <c r="L171" s="6" t="s">
        <v>52</v>
      </c>
      <c r="M171" s="6" t="s">
        <v>53</v>
      </c>
      <c r="N171" s="6">
        <v>2.42</v>
      </c>
      <c r="O171" s="6">
        <v>54</v>
      </c>
    </row>
    <row r="172" spans="1:15" ht="14.25" customHeight="1" x14ac:dyDescent="0.3">
      <c r="A172" s="6" t="s">
        <v>397</v>
      </c>
      <c r="B172" s="6">
        <v>62</v>
      </c>
      <c r="C172" s="6" t="s">
        <v>25</v>
      </c>
      <c r="D172" s="6" t="s">
        <v>17</v>
      </c>
      <c r="E172" s="6" t="s">
        <v>80</v>
      </c>
      <c r="F172" s="6">
        <v>1171</v>
      </c>
      <c r="G172" s="6">
        <v>138503.97</v>
      </c>
      <c r="H172" s="7">
        <v>42503</v>
      </c>
      <c r="I172" s="6" t="s">
        <v>19</v>
      </c>
      <c r="J172" s="6" t="s">
        <v>398</v>
      </c>
      <c r="K172" s="6" t="s">
        <v>21</v>
      </c>
      <c r="L172" s="6" t="s">
        <v>22</v>
      </c>
      <c r="M172" s="6" t="s">
        <v>23</v>
      </c>
      <c r="N172" s="6">
        <v>3.47</v>
      </c>
      <c r="O172" s="6">
        <v>148</v>
      </c>
    </row>
    <row r="173" spans="1:15" ht="14.25" customHeight="1" x14ac:dyDescent="0.3">
      <c r="A173" s="6" t="s">
        <v>399</v>
      </c>
      <c r="B173" s="6">
        <v>54</v>
      </c>
      <c r="C173" s="6" t="s">
        <v>16</v>
      </c>
      <c r="D173" s="6" t="s">
        <v>26</v>
      </c>
      <c r="E173" s="6" t="s">
        <v>18</v>
      </c>
      <c r="F173" s="6">
        <v>1172</v>
      </c>
      <c r="G173" s="6">
        <v>92393.52</v>
      </c>
      <c r="H173" s="7">
        <v>43552</v>
      </c>
      <c r="I173" s="6" t="s">
        <v>28</v>
      </c>
      <c r="J173" s="6" t="s">
        <v>400</v>
      </c>
      <c r="K173" s="6" t="s">
        <v>30</v>
      </c>
      <c r="L173" s="6" t="s">
        <v>31</v>
      </c>
      <c r="M173" s="6" t="s">
        <v>32</v>
      </c>
      <c r="N173" s="6">
        <v>2</v>
      </c>
      <c r="O173" s="6">
        <v>67</v>
      </c>
    </row>
    <row r="174" spans="1:15" ht="14.25" customHeight="1" x14ac:dyDescent="0.3">
      <c r="A174" s="6" t="s">
        <v>401</v>
      </c>
      <c r="B174" s="6">
        <v>58</v>
      </c>
      <c r="C174" s="6" t="s">
        <v>25</v>
      </c>
      <c r="D174" s="6" t="s">
        <v>17</v>
      </c>
      <c r="E174" s="6" t="s">
        <v>18</v>
      </c>
      <c r="F174" s="6">
        <v>1173</v>
      </c>
      <c r="G174" s="6">
        <v>128933.96</v>
      </c>
      <c r="H174" s="7">
        <v>41511</v>
      </c>
      <c r="I174" s="6" t="s">
        <v>35</v>
      </c>
      <c r="J174" s="6" t="s">
        <v>402</v>
      </c>
      <c r="K174" s="6" t="s">
        <v>37</v>
      </c>
      <c r="L174" s="6" t="s">
        <v>38</v>
      </c>
      <c r="M174" s="6" t="s">
        <v>39</v>
      </c>
      <c r="N174" s="6">
        <v>2.0499999999999998</v>
      </c>
      <c r="O174" s="6">
        <v>86</v>
      </c>
    </row>
    <row r="175" spans="1:15" ht="14.25" customHeight="1" x14ac:dyDescent="0.3">
      <c r="A175" s="6" t="s">
        <v>403</v>
      </c>
      <c r="B175" s="6">
        <v>28</v>
      </c>
      <c r="C175" s="6" t="s">
        <v>25</v>
      </c>
      <c r="D175" s="6" t="s">
        <v>17</v>
      </c>
      <c r="E175" s="6" t="s">
        <v>80</v>
      </c>
      <c r="F175" s="6">
        <v>1174</v>
      </c>
      <c r="G175" s="6">
        <v>117712.36</v>
      </c>
      <c r="H175" s="7">
        <v>38454</v>
      </c>
      <c r="I175" s="6" t="s">
        <v>41</v>
      </c>
      <c r="J175" s="6" t="s">
        <v>404</v>
      </c>
      <c r="K175" s="6" t="s">
        <v>43</v>
      </c>
      <c r="L175" s="6" t="s">
        <v>44</v>
      </c>
      <c r="M175" s="6" t="s">
        <v>45</v>
      </c>
      <c r="N175" s="6">
        <v>2.56</v>
      </c>
      <c r="O175" s="6">
        <v>198</v>
      </c>
    </row>
    <row r="176" spans="1:15" ht="14.25" customHeight="1" x14ac:dyDescent="0.3">
      <c r="A176" s="6" t="s">
        <v>405</v>
      </c>
      <c r="B176" s="6">
        <v>43</v>
      </c>
      <c r="C176" s="6" t="s">
        <v>62</v>
      </c>
      <c r="D176" s="6" t="s">
        <v>47</v>
      </c>
      <c r="E176" s="6" t="s">
        <v>48</v>
      </c>
      <c r="F176" s="6">
        <v>1175</v>
      </c>
      <c r="G176" s="6">
        <v>130926.87</v>
      </c>
      <c r="H176" s="7">
        <v>43861</v>
      </c>
      <c r="I176" s="6" t="s">
        <v>49</v>
      </c>
      <c r="J176" s="6" t="s">
        <v>406</v>
      </c>
      <c r="K176" s="6" t="s">
        <v>51</v>
      </c>
      <c r="L176" s="6" t="s">
        <v>52</v>
      </c>
      <c r="M176" s="6" t="s">
        <v>53</v>
      </c>
      <c r="N176" s="6">
        <v>2.06</v>
      </c>
      <c r="O176" s="6">
        <v>159</v>
      </c>
    </row>
    <row r="177" spans="1:15" ht="14.25" customHeight="1" x14ac:dyDescent="0.3">
      <c r="A177" s="6" t="s">
        <v>407</v>
      </c>
      <c r="B177" s="6">
        <v>53</v>
      </c>
      <c r="C177" s="6" t="s">
        <v>16</v>
      </c>
      <c r="D177" s="6" t="s">
        <v>55</v>
      </c>
      <c r="E177" s="6" t="s">
        <v>48</v>
      </c>
      <c r="F177" s="6">
        <v>1176</v>
      </c>
      <c r="G177" s="6">
        <v>77898.44</v>
      </c>
      <c r="H177" s="7">
        <v>41728</v>
      </c>
      <c r="I177" s="6" t="s">
        <v>56</v>
      </c>
      <c r="J177" s="6" t="s">
        <v>408</v>
      </c>
      <c r="K177" s="6" t="s">
        <v>21</v>
      </c>
      <c r="L177" s="6" t="s">
        <v>22</v>
      </c>
      <c r="M177" s="6" t="s">
        <v>23</v>
      </c>
      <c r="N177" s="6">
        <v>4.59</v>
      </c>
      <c r="O177" s="6">
        <v>133</v>
      </c>
    </row>
    <row r="178" spans="1:15" ht="14.25" customHeight="1" x14ac:dyDescent="0.3">
      <c r="A178" s="6" t="s">
        <v>409</v>
      </c>
      <c r="B178" s="6">
        <v>35</v>
      </c>
      <c r="C178" s="6" t="s">
        <v>25</v>
      </c>
      <c r="D178" s="6" t="s">
        <v>55</v>
      </c>
      <c r="E178" s="6" t="s">
        <v>34</v>
      </c>
      <c r="F178" s="6">
        <v>1177</v>
      </c>
      <c r="G178" s="6">
        <v>178306.49</v>
      </c>
      <c r="H178" s="7">
        <v>37048</v>
      </c>
      <c r="I178" s="6" t="s">
        <v>63</v>
      </c>
      <c r="J178" s="6" t="s">
        <v>410</v>
      </c>
      <c r="K178" s="6" t="s">
        <v>30</v>
      </c>
      <c r="L178" s="6" t="s">
        <v>31</v>
      </c>
      <c r="M178" s="6" t="s">
        <v>32</v>
      </c>
      <c r="N178" s="6">
        <v>1.1200000000000001</v>
      </c>
      <c r="O178" s="6">
        <v>27</v>
      </c>
    </row>
    <row r="179" spans="1:15" ht="14.25" customHeight="1" x14ac:dyDescent="0.3">
      <c r="A179" s="6" t="s">
        <v>411</v>
      </c>
      <c r="B179" s="6">
        <v>29</v>
      </c>
      <c r="C179" s="6" t="s">
        <v>16</v>
      </c>
      <c r="D179" s="6" t="s">
        <v>55</v>
      </c>
      <c r="E179" s="6" t="s">
        <v>80</v>
      </c>
      <c r="F179" s="6">
        <v>1178</v>
      </c>
      <c r="G179" s="6">
        <v>160380.57999999999</v>
      </c>
      <c r="H179" s="7">
        <v>39483</v>
      </c>
      <c r="I179" s="6" t="s">
        <v>66</v>
      </c>
      <c r="J179" s="6" t="s">
        <v>412</v>
      </c>
      <c r="K179" s="6" t="s">
        <v>37</v>
      </c>
      <c r="L179" s="6" t="s">
        <v>38</v>
      </c>
      <c r="M179" s="6" t="s">
        <v>39</v>
      </c>
      <c r="N179" s="6">
        <v>3.61</v>
      </c>
      <c r="O179" s="6">
        <v>144</v>
      </c>
    </row>
    <row r="180" spans="1:15" ht="14.25" customHeight="1" x14ac:dyDescent="0.3">
      <c r="A180" s="6" t="s">
        <v>413</v>
      </c>
      <c r="B180" s="6">
        <v>46</v>
      </c>
      <c r="C180" s="6" t="s">
        <v>62</v>
      </c>
      <c r="D180" s="6" t="s">
        <v>47</v>
      </c>
      <c r="E180" s="6" t="s">
        <v>48</v>
      </c>
      <c r="F180" s="6">
        <v>1179</v>
      </c>
      <c r="G180" s="6">
        <v>61575.01</v>
      </c>
      <c r="H180" s="7">
        <v>43226</v>
      </c>
      <c r="I180" s="6" t="s">
        <v>70</v>
      </c>
      <c r="J180" s="6" t="s">
        <v>414</v>
      </c>
      <c r="K180" s="6" t="s">
        <v>43</v>
      </c>
      <c r="L180" s="6" t="s">
        <v>44</v>
      </c>
      <c r="M180" s="6" t="s">
        <v>45</v>
      </c>
      <c r="N180" s="6">
        <v>4.28</v>
      </c>
      <c r="O180" s="6">
        <v>12</v>
      </c>
    </row>
    <row r="181" spans="1:15" ht="14.25" customHeight="1" x14ac:dyDescent="0.3">
      <c r="A181" s="6" t="s">
        <v>415</v>
      </c>
      <c r="B181" s="6">
        <v>37</v>
      </c>
      <c r="C181" s="6" t="s">
        <v>62</v>
      </c>
      <c r="D181" s="6" t="s">
        <v>69</v>
      </c>
      <c r="E181" s="6" t="s">
        <v>48</v>
      </c>
      <c r="F181" s="6">
        <v>1180</v>
      </c>
      <c r="G181" s="6">
        <v>183559.83</v>
      </c>
      <c r="H181" s="7">
        <v>36878</v>
      </c>
      <c r="I181" s="6" t="s">
        <v>73</v>
      </c>
      <c r="J181" s="6" t="s">
        <v>416</v>
      </c>
      <c r="K181" s="6" t="s">
        <v>51</v>
      </c>
      <c r="L181" s="6" t="s">
        <v>52</v>
      </c>
      <c r="M181" s="6" t="s">
        <v>53</v>
      </c>
      <c r="N181" s="6">
        <v>2.61</v>
      </c>
      <c r="O181" s="6">
        <v>167</v>
      </c>
    </row>
    <row r="182" spans="1:15" ht="14.25" customHeight="1" x14ac:dyDescent="0.3">
      <c r="A182" s="6" t="s">
        <v>417</v>
      </c>
      <c r="B182" s="6">
        <v>63</v>
      </c>
      <c r="C182" s="6" t="s">
        <v>25</v>
      </c>
      <c r="D182" s="6" t="s">
        <v>55</v>
      </c>
      <c r="E182" s="6" t="s">
        <v>80</v>
      </c>
      <c r="F182" s="6">
        <v>1181</v>
      </c>
      <c r="G182" s="6">
        <v>101829.91</v>
      </c>
      <c r="H182" s="7">
        <v>41229</v>
      </c>
      <c r="I182" s="6" t="s">
        <v>19</v>
      </c>
      <c r="J182" s="6" t="s">
        <v>418</v>
      </c>
      <c r="K182" s="6" t="s">
        <v>21</v>
      </c>
      <c r="L182" s="6" t="s">
        <v>22</v>
      </c>
      <c r="M182" s="6" t="s">
        <v>23</v>
      </c>
      <c r="N182" s="6">
        <v>1.68</v>
      </c>
      <c r="O182" s="6">
        <v>182</v>
      </c>
    </row>
    <row r="183" spans="1:15" ht="14.25" customHeight="1" x14ac:dyDescent="0.3">
      <c r="A183" s="6" t="s">
        <v>419</v>
      </c>
      <c r="B183" s="6">
        <v>40</v>
      </c>
      <c r="C183" s="6" t="s">
        <v>62</v>
      </c>
      <c r="D183" s="6" t="s">
        <v>17</v>
      </c>
      <c r="E183" s="6" t="s">
        <v>27</v>
      </c>
      <c r="F183" s="6">
        <v>1182</v>
      </c>
      <c r="G183" s="6">
        <v>195532.2</v>
      </c>
      <c r="H183" s="7">
        <v>43350</v>
      </c>
      <c r="I183" s="6" t="s">
        <v>28</v>
      </c>
      <c r="J183" s="6" t="s">
        <v>420</v>
      </c>
      <c r="K183" s="6" t="s">
        <v>30</v>
      </c>
      <c r="L183" s="6" t="s">
        <v>31</v>
      </c>
      <c r="M183" s="6" t="s">
        <v>32</v>
      </c>
      <c r="N183" s="6">
        <v>1.85</v>
      </c>
      <c r="O183" s="6">
        <v>107</v>
      </c>
    </row>
    <row r="184" spans="1:15" ht="14.25" customHeight="1" x14ac:dyDescent="0.3">
      <c r="A184" s="6" t="s">
        <v>421</v>
      </c>
      <c r="B184" s="6">
        <v>62</v>
      </c>
      <c r="C184" s="6" t="s">
        <v>16</v>
      </c>
      <c r="D184" s="6" t="s">
        <v>17</v>
      </c>
      <c r="E184" s="6" t="s">
        <v>48</v>
      </c>
      <c r="F184" s="6">
        <v>1183</v>
      </c>
      <c r="G184" s="6">
        <v>164843.44</v>
      </c>
      <c r="H184" s="7">
        <v>42091</v>
      </c>
      <c r="I184" s="6" t="s">
        <v>35</v>
      </c>
      <c r="J184" s="6" t="s">
        <v>422</v>
      </c>
      <c r="K184" s="6" t="s">
        <v>37</v>
      </c>
      <c r="L184" s="6" t="s">
        <v>38</v>
      </c>
      <c r="M184" s="6" t="s">
        <v>39</v>
      </c>
      <c r="N184" s="6">
        <v>4.09</v>
      </c>
      <c r="O184" s="6">
        <v>123</v>
      </c>
    </row>
    <row r="185" spans="1:15" ht="14.25" customHeight="1" x14ac:dyDescent="0.3">
      <c r="A185" s="6" t="s">
        <v>423</v>
      </c>
      <c r="B185" s="6">
        <v>37</v>
      </c>
      <c r="C185" s="6" t="s">
        <v>62</v>
      </c>
      <c r="D185" s="6" t="s">
        <v>69</v>
      </c>
      <c r="E185" s="6" t="s">
        <v>80</v>
      </c>
      <c r="F185" s="6">
        <v>1184</v>
      </c>
      <c r="G185" s="6">
        <v>132118.04</v>
      </c>
      <c r="H185" s="7">
        <v>41638</v>
      </c>
      <c r="I185" s="6" t="s">
        <v>41</v>
      </c>
      <c r="J185" s="6" t="s">
        <v>424</v>
      </c>
      <c r="K185" s="6" t="s">
        <v>43</v>
      </c>
      <c r="L185" s="6" t="s">
        <v>44</v>
      </c>
      <c r="M185" s="6" t="s">
        <v>45</v>
      </c>
      <c r="N185" s="6">
        <v>2.46</v>
      </c>
      <c r="O185" s="6">
        <v>74</v>
      </c>
    </row>
    <row r="186" spans="1:15" ht="14.25" customHeight="1" x14ac:dyDescent="0.3">
      <c r="A186" s="6" t="s">
        <v>425</v>
      </c>
      <c r="B186" s="6">
        <v>33</v>
      </c>
      <c r="C186" s="6" t="s">
        <v>62</v>
      </c>
      <c r="D186" s="6" t="s">
        <v>26</v>
      </c>
      <c r="E186" s="6" t="s">
        <v>27</v>
      </c>
      <c r="F186" s="6">
        <v>1185</v>
      </c>
      <c r="G186" s="6">
        <v>173839.41</v>
      </c>
      <c r="H186" s="7">
        <v>36764</v>
      </c>
      <c r="I186" s="6" t="s">
        <v>49</v>
      </c>
      <c r="J186" s="6" t="s">
        <v>426</v>
      </c>
      <c r="K186" s="6" t="s">
        <v>51</v>
      </c>
      <c r="L186" s="6" t="s">
        <v>52</v>
      </c>
      <c r="M186" s="6" t="s">
        <v>53</v>
      </c>
      <c r="N186" s="6">
        <v>3.89</v>
      </c>
      <c r="O186" s="6">
        <v>25</v>
      </c>
    </row>
    <row r="187" spans="1:15" ht="14.25" customHeight="1" x14ac:dyDescent="0.3">
      <c r="A187" s="6" t="s">
        <v>427</v>
      </c>
      <c r="B187" s="6">
        <v>60</v>
      </c>
      <c r="C187" s="6" t="s">
        <v>62</v>
      </c>
      <c r="D187" s="6" t="s">
        <v>47</v>
      </c>
      <c r="E187" s="6" t="s">
        <v>27</v>
      </c>
      <c r="F187" s="6">
        <v>1186</v>
      </c>
      <c r="G187" s="6">
        <v>185049.93</v>
      </c>
      <c r="H187" s="7">
        <v>40329</v>
      </c>
      <c r="I187" s="6" t="s">
        <v>56</v>
      </c>
      <c r="J187" s="6" t="s">
        <v>428</v>
      </c>
      <c r="K187" s="6" t="s">
        <v>21</v>
      </c>
      <c r="L187" s="6" t="s">
        <v>22</v>
      </c>
      <c r="M187" s="6" t="s">
        <v>23</v>
      </c>
      <c r="N187" s="6">
        <v>4.75</v>
      </c>
      <c r="O187" s="6">
        <v>90</v>
      </c>
    </row>
    <row r="188" spans="1:15" ht="14.25" customHeight="1" x14ac:dyDescent="0.3">
      <c r="A188" s="6" t="s">
        <v>429</v>
      </c>
      <c r="B188" s="6">
        <v>51</v>
      </c>
      <c r="C188" s="6" t="s">
        <v>62</v>
      </c>
      <c r="D188" s="6" t="s">
        <v>47</v>
      </c>
      <c r="E188" s="6" t="s">
        <v>48</v>
      </c>
      <c r="F188" s="6">
        <v>1187</v>
      </c>
      <c r="G188" s="6">
        <v>82501.289999999994</v>
      </c>
      <c r="H188" s="7">
        <v>40067</v>
      </c>
      <c r="I188" s="6" t="s">
        <v>63</v>
      </c>
      <c r="J188" s="6" t="s">
        <v>430</v>
      </c>
      <c r="K188" s="6" t="s">
        <v>30</v>
      </c>
      <c r="L188" s="6" t="s">
        <v>31</v>
      </c>
      <c r="M188" s="6" t="s">
        <v>32</v>
      </c>
      <c r="N188" s="6">
        <v>3.1</v>
      </c>
      <c r="O188" s="6">
        <v>55</v>
      </c>
    </row>
    <row r="189" spans="1:15" ht="14.25" customHeight="1" x14ac:dyDescent="0.3">
      <c r="A189" s="6" t="s">
        <v>431</v>
      </c>
      <c r="B189" s="6">
        <v>23</v>
      </c>
      <c r="C189" s="6" t="s">
        <v>16</v>
      </c>
      <c r="D189" s="6" t="s">
        <v>17</v>
      </c>
      <c r="E189" s="6" t="s">
        <v>34</v>
      </c>
      <c r="F189" s="6">
        <v>1188</v>
      </c>
      <c r="G189" s="6">
        <v>127951.58</v>
      </c>
      <c r="H189" s="7">
        <v>38490</v>
      </c>
      <c r="I189" s="6" t="s">
        <v>66</v>
      </c>
      <c r="J189" s="6" t="s">
        <v>432</v>
      </c>
      <c r="K189" s="6" t="s">
        <v>37</v>
      </c>
      <c r="L189" s="6" t="s">
        <v>38</v>
      </c>
      <c r="M189" s="6" t="s">
        <v>39</v>
      </c>
      <c r="N189" s="6">
        <v>1.01</v>
      </c>
      <c r="O189" s="6">
        <v>196</v>
      </c>
    </row>
    <row r="190" spans="1:15" ht="14.25" customHeight="1" x14ac:dyDescent="0.3">
      <c r="A190" s="6" t="s">
        <v>433</v>
      </c>
      <c r="B190" s="6">
        <v>53</v>
      </c>
      <c r="C190" s="6" t="s">
        <v>16</v>
      </c>
      <c r="D190" s="6" t="s">
        <v>55</v>
      </c>
      <c r="E190" s="6" t="s">
        <v>18</v>
      </c>
      <c r="F190" s="6">
        <v>1189</v>
      </c>
      <c r="G190" s="6">
        <v>123811.86</v>
      </c>
      <c r="H190" s="7">
        <v>41225</v>
      </c>
      <c r="I190" s="6" t="s">
        <v>70</v>
      </c>
      <c r="J190" s="6" t="s">
        <v>434</v>
      </c>
      <c r="K190" s="6" t="s">
        <v>43</v>
      </c>
      <c r="L190" s="6" t="s">
        <v>44</v>
      </c>
      <c r="M190" s="6" t="s">
        <v>45</v>
      </c>
      <c r="N190" s="6">
        <v>2.3199999999999998</v>
      </c>
      <c r="O190" s="6">
        <v>183</v>
      </c>
    </row>
    <row r="191" spans="1:15" ht="14.25" customHeight="1" x14ac:dyDescent="0.3">
      <c r="A191" s="6" t="s">
        <v>435</v>
      </c>
      <c r="B191" s="6">
        <v>46</v>
      </c>
      <c r="C191" s="6" t="s">
        <v>25</v>
      </c>
      <c r="D191" s="6" t="s">
        <v>55</v>
      </c>
      <c r="E191" s="6" t="s">
        <v>34</v>
      </c>
      <c r="F191" s="6">
        <v>1190</v>
      </c>
      <c r="G191" s="6">
        <v>169519.69</v>
      </c>
      <c r="H191" s="7">
        <v>42638</v>
      </c>
      <c r="I191" s="6" t="s">
        <v>73</v>
      </c>
      <c r="J191" s="6" t="s">
        <v>436</v>
      </c>
      <c r="K191" s="6" t="s">
        <v>51</v>
      </c>
      <c r="L191" s="6" t="s">
        <v>52</v>
      </c>
      <c r="M191" s="6" t="s">
        <v>53</v>
      </c>
      <c r="N191" s="6">
        <v>3.58</v>
      </c>
      <c r="O191" s="6">
        <v>91</v>
      </c>
    </row>
    <row r="192" spans="1:15" ht="14.25" customHeight="1" x14ac:dyDescent="0.3">
      <c r="A192" s="6" t="s">
        <v>437</v>
      </c>
      <c r="B192" s="6">
        <v>46</v>
      </c>
      <c r="C192" s="6" t="s">
        <v>62</v>
      </c>
      <c r="D192" s="6" t="s">
        <v>69</v>
      </c>
      <c r="E192" s="6" t="s">
        <v>34</v>
      </c>
      <c r="F192" s="6">
        <v>1191</v>
      </c>
      <c r="G192" s="6">
        <v>193583.63</v>
      </c>
      <c r="H192" s="7">
        <v>37078</v>
      </c>
      <c r="I192" s="6" t="s">
        <v>19</v>
      </c>
      <c r="J192" s="6" t="s">
        <v>438</v>
      </c>
      <c r="K192" s="6" t="s">
        <v>21</v>
      </c>
      <c r="L192" s="6" t="s">
        <v>22</v>
      </c>
      <c r="M192" s="6" t="s">
        <v>23</v>
      </c>
      <c r="N192" s="6">
        <v>1.1000000000000001</v>
      </c>
      <c r="O192" s="6">
        <v>163</v>
      </c>
    </row>
    <row r="193" spans="1:15" ht="14.25" customHeight="1" x14ac:dyDescent="0.3">
      <c r="A193" s="6" t="s">
        <v>439</v>
      </c>
      <c r="B193" s="6">
        <v>25</v>
      </c>
      <c r="C193" s="6" t="s">
        <v>25</v>
      </c>
      <c r="D193" s="6" t="s">
        <v>26</v>
      </c>
      <c r="E193" s="6" t="s">
        <v>48</v>
      </c>
      <c r="F193" s="6">
        <v>1192</v>
      </c>
      <c r="G193" s="6">
        <v>125357.1</v>
      </c>
      <c r="H193" s="7">
        <v>43832</v>
      </c>
      <c r="I193" s="6" t="s">
        <v>28</v>
      </c>
      <c r="J193" s="6" t="s">
        <v>440</v>
      </c>
      <c r="K193" s="6" t="s">
        <v>30</v>
      </c>
      <c r="L193" s="6" t="s">
        <v>31</v>
      </c>
      <c r="M193" s="6" t="s">
        <v>32</v>
      </c>
      <c r="N193" s="6">
        <v>4.99</v>
      </c>
      <c r="O193" s="6">
        <v>24</v>
      </c>
    </row>
    <row r="194" spans="1:15" ht="14.25" customHeight="1" x14ac:dyDescent="0.3">
      <c r="A194" s="6" t="s">
        <v>441</v>
      </c>
      <c r="B194" s="6">
        <v>40</v>
      </c>
      <c r="C194" s="6" t="s">
        <v>25</v>
      </c>
      <c r="D194" s="6" t="s">
        <v>55</v>
      </c>
      <c r="E194" s="6" t="s">
        <v>80</v>
      </c>
      <c r="F194" s="6">
        <v>1193</v>
      </c>
      <c r="G194" s="6">
        <v>134070.73000000001</v>
      </c>
      <c r="H194" s="7">
        <v>43874</v>
      </c>
      <c r="I194" s="6" t="s">
        <v>35</v>
      </c>
      <c r="J194" s="6" t="s">
        <v>442</v>
      </c>
      <c r="K194" s="6" t="s">
        <v>37</v>
      </c>
      <c r="L194" s="6" t="s">
        <v>38</v>
      </c>
      <c r="M194" s="6" t="s">
        <v>39</v>
      </c>
      <c r="N194" s="6">
        <v>3.69</v>
      </c>
      <c r="O194" s="6">
        <v>96</v>
      </c>
    </row>
    <row r="195" spans="1:15" ht="14.25" customHeight="1" x14ac:dyDescent="0.3">
      <c r="A195" s="6" t="s">
        <v>443</v>
      </c>
      <c r="B195" s="6">
        <v>25</v>
      </c>
      <c r="C195" s="6" t="s">
        <v>16</v>
      </c>
      <c r="D195" s="6" t="s">
        <v>55</v>
      </c>
      <c r="E195" s="6" t="s">
        <v>80</v>
      </c>
      <c r="F195" s="6">
        <v>1194</v>
      </c>
      <c r="G195" s="6">
        <v>113482.71</v>
      </c>
      <c r="H195" s="7">
        <v>41539</v>
      </c>
      <c r="I195" s="6" t="s">
        <v>41</v>
      </c>
      <c r="J195" s="6" t="s">
        <v>444</v>
      </c>
      <c r="K195" s="6" t="s">
        <v>43</v>
      </c>
      <c r="L195" s="6" t="s">
        <v>44</v>
      </c>
      <c r="M195" s="6" t="s">
        <v>45</v>
      </c>
      <c r="N195" s="6">
        <v>2.5299999999999998</v>
      </c>
      <c r="O195" s="6">
        <v>195</v>
      </c>
    </row>
    <row r="196" spans="1:15" ht="14.25" customHeight="1" x14ac:dyDescent="0.3">
      <c r="A196" s="6" t="s">
        <v>445</v>
      </c>
      <c r="B196" s="6">
        <v>64</v>
      </c>
      <c r="C196" s="6" t="s">
        <v>62</v>
      </c>
      <c r="D196" s="6" t="s">
        <v>17</v>
      </c>
      <c r="E196" s="6" t="s">
        <v>27</v>
      </c>
      <c r="F196" s="6">
        <v>1195</v>
      </c>
      <c r="G196" s="6">
        <v>124727.5</v>
      </c>
      <c r="H196" s="7">
        <v>44370</v>
      </c>
      <c r="I196" s="6" t="s">
        <v>49</v>
      </c>
      <c r="J196" s="6" t="s">
        <v>446</v>
      </c>
      <c r="K196" s="6" t="s">
        <v>51</v>
      </c>
      <c r="L196" s="6" t="s">
        <v>52</v>
      </c>
      <c r="M196" s="6" t="s">
        <v>53</v>
      </c>
      <c r="N196" s="6">
        <v>3.09</v>
      </c>
      <c r="O196" s="6">
        <v>76</v>
      </c>
    </row>
    <row r="197" spans="1:15" ht="14.25" customHeight="1" x14ac:dyDescent="0.3">
      <c r="A197" s="6" t="s">
        <v>447</v>
      </c>
      <c r="B197" s="6">
        <v>34</v>
      </c>
      <c r="C197" s="6" t="s">
        <v>62</v>
      </c>
      <c r="D197" s="6" t="s">
        <v>55</v>
      </c>
      <c r="E197" s="6" t="s">
        <v>34</v>
      </c>
      <c r="F197" s="6">
        <v>1196</v>
      </c>
      <c r="G197" s="6">
        <v>130015.62</v>
      </c>
      <c r="H197" s="7">
        <v>44384</v>
      </c>
      <c r="I197" s="6" t="s">
        <v>56</v>
      </c>
      <c r="J197" s="6" t="s">
        <v>448</v>
      </c>
      <c r="K197" s="6" t="s">
        <v>21</v>
      </c>
      <c r="L197" s="6" t="s">
        <v>22</v>
      </c>
      <c r="M197" s="6" t="s">
        <v>23</v>
      </c>
      <c r="N197" s="6">
        <v>4.88</v>
      </c>
      <c r="O197" s="6">
        <v>74</v>
      </c>
    </row>
    <row r="198" spans="1:15" ht="14.25" customHeight="1" x14ac:dyDescent="0.3">
      <c r="A198" s="6" t="s">
        <v>449</v>
      </c>
      <c r="B198" s="6">
        <v>60</v>
      </c>
      <c r="C198" s="6" t="s">
        <v>16</v>
      </c>
      <c r="D198" s="6" t="s">
        <v>47</v>
      </c>
      <c r="E198" s="6" t="s">
        <v>18</v>
      </c>
      <c r="F198" s="6">
        <v>1197</v>
      </c>
      <c r="G198" s="6">
        <v>163719.73000000001</v>
      </c>
      <c r="H198" s="7">
        <v>42087</v>
      </c>
      <c r="I198" s="6" t="s">
        <v>63</v>
      </c>
      <c r="J198" s="6" t="s">
        <v>450</v>
      </c>
      <c r="K198" s="6" t="s">
        <v>30</v>
      </c>
      <c r="L198" s="6" t="s">
        <v>31</v>
      </c>
      <c r="M198" s="6" t="s">
        <v>32</v>
      </c>
      <c r="N198" s="6">
        <v>6.01</v>
      </c>
      <c r="O198" s="6">
        <v>58</v>
      </c>
    </row>
    <row r="199" spans="1:15" ht="14.25" customHeight="1" x14ac:dyDescent="0.3">
      <c r="A199" s="6" t="s">
        <v>451</v>
      </c>
      <c r="B199" s="6">
        <v>57</v>
      </c>
      <c r="C199" s="6" t="s">
        <v>16</v>
      </c>
      <c r="D199" s="6" t="s">
        <v>55</v>
      </c>
      <c r="E199" s="6" t="s">
        <v>27</v>
      </c>
      <c r="F199" s="6">
        <v>1198</v>
      </c>
      <c r="G199" s="6">
        <v>197654.17</v>
      </c>
      <c r="H199" s="7">
        <v>40256</v>
      </c>
      <c r="I199" s="6" t="s">
        <v>66</v>
      </c>
      <c r="J199" s="6" t="s">
        <v>452</v>
      </c>
      <c r="K199" s="6" t="s">
        <v>37</v>
      </c>
      <c r="L199" s="6" t="s">
        <v>38</v>
      </c>
      <c r="M199" s="6" t="s">
        <v>39</v>
      </c>
      <c r="N199" s="6">
        <v>4.17</v>
      </c>
      <c r="O199" s="6">
        <v>187</v>
      </c>
    </row>
    <row r="200" spans="1:15" ht="14.25" customHeight="1" x14ac:dyDescent="0.3">
      <c r="A200" s="6" t="s">
        <v>453</v>
      </c>
      <c r="B200" s="6">
        <v>44</v>
      </c>
      <c r="C200" s="6" t="s">
        <v>16</v>
      </c>
      <c r="D200" s="6" t="s">
        <v>55</v>
      </c>
      <c r="E200" s="6" t="s">
        <v>18</v>
      </c>
      <c r="F200" s="6">
        <v>1199</v>
      </c>
      <c r="G200" s="6">
        <v>173855.59</v>
      </c>
      <c r="H200" s="7">
        <v>40138</v>
      </c>
      <c r="I200" s="6" t="s">
        <v>70</v>
      </c>
      <c r="J200" s="6" t="s">
        <v>454</v>
      </c>
      <c r="K200" s="6" t="s">
        <v>43</v>
      </c>
      <c r="L200" s="6" t="s">
        <v>44</v>
      </c>
      <c r="M200" s="6" t="s">
        <v>45</v>
      </c>
      <c r="N200" s="6">
        <v>2.41</v>
      </c>
      <c r="O200" s="6">
        <v>42</v>
      </c>
    </row>
    <row r="201" spans="1:15" ht="14.25" customHeight="1" x14ac:dyDescent="0.3">
      <c r="A201" s="6" t="s">
        <v>455</v>
      </c>
      <c r="B201" s="6">
        <v>27</v>
      </c>
      <c r="C201" s="6" t="s">
        <v>62</v>
      </c>
      <c r="D201" s="6" t="s">
        <v>26</v>
      </c>
      <c r="E201" s="6" t="s">
        <v>27</v>
      </c>
      <c r="F201" s="6">
        <v>1200</v>
      </c>
      <c r="G201" s="6">
        <v>192673.27</v>
      </c>
      <c r="H201" s="7">
        <v>37424</v>
      </c>
      <c r="I201" s="6" t="s">
        <v>73</v>
      </c>
      <c r="J201" s="6" t="s">
        <v>456</v>
      </c>
      <c r="K201" s="6" t="s">
        <v>51</v>
      </c>
      <c r="L201" s="6" t="s">
        <v>52</v>
      </c>
      <c r="M201" s="6" t="s">
        <v>53</v>
      </c>
      <c r="N201" s="6">
        <v>2.0299999999999998</v>
      </c>
      <c r="O201" s="6">
        <v>192</v>
      </c>
    </row>
    <row r="202" spans="1:15" ht="14.25" customHeight="1" x14ac:dyDescent="0.3">
      <c r="A202" s="6" t="s">
        <v>457</v>
      </c>
      <c r="B202" s="6">
        <v>45</v>
      </c>
      <c r="C202" s="6" t="s">
        <v>25</v>
      </c>
      <c r="D202" s="6" t="s">
        <v>47</v>
      </c>
      <c r="E202" s="6" t="s">
        <v>80</v>
      </c>
      <c r="F202" s="6">
        <v>1201</v>
      </c>
      <c r="G202" s="6">
        <v>71992.12</v>
      </c>
      <c r="H202" s="7">
        <v>42207</v>
      </c>
      <c r="I202" s="6" t="s">
        <v>19</v>
      </c>
      <c r="J202" s="6" t="s">
        <v>458</v>
      </c>
      <c r="K202" s="6" t="s">
        <v>21</v>
      </c>
      <c r="L202" s="6" t="s">
        <v>22</v>
      </c>
      <c r="M202" s="6" t="s">
        <v>23</v>
      </c>
      <c r="N202" s="6">
        <v>3.75</v>
      </c>
      <c r="O202" s="6">
        <v>143</v>
      </c>
    </row>
    <row r="203" spans="1:15" ht="14.25" customHeight="1" x14ac:dyDescent="0.3">
      <c r="A203" s="6" t="s">
        <v>459</v>
      </c>
      <c r="B203" s="6">
        <v>54</v>
      </c>
      <c r="C203" s="6" t="s">
        <v>25</v>
      </c>
      <c r="D203" s="6" t="s">
        <v>69</v>
      </c>
      <c r="E203" s="6" t="s">
        <v>48</v>
      </c>
      <c r="F203" s="6">
        <v>1202</v>
      </c>
      <c r="G203" s="6">
        <v>74990.37</v>
      </c>
      <c r="H203" s="7">
        <v>37729</v>
      </c>
      <c r="I203" s="6" t="s">
        <v>28</v>
      </c>
      <c r="J203" s="6" t="s">
        <v>460</v>
      </c>
      <c r="K203" s="6" t="s">
        <v>30</v>
      </c>
      <c r="L203" s="6" t="s">
        <v>31</v>
      </c>
      <c r="M203" s="6" t="s">
        <v>32</v>
      </c>
      <c r="N203" s="6">
        <v>3.17</v>
      </c>
      <c r="O203" s="6">
        <v>136</v>
      </c>
    </row>
    <row r="204" spans="1:15" ht="14.25" customHeight="1" x14ac:dyDescent="0.3">
      <c r="A204" s="6" t="s">
        <v>461</v>
      </c>
      <c r="B204" s="6">
        <v>33</v>
      </c>
      <c r="C204" s="6" t="s">
        <v>62</v>
      </c>
      <c r="D204" s="6" t="s">
        <v>47</v>
      </c>
      <c r="E204" s="6" t="s">
        <v>18</v>
      </c>
      <c r="F204" s="6">
        <v>1203</v>
      </c>
      <c r="G204" s="6">
        <v>109528.23</v>
      </c>
      <c r="H204" s="7">
        <v>38308</v>
      </c>
      <c r="I204" s="6" t="s">
        <v>35</v>
      </c>
      <c r="J204" s="6" t="s">
        <v>462</v>
      </c>
      <c r="K204" s="6" t="s">
        <v>37</v>
      </c>
      <c r="L204" s="6" t="s">
        <v>38</v>
      </c>
      <c r="M204" s="6" t="s">
        <v>39</v>
      </c>
      <c r="N204" s="6">
        <v>4.13</v>
      </c>
      <c r="O204" s="6">
        <v>164</v>
      </c>
    </row>
    <row r="205" spans="1:15" ht="14.25" customHeight="1" x14ac:dyDescent="0.3">
      <c r="A205" s="6" t="s">
        <v>463</v>
      </c>
      <c r="B205" s="6">
        <v>62</v>
      </c>
      <c r="C205" s="6" t="s">
        <v>25</v>
      </c>
      <c r="D205" s="6" t="s">
        <v>69</v>
      </c>
      <c r="E205" s="6" t="s">
        <v>48</v>
      </c>
      <c r="F205" s="6">
        <v>1204</v>
      </c>
      <c r="G205" s="6">
        <v>113534.96</v>
      </c>
      <c r="H205" s="7">
        <v>39294</v>
      </c>
      <c r="I205" s="6" t="s">
        <v>41</v>
      </c>
      <c r="J205" s="6" t="s">
        <v>464</v>
      </c>
      <c r="K205" s="6" t="s">
        <v>43</v>
      </c>
      <c r="L205" s="6" t="s">
        <v>44</v>
      </c>
      <c r="M205" s="6" t="s">
        <v>45</v>
      </c>
      <c r="N205" s="6">
        <v>3.77</v>
      </c>
      <c r="O205" s="6">
        <v>55</v>
      </c>
    </row>
    <row r="206" spans="1:15" ht="14.25" customHeight="1" x14ac:dyDescent="0.3">
      <c r="A206" s="6" t="s">
        <v>465</v>
      </c>
      <c r="B206" s="6">
        <v>42</v>
      </c>
      <c r="C206" s="6" t="s">
        <v>62</v>
      </c>
      <c r="D206" s="6" t="s">
        <v>26</v>
      </c>
      <c r="E206" s="6" t="s">
        <v>27</v>
      </c>
      <c r="F206" s="6">
        <v>1205</v>
      </c>
      <c r="G206" s="6">
        <v>193982.72</v>
      </c>
      <c r="H206" s="7">
        <v>40735</v>
      </c>
      <c r="I206" s="6" t="s">
        <v>49</v>
      </c>
      <c r="J206" s="6" t="s">
        <v>466</v>
      </c>
      <c r="K206" s="6" t="s">
        <v>51</v>
      </c>
      <c r="L206" s="6" t="s">
        <v>52</v>
      </c>
      <c r="M206" s="6" t="s">
        <v>53</v>
      </c>
      <c r="N206" s="6">
        <v>1.79</v>
      </c>
      <c r="O206" s="6">
        <v>158</v>
      </c>
    </row>
    <row r="207" spans="1:15" ht="14.25" customHeight="1" x14ac:dyDescent="0.3">
      <c r="A207" s="6" t="s">
        <v>467</v>
      </c>
      <c r="B207" s="6">
        <v>32</v>
      </c>
      <c r="C207" s="6" t="s">
        <v>62</v>
      </c>
      <c r="D207" s="6" t="s">
        <v>26</v>
      </c>
      <c r="E207" s="6" t="s">
        <v>27</v>
      </c>
      <c r="F207" s="6">
        <v>1206</v>
      </c>
      <c r="G207" s="6">
        <v>164553.85</v>
      </c>
      <c r="H207" s="7">
        <v>42419</v>
      </c>
      <c r="I207" s="6" t="s">
        <v>56</v>
      </c>
      <c r="J207" s="6" t="s">
        <v>468</v>
      </c>
      <c r="K207" s="6" t="s">
        <v>21</v>
      </c>
      <c r="L207" s="6" t="s">
        <v>22</v>
      </c>
      <c r="M207" s="6" t="s">
        <v>23</v>
      </c>
      <c r="N207" s="6">
        <v>3.59</v>
      </c>
      <c r="O207" s="6">
        <v>124</v>
      </c>
    </row>
    <row r="208" spans="1:15" ht="14.25" customHeight="1" x14ac:dyDescent="0.3">
      <c r="A208" s="6" t="s">
        <v>469</v>
      </c>
      <c r="B208" s="6">
        <v>59</v>
      </c>
      <c r="C208" s="6" t="s">
        <v>16</v>
      </c>
      <c r="D208" s="6" t="s">
        <v>17</v>
      </c>
      <c r="E208" s="6" t="s">
        <v>48</v>
      </c>
      <c r="F208" s="6">
        <v>1207</v>
      </c>
      <c r="G208" s="6">
        <v>192770.19</v>
      </c>
      <c r="H208" s="7">
        <v>38995</v>
      </c>
      <c r="I208" s="6" t="s">
        <v>63</v>
      </c>
      <c r="J208" s="6" t="s">
        <v>470</v>
      </c>
      <c r="K208" s="6" t="s">
        <v>30</v>
      </c>
      <c r="L208" s="6" t="s">
        <v>31</v>
      </c>
      <c r="M208" s="6" t="s">
        <v>32</v>
      </c>
      <c r="N208" s="6">
        <v>3.97</v>
      </c>
      <c r="O208" s="6">
        <v>46</v>
      </c>
    </row>
    <row r="209" spans="1:15" ht="14.25" customHeight="1" x14ac:dyDescent="0.3">
      <c r="A209" s="6" t="s">
        <v>471</v>
      </c>
      <c r="B209" s="6">
        <v>50</v>
      </c>
      <c r="C209" s="6" t="s">
        <v>62</v>
      </c>
      <c r="D209" s="6" t="s">
        <v>26</v>
      </c>
      <c r="E209" s="6" t="s">
        <v>80</v>
      </c>
      <c r="F209" s="6">
        <v>1208</v>
      </c>
      <c r="G209" s="6">
        <v>101364.32</v>
      </c>
      <c r="H209" s="7">
        <v>39027</v>
      </c>
      <c r="I209" s="6" t="s">
        <v>66</v>
      </c>
      <c r="J209" s="6" t="s">
        <v>472</v>
      </c>
      <c r="K209" s="6" t="s">
        <v>37</v>
      </c>
      <c r="L209" s="6" t="s">
        <v>38</v>
      </c>
      <c r="M209" s="6" t="s">
        <v>39</v>
      </c>
      <c r="N209" s="6">
        <v>2.82</v>
      </c>
      <c r="O209" s="6">
        <v>67</v>
      </c>
    </row>
    <row r="210" spans="1:15" ht="14.25" customHeight="1" x14ac:dyDescent="0.3">
      <c r="A210" s="6" t="s">
        <v>473</v>
      </c>
      <c r="B210" s="6">
        <v>62</v>
      </c>
      <c r="C210" s="6" t="s">
        <v>16</v>
      </c>
      <c r="D210" s="6" t="s">
        <v>55</v>
      </c>
      <c r="E210" s="6" t="s">
        <v>18</v>
      </c>
      <c r="F210" s="6">
        <v>1209</v>
      </c>
      <c r="G210" s="6">
        <v>138571.32999999999</v>
      </c>
      <c r="H210" s="7">
        <v>43484</v>
      </c>
      <c r="I210" s="6" t="s">
        <v>70</v>
      </c>
      <c r="J210" s="6" t="s">
        <v>474</v>
      </c>
      <c r="K210" s="6" t="s">
        <v>43</v>
      </c>
      <c r="L210" s="6" t="s">
        <v>44</v>
      </c>
      <c r="M210" s="6" t="s">
        <v>45</v>
      </c>
      <c r="N210" s="6">
        <v>4.29</v>
      </c>
      <c r="O210" s="6">
        <v>57</v>
      </c>
    </row>
    <row r="211" spans="1:15" ht="14.25" customHeight="1" x14ac:dyDescent="0.3">
      <c r="A211" s="6" t="s">
        <v>475</v>
      </c>
      <c r="B211" s="6">
        <v>24</v>
      </c>
      <c r="C211" s="6" t="s">
        <v>16</v>
      </c>
      <c r="D211" s="6" t="s">
        <v>47</v>
      </c>
      <c r="E211" s="6" t="s">
        <v>48</v>
      </c>
      <c r="F211" s="6">
        <v>1210</v>
      </c>
      <c r="G211" s="6">
        <v>182403.37</v>
      </c>
      <c r="H211" s="7">
        <v>41150</v>
      </c>
      <c r="I211" s="6" t="s">
        <v>73</v>
      </c>
      <c r="J211" s="6" t="s">
        <v>476</v>
      </c>
      <c r="K211" s="6" t="s">
        <v>51</v>
      </c>
      <c r="L211" s="6" t="s">
        <v>52</v>
      </c>
      <c r="M211" s="6" t="s">
        <v>53</v>
      </c>
      <c r="N211" s="6">
        <v>3.19</v>
      </c>
      <c r="O211" s="6">
        <v>19</v>
      </c>
    </row>
    <row r="212" spans="1:15" ht="14.25" customHeight="1" x14ac:dyDescent="0.3">
      <c r="A212" s="6" t="s">
        <v>477</v>
      </c>
      <c r="B212" s="6">
        <v>49</v>
      </c>
      <c r="C212" s="6" t="s">
        <v>25</v>
      </c>
      <c r="D212" s="6" t="s">
        <v>69</v>
      </c>
      <c r="E212" s="6" t="s">
        <v>27</v>
      </c>
      <c r="F212" s="6">
        <v>1211</v>
      </c>
      <c r="G212" s="6">
        <v>99791.67</v>
      </c>
      <c r="H212" s="7">
        <v>41827</v>
      </c>
      <c r="I212" s="6" t="s">
        <v>19</v>
      </c>
      <c r="J212" s="6" t="s">
        <v>478</v>
      </c>
      <c r="K212" s="6" t="s">
        <v>21</v>
      </c>
      <c r="L212" s="6" t="s">
        <v>22</v>
      </c>
      <c r="M212" s="6" t="s">
        <v>23</v>
      </c>
      <c r="N212" s="6">
        <v>4.7300000000000004</v>
      </c>
      <c r="O212" s="6">
        <v>161</v>
      </c>
    </row>
    <row r="213" spans="1:15" ht="14.25" customHeight="1" x14ac:dyDescent="0.3">
      <c r="A213" s="6" t="s">
        <v>479</v>
      </c>
      <c r="B213" s="6">
        <v>41</v>
      </c>
      <c r="C213" s="6" t="s">
        <v>16</v>
      </c>
      <c r="D213" s="6" t="s">
        <v>47</v>
      </c>
      <c r="E213" s="6" t="s">
        <v>18</v>
      </c>
      <c r="F213" s="6">
        <v>1212</v>
      </c>
      <c r="G213" s="6">
        <v>76041.3</v>
      </c>
      <c r="H213" s="7">
        <v>37607</v>
      </c>
      <c r="I213" s="6" t="s">
        <v>28</v>
      </c>
      <c r="J213" s="6" t="s">
        <v>480</v>
      </c>
      <c r="K213" s="6" t="s">
        <v>30</v>
      </c>
      <c r="L213" s="6" t="s">
        <v>31</v>
      </c>
      <c r="M213" s="6" t="s">
        <v>32</v>
      </c>
      <c r="N213" s="6">
        <v>4.38</v>
      </c>
      <c r="O213" s="6">
        <v>62</v>
      </c>
    </row>
    <row r="214" spans="1:15" ht="14.25" customHeight="1" x14ac:dyDescent="0.3">
      <c r="A214" s="6" t="s">
        <v>481</v>
      </c>
      <c r="B214" s="6">
        <v>47</v>
      </c>
      <c r="C214" s="6" t="s">
        <v>25</v>
      </c>
      <c r="D214" s="6" t="s">
        <v>47</v>
      </c>
      <c r="E214" s="6" t="s">
        <v>18</v>
      </c>
      <c r="F214" s="6">
        <v>1213</v>
      </c>
      <c r="G214" s="6">
        <v>89391.84</v>
      </c>
      <c r="H214" s="7">
        <v>42206</v>
      </c>
      <c r="I214" s="6" t="s">
        <v>35</v>
      </c>
      <c r="J214" s="6" t="s">
        <v>482</v>
      </c>
      <c r="K214" s="6" t="s">
        <v>37</v>
      </c>
      <c r="L214" s="6" t="s">
        <v>38</v>
      </c>
      <c r="M214" s="6" t="s">
        <v>39</v>
      </c>
      <c r="N214" s="6">
        <v>3.52</v>
      </c>
      <c r="O214" s="6">
        <v>53</v>
      </c>
    </row>
    <row r="215" spans="1:15" ht="14.25" customHeight="1" x14ac:dyDescent="0.3">
      <c r="A215" s="6" t="s">
        <v>483</v>
      </c>
      <c r="B215" s="6">
        <v>45</v>
      </c>
      <c r="C215" s="6" t="s">
        <v>62</v>
      </c>
      <c r="D215" s="6" t="s">
        <v>47</v>
      </c>
      <c r="E215" s="6" t="s">
        <v>34</v>
      </c>
      <c r="F215" s="6">
        <v>1214</v>
      </c>
      <c r="G215" s="6">
        <v>89788.08</v>
      </c>
      <c r="H215" s="7">
        <v>42754</v>
      </c>
      <c r="I215" s="6" t="s">
        <v>41</v>
      </c>
      <c r="J215" s="6" t="s">
        <v>484</v>
      </c>
      <c r="K215" s="6" t="s">
        <v>43</v>
      </c>
      <c r="L215" s="6" t="s">
        <v>44</v>
      </c>
      <c r="M215" s="6" t="s">
        <v>45</v>
      </c>
      <c r="N215" s="6">
        <v>2.77</v>
      </c>
      <c r="O215" s="6">
        <v>7</v>
      </c>
    </row>
    <row r="216" spans="1:15" ht="14.25" customHeight="1" x14ac:dyDescent="0.3">
      <c r="A216" s="6" t="s">
        <v>485</v>
      </c>
      <c r="B216" s="6">
        <v>42</v>
      </c>
      <c r="C216" s="6" t="s">
        <v>25</v>
      </c>
      <c r="D216" s="6" t="s">
        <v>47</v>
      </c>
      <c r="E216" s="6" t="s">
        <v>18</v>
      </c>
      <c r="F216" s="6">
        <v>1215</v>
      </c>
      <c r="G216" s="6">
        <v>184949.46</v>
      </c>
      <c r="H216" s="7">
        <v>36526</v>
      </c>
      <c r="I216" s="6" t="s">
        <v>49</v>
      </c>
      <c r="J216" s="6" t="s">
        <v>486</v>
      </c>
      <c r="K216" s="6" t="s">
        <v>51</v>
      </c>
      <c r="L216" s="6" t="s">
        <v>52</v>
      </c>
      <c r="M216" s="6" t="s">
        <v>53</v>
      </c>
      <c r="N216" s="6">
        <v>4.08</v>
      </c>
      <c r="O216" s="6">
        <v>115</v>
      </c>
    </row>
    <row r="217" spans="1:15" ht="14.25" customHeight="1" x14ac:dyDescent="0.3">
      <c r="A217" s="6" t="s">
        <v>487</v>
      </c>
      <c r="B217" s="6">
        <v>51</v>
      </c>
      <c r="C217" s="6" t="s">
        <v>25</v>
      </c>
      <c r="D217" s="6" t="s">
        <v>47</v>
      </c>
      <c r="E217" s="6" t="s">
        <v>80</v>
      </c>
      <c r="F217" s="6">
        <v>1216</v>
      </c>
      <c r="G217" s="6">
        <v>167271.48000000001</v>
      </c>
      <c r="H217" s="7">
        <v>36731</v>
      </c>
      <c r="I217" s="6" t="s">
        <v>56</v>
      </c>
      <c r="J217" s="6" t="s">
        <v>488</v>
      </c>
      <c r="K217" s="6" t="s">
        <v>21</v>
      </c>
      <c r="L217" s="6" t="s">
        <v>22</v>
      </c>
      <c r="M217" s="6" t="s">
        <v>23</v>
      </c>
      <c r="N217" s="6">
        <v>2.2999999999999998</v>
      </c>
      <c r="O217" s="6">
        <v>138</v>
      </c>
    </row>
    <row r="218" spans="1:15" ht="14.25" customHeight="1" x14ac:dyDescent="0.3">
      <c r="A218" s="6" t="s">
        <v>489</v>
      </c>
      <c r="B218" s="6">
        <v>25</v>
      </c>
      <c r="C218" s="6" t="s">
        <v>25</v>
      </c>
      <c r="D218" s="6" t="s">
        <v>26</v>
      </c>
      <c r="E218" s="6" t="s">
        <v>48</v>
      </c>
      <c r="F218" s="6">
        <v>1217</v>
      </c>
      <c r="G218" s="6">
        <v>132362.87</v>
      </c>
      <c r="H218" s="7">
        <v>44728</v>
      </c>
      <c r="I218" s="6" t="s">
        <v>63</v>
      </c>
      <c r="J218" s="6" t="s">
        <v>490</v>
      </c>
      <c r="K218" s="6" t="s">
        <v>30</v>
      </c>
      <c r="L218" s="6" t="s">
        <v>31</v>
      </c>
      <c r="M218" s="6" t="s">
        <v>32</v>
      </c>
      <c r="N218" s="6">
        <v>2.0299999999999998</v>
      </c>
      <c r="O218" s="6">
        <v>173</v>
      </c>
    </row>
    <row r="219" spans="1:15" ht="14.25" customHeight="1" x14ac:dyDescent="0.3">
      <c r="A219" s="6" t="s">
        <v>491</v>
      </c>
      <c r="B219" s="6">
        <v>57</v>
      </c>
      <c r="C219" s="6" t="s">
        <v>62</v>
      </c>
      <c r="D219" s="6" t="s">
        <v>47</v>
      </c>
      <c r="E219" s="6" t="s">
        <v>80</v>
      </c>
      <c r="F219" s="6">
        <v>1218</v>
      </c>
      <c r="G219" s="6">
        <v>131962.38</v>
      </c>
      <c r="H219" s="7">
        <v>43675</v>
      </c>
      <c r="I219" s="6" t="s">
        <v>66</v>
      </c>
      <c r="J219" s="6" t="s">
        <v>492</v>
      </c>
      <c r="K219" s="6" t="s">
        <v>37</v>
      </c>
      <c r="L219" s="6" t="s">
        <v>38</v>
      </c>
      <c r="M219" s="6" t="s">
        <v>39</v>
      </c>
      <c r="N219" s="6">
        <v>1.5</v>
      </c>
      <c r="O219" s="6">
        <v>12</v>
      </c>
    </row>
    <row r="220" spans="1:15" ht="14.25" customHeight="1" x14ac:dyDescent="0.3">
      <c r="A220" s="6" t="s">
        <v>493</v>
      </c>
      <c r="B220" s="6">
        <v>61</v>
      </c>
      <c r="C220" s="6" t="s">
        <v>62</v>
      </c>
      <c r="D220" s="6" t="s">
        <v>47</v>
      </c>
      <c r="E220" s="6" t="s">
        <v>34</v>
      </c>
      <c r="F220" s="6">
        <v>1219</v>
      </c>
      <c r="G220" s="6">
        <v>74255.320000000007</v>
      </c>
      <c r="H220" s="7">
        <v>39294</v>
      </c>
      <c r="I220" s="6" t="s">
        <v>70</v>
      </c>
      <c r="J220" s="6" t="s">
        <v>494</v>
      </c>
      <c r="K220" s="6" t="s">
        <v>43</v>
      </c>
      <c r="L220" s="6" t="s">
        <v>44</v>
      </c>
      <c r="M220" s="6" t="s">
        <v>45</v>
      </c>
      <c r="N220" s="6">
        <v>1.89</v>
      </c>
      <c r="O220" s="6">
        <v>111</v>
      </c>
    </row>
    <row r="221" spans="1:15" ht="14.25" customHeight="1" x14ac:dyDescent="0.3">
      <c r="A221" s="6" t="s">
        <v>495</v>
      </c>
      <c r="B221" s="6">
        <v>31</v>
      </c>
      <c r="C221" s="6" t="s">
        <v>16</v>
      </c>
      <c r="D221" s="6" t="s">
        <v>69</v>
      </c>
      <c r="E221" s="6" t="s">
        <v>80</v>
      </c>
      <c r="F221" s="6">
        <v>1220</v>
      </c>
      <c r="G221" s="6">
        <v>99664.94</v>
      </c>
      <c r="H221" s="7">
        <v>38413</v>
      </c>
      <c r="I221" s="6" t="s">
        <v>73</v>
      </c>
      <c r="J221" s="6" t="s">
        <v>496</v>
      </c>
      <c r="K221" s="6" t="s">
        <v>51</v>
      </c>
      <c r="L221" s="6" t="s">
        <v>52</v>
      </c>
      <c r="M221" s="6" t="s">
        <v>53</v>
      </c>
      <c r="N221" s="6">
        <v>2.86</v>
      </c>
      <c r="O221" s="6">
        <v>170</v>
      </c>
    </row>
    <row r="222" spans="1:15" ht="14.25" customHeight="1" x14ac:dyDescent="0.3">
      <c r="A222" s="6" t="s">
        <v>497</v>
      </c>
      <c r="B222" s="6">
        <v>31</v>
      </c>
      <c r="C222" s="6" t="s">
        <v>62</v>
      </c>
      <c r="D222" s="6" t="s">
        <v>47</v>
      </c>
      <c r="E222" s="6" t="s">
        <v>18</v>
      </c>
      <c r="F222" s="6">
        <v>1221</v>
      </c>
      <c r="G222" s="6">
        <v>81216.87</v>
      </c>
      <c r="H222" s="7">
        <v>38730</v>
      </c>
      <c r="I222" s="6" t="s">
        <v>19</v>
      </c>
      <c r="J222" s="6" t="s">
        <v>498</v>
      </c>
      <c r="K222" s="6" t="s">
        <v>21</v>
      </c>
      <c r="L222" s="6" t="s">
        <v>22</v>
      </c>
      <c r="M222" s="6" t="s">
        <v>23</v>
      </c>
      <c r="N222" s="6">
        <v>4.5599999999999996</v>
      </c>
      <c r="O222" s="6">
        <v>84</v>
      </c>
    </row>
    <row r="223" spans="1:15" ht="14.25" customHeight="1" x14ac:dyDescent="0.3">
      <c r="A223" s="6" t="s">
        <v>499</v>
      </c>
      <c r="B223" s="6">
        <v>63</v>
      </c>
      <c r="C223" s="6" t="s">
        <v>16</v>
      </c>
      <c r="D223" s="6" t="s">
        <v>47</v>
      </c>
      <c r="E223" s="6" t="s">
        <v>18</v>
      </c>
      <c r="F223" s="6">
        <v>1222</v>
      </c>
      <c r="G223" s="6">
        <v>112649.78</v>
      </c>
      <c r="H223" s="7">
        <v>37027</v>
      </c>
      <c r="I223" s="6" t="s">
        <v>28</v>
      </c>
      <c r="J223" s="6" t="s">
        <v>500</v>
      </c>
      <c r="K223" s="6" t="s">
        <v>30</v>
      </c>
      <c r="L223" s="6" t="s">
        <v>31</v>
      </c>
      <c r="M223" s="6" t="s">
        <v>32</v>
      </c>
      <c r="N223" s="6">
        <v>2.9</v>
      </c>
      <c r="O223" s="6">
        <v>27</v>
      </c>
    </row>
    <row r="224" spans="1:15" ht="14.25" customHeight="1" x14ac:dyDescent="0.3">
      <c r="A224" s="6" t="s">
        <v>501</v>
      </c>
      <c r="B224" s="6">
        <v>45</v>
      </c>
      <c r="C224" s="6" t="s">
        <v>62</v>
      </c>
      <c r="D224" s="6" t="s">
        <v>47</v>
      </c>
      <c r="E224" s="6" t="s">
        <v>18</v>
      </c>
      <c r="F224" s="6">
        <v>1223</v>
      </c>
      <c r="G224" s="6">
        <v>135377.04999999999</v>
      </c>
      <c r="H224" s="7">
        <v>44902</v>
      </c>
      <c r="I224" s="6" t="s">
        <v>35</v>
      </c>
      <c r="J224" s="6" t="s">
        <v>502</v>
      </c>
      <c r="K224" s="6" t="s">
        <v>37</v>
      </c>
      <c r="L224" s="6" t="s">
        <v>38</v>
      </c>
      <c r="M224" s="6" t="s">
        <v>39</v>
      </c>
      <c r="N224" s="6">
        <v>1.82</v>
      </c>
      <c r="O224" s="6">
        <v>109</v>
      </c>
    </row>
    <row r="225" spans="1:15" ht="14.25" customHeight="1" x14ac:dyDescent="0.3">
      <c r="A225" s="6" t="s">
        <v>503</v>
      </c>
      <c r="B225" s="6">
        <v>25</v>
      </c>
      <c r="C225" s="6" t="s">
        <v>25</v>
      </c>
      <c r="D225" s="6" t="s">
        <v>55</v>
      </c>
      <c r="E225" s="6" t="s">
        <v>48</v>
      </c>
      <c r="F225" s="6">
        <v>1224</v>
      </c>
      <c r="G225" s="6">
        <v>75203.62</v>
      </c>
      <c r="H225" s="7">
        <v>42498</v>
      </c>
      <c r="I225" s="6" t="s">
        <v>41</v>
      </c>
      <c r="J225" s="6" t="s">
        <v>504</v>
      </c>
      <c r="K225" s="6" t="s">
        <v>43</v>
      </c>
      <c r="L225" s="6" t="s">
        <v>44</v>
      </c>
      <c r="M225" s="6" t="s">
        <v>45</v>
      </c>
      <c r="N225" s="6">
        <v>2.17</v>
      </c>
      <c r="O225" s="6">
        <v>105</v>
      </c>
    </row>
    <row r="226" spans="1:15" ht="14.25" customHeight="1" x14ac:dyDescent="0.3">
      <c r="A226" s="6" t="s">
        <v>505</v>
      </c>
      <c r="B226" s="6">
        <v>48</v>
      </c>
      <c r="C226" s="6" t="s">
        <v>16</v>
      </c>
      <c r="D226" s="6" t="s">
        <v>55</v>
      </c>
      <c r="E226" s="6" t="s">
        <v>27</v>
      </c>
      <c r="F226" s="6">
        <v>1225</v>
      </c>
      <c r="G226" s="6">
        <v>172822.37</v>
      </c>
      <c r="H226" s="7">
        <v>44735</v>
      </c>
      <c r="I226" s="6" t="s">
        <v>49</v>
      </c>
      <c r="J226" s="6" t="s">
        <v>506</v>
      </c>
      <c r="K226" s="6" t="s">
        <v>51</v>
      </c>
      <c r="L226" s="6" t="s">
        <v>52</v>
      </c>
      <c r="M226" s="6" t="s">
        <v>53</v>
      </c>
      <c r="N226" s="6">
        <v>4.18</v>
      </c>
      <c r="O226" s="6">
        <v>64</v>
      </c>
    </row>
    <row r="227" spans="1:15" ht="14.25" customHeight="1" x14ac:dyDescent="0.3">
      <c r="A227" s="6" t="s">
        <v>507</v>
      </c>
      <c r="B227" s="6">
        <v>25</v>
      </c>
      <c r="C227" s="6" t="s">
        <v>62</v>
      </c>
      <c r="D227" s="6" t="s">
        <v>55</v>
      </c>
      <c r="E227" s="6" t="s">
        <v>27</v>
      </c>
      <c r="F227" s="6">
        <v>1226</v>
      </c>
      <c r="G227" s="6">
        <v>121301.24</v>
      </c>
      <c r="H227" s="7">
        <v>41641</v>
      </c>
      <c r="I227" s="6" t="s">
        <v>56</v>
      </c>
      <c r="J227" s="6" t="s">
        <v>508</v>
      </c>
      <c r="K227" s="6" t="s">
        <v>21</v>
      </c>
      <c r="L227" s="6" t="s">
        <v>22</v>
      </c>
      <c r="M227" s="6" t="s">
        <v>23</v>
      </c>
      <c r="N227" s="6">
        <v>3.99</v>
      </c>
      <c r="O227" s="6">
        <v>40</v>
      </c>
    </row>
    <row r="228" spans="1:15" ht="14.25" customHeight="1" x14ac:dyDescent="0.3">
      <c r="A228" s="6" t="s">
        <v>509</v>
      </c>
      <c r="B228" s="6">
        <v>53</v>
      </c>
      <c r="C228" s="6" t="s">
        <v>62</v>
      </c>
      <c r="D228" s="6" t="s">
        <v>47</v>
      </c>
      <c r="E228" s="6" t="s">
        <v>34</v>
      </c>
      <c r="F228" s="6">
        <v>1227</v>
      </c>
      <c r="G228" s="6">
        <v>81721.25</v>
      </c>
      <c r="H228" s="7">
        <v>42593</v>
      </c>
      <c r="I228" s="6" t="s">
        <v>63</v>
      </c>
      <c r="J228" s="6" t="s">
        <v>510</v>
      </c>
      <c r="K228" s="6" t="s">
        <v>30</v>
      </c>
      <c r="L228" s="6" t="s">
        <v>31</v>
      </c>
      <c r="M228" s="6" t="s">
        <v>32</v>
      </c>
      <c r="N228" s="6">
        <v>4.8</v>
      </c>
      <c r="O228" s="6">
        <v>170</v>
      </c>
    </row>
    <row r="229" spans="1:15" ht="14.25" customHeight="1" x14ac:dyDescent="0.3">
      <c r="A229" s="6" t="s">
        <v>511</v>
      </c>
      <c r="B229" s="6">
        <v>31</v>
      </c>
      <c r="C229" s="6" t="s">
        <v>62</v>
      </c>
      <c r="D229" s="6" t="s">
        <v>26</v>
      </c>
      <c r="E229" s="6" t="s">
        <v>80</v>
      </c>
      <c r="F229" s="6">
        <v>1228</v>
      </c>
      <c r="G229" s="6">
        <v>143421.70000000001</v>
      </c>
      <c r="H229" s="7">
        <v>37314</v>
      </c>
      <c r="I229" s="6" t="s">
        <v>66</v>
      </c>
      <c r="J229" s="6" t="s">
        <v>512</v>
      </c>
      <c r="K229" s="6" t="s">
        <v>37</v>
      </c>
      <c r="L229" s="6" t="s">
        <v>38</v>
      </c>
      <c r="M229" s="6" t="s">
        <v>39</v>
      </c>
      <c r="N229" s="6">
        <v>1.03</v>
      </c>
      <c r="O229" s="6">
        <v>63</v>
      </c>
    </row>
    <row r="230" spans="1:15" ht="14.25" customHeight="1" x14ac:dyDescent="0.3">
      <c r="A230" s="6" t="s">
        <v>513</v>
      </c>
      <c r="B230" s="6">
        <v>32</v>
      </c>
      <c r="C230" s="6" t="s">
        <v>25</v>
      </c>
      <c r="D230" s="6" t="s">
        <v>55</v>
      </c>
      <c r="E230" s="6" t="s">
        <v>27</v>
      </c>
      <c r="F230" s="6">
        <v>1229</v>
      </c>
      <c r="G230" s="6">
        <v>54925.41</v>
      </c>
      <c r="H230" s="7">
        <v>39232</v>
      </c>
      <c r="I230" s="6" t="s">
        <v>70</v>
      </c>
      <c r="J230" s="6" t="s">
        <v>514</v>
      </c>
      <c r="K230" s="6" t="s">
        <v>43</v>
      </c>
      <c r="L230" s="6" t="s">
        <v>44</v>
      </c>
      <c r="M230" s="6" t="s">
        <v>45</v>
      </c>
      <c r="N230" s="6">
        <v>1.78</v>
      </c>
      <c r="O230" s="6">
        <v>33</v>
      </c>
    </row>
    <row r="231" spans="1:15" ht="14.25" customHeight="1" x14ac:dyDescent="0.3">
      <c r="A231" s="6" t="s">
        <v>515</v>
      </c>
      <c r="B231" s="6">
        <v>49</v>
      </c>
      <c r="C231" s="6" t="s">
        <v>16</v>
      </c>
      <c r="D231" s="6" t="s">
        <v>17</v>
      </c>
      <c r="E231" s="6" t="s">
        <v>48</v>
      </c>
      <c r="F231" s="6">
        <v>1230</v>
      </c>
      <c r="G231" s="6">
        <v>118633.76</v>
      </c>
      <c r="H231" s="7">
        <v>42144</v>
      </c>
      <c r="I231" s="6" t="s">
        <v>73</v>
      </c>
      <c r="J231" s="6" t="s">
        <v>516</v>
      </c>
      <c r="K231" s="6" t="s">
        <v>51</v>
      </c>
      <c r="L231" s="6" t="s">
        <v>52</v>
      </c>
      <c r="M231" s="6" t="s">
        <v>53</v>
      </c>
      <c r="N231" s="6">
        <v>4.45</v>
      </c>
      <c r="O231" s="6">
        <v>58</v>
      </c>
    </row>
    <row r="232" spans="1:15" ht="14.25" customHeight="1" x14ac:dyDescent="0.3">
      <c r="A232" s="6" t="s">
        <v>517</v>
      </c>
      <c r="B232" s="6">
        <v>29</v>
      </c>
      <c r="C232" s="6" t="s">
        <v>16</v>
      </c>
      <c r="D232" s="6" t="s">
        <v>55</v>
      </c>
      <c r="E232" s="6" t="s">
        <v>18</v>
      </c>
      <c r="F232" s="6">
        <v>1231</v>
      </c>
      <c r="G232" s="6">
        <v>59600.23</v>
      </c>
      <c r="H232" s="7">
        <v>44915</v>
      </c>
      <c r="I232" s="6" t="s">
        <v>19</v>
      </c>
      <c r="J232" s="6" t="s">
        <v>518</v>
      </c>
      <c r="K232" s="6" t="s">
        <v>21</v>
      </c>
      <c r="L232" s="6" t="s">
        <v>22</v>
      </c>
      <c r="M232" s="6" t="s">
        <v>23</v>
      </c>
      <c r="N232" s="6">
        <v>4.2699999999999996</v>
      </c>
      <c r="O232" s="6">
        <v>6</v>
      </c>
    </row>
    <row r="233" spans="1:15" ht="14.25" customHeight="1" x14ac:dyDescent="0.3">
      <c r="A233" s="6" t="s">
        <v>519</v>
      </c>
      <c r="B233" s="6">
        <v>61</v>
      </c>
      <c r="C233" s="6" t="s">
        <v>16</v>
      </c>
      <c r="D233" s="6" t="s">
        <v>69</v>
      </c>
      <c r="E233" s="6" t="s">
        <v>34</v>
      </c>
      <c r="F233" s="6">
        <v>1232</v>
      </c>
      <c r="G233" s="6">
        <v>155324.64000000001</v>
      </c>
      <c r="H233" s="7">
        <v>44417</v>
      </c>
      <c r="I233" s="6" t="s">
        <v>28</v>
      </c>
      <c r="J233" s="6" t="s">
        <v>520</v>
      </c>
      <c r="K233" s="6" t="s">
        <v>30</v>
      </c>
      <c r="L233" s="6" t="s">
        <v>31</v>
      </c>
      <c r="M233" s="6" t="s">
        <v>32</v>
      </c>
      <c r="N233" s="6">
        <v>1.71</v>
      </c>
      <c r="O233" s="6">
        <v>91</v>
      </c>
    </row>
    <row r="234" spans="1:15" ht="14.25" customHeight="1" x14ac:dyDescent="0.3">
      <c r="A234" s="6" t="s">
        <v>521</v>
      </c>
      <c r="B234" s="6">
        <v>43</v>
      </c>
      <c r="C234" s="6" t="s">
        <v>62</v>
      </c>
      <c r="D234" s="6" t="s">
        <v>26</v>
      </c>
      <c r="E234" s="6" t="s">
        <v>18</v>
      </c>
      <c r="F234" s="6">
        <v>1233</v>
      </c>
      <c r="G234" s="6">
        <v>130433.43</v>
      </c>
      <c r="H234" s="7">
        <v>39135</v>
      </c>
      <c r="I234" s="6" t="s">
        <v>35</v>
      </c>
      <c r="J234" s="6" t="s">
        <v>522</v>
      </c>
      <c r="K234" s="6" t="s">
        <v>37</v>
      </c>
      <c r="L234" s="6" t="s">
        <v>38</v>
      </c>
      <c r="M234" s="6" t="s">
        <v>39</v>
      </c>
      <c r="N234" s="6">
        <v>4.53</v>
      </c>
      <c r="O234" s="6">
        <v>26</v>
      </c>
    </row>
    <row r="235" spans="1:15" ht="14.25" customHeight="1" x14ac:dyDescent="0.3">
      <c r="A235" s="6" t="s">
        <v>523</v>
      </c>
      <c r="B235" s="6">
        <v>55</v>
      </c>
      <c r="C235" s="6" t="s">
        <v>16</v>
      </c>
      <c r="D235" s="6" t="s">
        <v>69</v>
      </c>
      <c r="E235" s="6" t="s">
        <v>48</v>
      </c>
      <c r="F235" s="6">
        <v>1234</v>
      </c>
      <c r="G235" s="6">
        <v>142181</v>
      </c>
      <c r="H235" s="7">
        <v>38063</v>
      </c>
      <c r="I235" s="6" t="s">
        <v>41</v>
      </c>
      <c r="J235" s="6" t="s">
        <v>524</v>
      </c>
      <c r="K235" s="6" t="s">
        <v>43</v>
      </c>
      <c r="L235" s="6" t="s">
        <v>44</v>
      </c>
      <c r="M235" s="6" t="s">
        <v>45</v>
      </c>
      <c r="N235" s="6">
        <v>1.93</v>
      </c>
      <c r="O235" s="6">
        <v>161</v>
      </c>
    </row>
    <row r="236" spans="1:15" ht="14.25" customHeight="1" x14ac:dyDescent="0.3">
      <c r="A236" s="6" t="s">
        <v>525</v>
      </c>
      <c r="B236" s="6">
        <v>56</v>
      </c>
      <c r="C236" s="6" t="s">
        <v>16</v>
      </c>
      <c r="D236" s="6" t="s">
        <v>69</v>
      </c>
      <c r="E236" s="6" t="s">
        <v>18</v>
      </c>
      <c r="F236" s="6">
        <v>1235</v>
      </c>
      <c r="G236" s="6">
        <v>62515.58</v>
      </c>
      <c r="H236" s="7">
        <v>41789</v>
      </c>
      <c r="I236" s="6" t="s">
        <v>49</v>
      </c>
      <c r="J236" s="6" t="s">
        <v>526</v>
      </c>
      <c r="K236" s="6" t="s">
        <v>51</v>
      </c>
      <c r="L236" s="6" t="s">
        <v>52</v>
      </c>
      <c r="M236" s="6" t="s">
        <v>53</v>
      </c>
      <c r="N236" s="6">
        <v>1.31</v>
      </c>
      <c r="O236" s="6">
        <v>5</v>
      </c>
    </row>
    <row r="237" spans="1:15" ht="14.25" customHeight="1" x14ac:dyDescent="0.3">
      <c r="A237" s="6" t="s">
        <v>527</v>
      </c>
      <c r="B237" s="6">
        <v>56</v>
      </c>
      <c r="C237" s="6" t="s">
        <v>62</v>
      </c>
      <c r="D237" s="6" t="s">
        <v>55</v>
      </c>
      <c r="E237" s="6" t="s">
        <v>48</v>
      </c>
      <c r="F237" s="6">
        <v>1236</v>
      </c>
      <c r="G237" s="6">
        <v>83871.509999999995</v>
      </c>
      <c r="H237" s="7">
        <v>40958</v>
      </c>
      <c r="I237" s="6" t="s">
        <v>56</v>
      </c>
      <c r="J237" s="6" t="s">
        <v>528</v>
      </c>
      <c r="K237" s="6" t="s">
        <v>21</v>
      </c>
      <c r="L237" s="6" t="s">
        <v>22</v>
      </c>
      <c r="M237" s="6" t="s">
        <v>23</v>
      </c>
      <c r="N237" s="6">
        <v>3.89</v>
      </c>
      <c r="O237" s="6">
        <v>70</v>
      </c>
    </row>
    <row r="238" spans="1:15" ht="14.25" customHeight="1" x14ac:dyDescent="0.3">
      <c r="A238" s="6" t="s">
        <v>529</v>
      </c>
      <c r="B238" s="6">
        <v>46</v>
      </c>
      <c r="C238" s="6" t="s">
        <v>62</v>
      </c>
      <c r="D238" s="6" t="s">
        <v>69</v>
      </c>
      <c r="E238" s="6" t="s">
        <v>80</v>
      </c>
      <c r="F238" s="6">
        <v>1237</v>
      </c>
      <c r="G238" s="6">
        <v>112677.21</v>
      </c>
      <c r="H238" s="7">
        <v>41432</v>
      </c>
      <c r="I238" s="6" t="s">
        <v>63</v>
      </c>
      <c r="J238" s="6" t="s">
        <v>530</v>
      </c>
      <c r="K238" s="6" t="s">
        <v>30</v>
      </c>
      <c r="L238" s="6" t="s">
        <v>31</v>
      </c>
      <c r="M238" s="6" t="s">
        <v>32</v>
      </c>
      <c r="N238" s="6">
        <v>1.21</v>
      </c>
      <c r="O238" s="6">
        <v>101</v>
      </c>
    </row>
    <row r="239" spans="1:15" ht="14.25" customHeight="1" x14ac:dyDescent="0.3">
      <c r="A239" s="6" t="s">
        <v>531</v>
      </c>
      <c r="B239" s="6">
        <v>55</v>
      </c>
      <c r="C239" s="6" t="s">
        <v>62</v>
      </c>
      <c r="D239" s="6" t="s">
        <v>69</v>
      </c>
      <c r="E239" s="6" t="s">
        <v>48</v>
      </c>
      <c r="F239" s="6">
        <v>1238</v>
      </c>
      <c r="G239" s="6">
        <v>175174.77</v>
      </c>
      <c r="H239" s="7">
        <v>41235</v>
      </c>
      <c r="I239" s="6" t="s">
        <v>66</v>
      </c>
      <c r="J239" s="6" t="s">
        <v>532</v>
      </c>
      <c r="K239" s="6" t="s">
        <v>37</v>
      </c>
      <c r="L239" s="6" t="s">
        <v>38</v>
      </c>
      <c r="M239" s="6" t="s">
        <v>39</v>
      </c>
      <c r="N239" s="6">
        <v>4.43</v>
      </c>
      <c r="O239" s="6">
        <v>180</v>
      </c>
    </row>
    <row r="240" spans="1:15" ht="14.25" customHeight="1" x14ac:dyDescent="0.3">
      <c r="A240" s="6" t="s">
        <v>533</v>
      </c>
      <c r="B240" s="6">
        <v>27</v>
      </c>
      <c r="C240" s="6" t="s">
        <v>62</v>
      </c>
      <c r="D240" s="6" t="s">
        <v>26</v>
      </c>
      <c r="E240" s="6" t="s">
        <v>80</v>
      </c>
      <c r="F240" s="6">
        <v>1239</v>
      </c>
      <c r="G240" s="6">
        <v>128635.02</v>
      </c>
      <c r="H240" s="7">
        <v>44449</v>
      </c>
      <c r="I240" s="6" t="s">
        <v>70</v>
      </c>
      <c r="J240" s="6" t="s">
        <v>534</v>
      </c>
      <c r="K240" s="6" t="s">
        <v>43</v>
      </c>
      <c r="L240" s="6" t="s">
        <v>44</v>
      </c>
      <c r="M240" s="6" t="s">
        <v>45</v>
      </c>
      <c r="N240" s="6">
        <v>4.13</v>
      </c>
      <c r="O240" s="6">
        <v>18</v>
      </c>
    </row>
    <row r="241" spans="1:15" ht="14.25" customHeight="1" x14ac:dyDescent="0.3">
      <c r="A241" s="6" t="s">
        <v>535</v>
      </c>
      <c r="B241" s="6">
        <v>62</v>
      </c>
      <c r="C241" s="6" t="s">
        <v>25</v>
      </c>
      <c r="D241" s="6" t="s">
        <v>55</v>
      </c>
      <c r="E241" s="6" t="s">
        <v>80</v>
      </c>
      <c r="F241" s="6">
        <v>1240</v>
      </c>
      <c r="G241" s="6">
        <v>113961.94</v>
      </c>
      <c r="H241" s="7">
        <v>38834</v>
      </c>
      <c r="I241" s="6" t="s">
        <v>73</v>
      </c>
      <c r="J241" s="6" t="s">
        <v>536</v>
      </c>
      <c r="K241" s="6" t="s">
        <v>51</v>
      </c>
      <c r="L241" s="6" t="s">
        <v>52</v>
      </c>
      <c r="M241" s="6" t="s">
        <v>53</v>
      </c>
      <c r="N241" s="6">
        <v>1.1399999999999999</v>
      </c>
      <c r="O241" s="6">
        <v>51</v>
      </c>
    </row>
    <row r="242" spans="1:15" ht="14.25" customHeight="1" x14ac:dyDescent="0.3">
      <c r="A242" s="6" t="s">
        <v>537</v>
      </c>
      <c r="B242" s="6">
        <v>58</v>
      </c>
      <c r="C242" s="6" t="s">
        <v>25</v>
      </c>
      <c r="D242" s="6" t="s">
        <v>26</v>
      </c>
      <c r="E242" s="6" t="s">
        <v>80</v>
      </c>
      <c r="F242" s="6">
        <v>1241</v>
      </c>
      <c r="G242" s="6">
        <v>100375.51</v>
      </c>
      <c r="H242" s="7">
        <v>37460</v>
      </c>
      <c r="I242" s="6" t="s">
        <v>19</v>
      </c>
      <c r="J242" s="6" t="s">
        <v>538</v>
      </c>
      <c r="K242" s="6" t="s">
        <v>21</v>
      </c>
      <c r="L242" s="6" t="s">
        <v>22</v>
      </c>
      <c r="M242" s="6" t="s">
        <v>23</v>
      </c>
      <c r="N242" s="6">
        <v>4.95</v>
      </c>
      <c r="O242" s="6">
        <v>13</v>
      </c>
    </row>
    <row r="243" spans="1:15" ht="14.25" customHeight="1" x14ac:dyDescent="0.3">
      <c r="A243" s="6" t="s">
        <v>539</v>
      </c>
      <c r="B243" s="6">
        <v>22</v>
      </c>
      <c r="C243" s="6" t="s">
        <v>16</v>
      </c>
      <c r="D243" s="6" t="s">
        <v>47</v>
      </c>
      <c r="E243" s="6" t="s">
        <v>18</v>
      </c>
      <c r="F243" s="6">
        <v>1242</v>
      </c>
      <c r="G243" s="6">
        <v>84741.68</v>
      </c>
      <c r="H243" s="7">
        <v>37492</v>
      </c>
      <c r="I243" s="6" t="s">
        <v>28</v>
      </c>
      <c r="J243" s="6" t="s">
        <v>540</v>
      </c>
      <c r="K243" s="6" t="s">
        <v>30</v>
      </c>
      <c r="L243" s="6" t="s">
        <v>31</v>
      </c>
      <c r="M243" s="6" t="s">
        <v>32</v>
      </c>
      <c r="N243" s="6">
        <v>3.25</v>
      </c>
      <c r="O243" s="6">
        <v>13</v>
      </c>
    </row>
    <row r="244" spans="1:15" ht="14.25" customHeight="1" x14ac:dyDescent="0.3">
      <c r="A244" s="6" t="s">
        <v>541</v>
      </c>
      <c r="B244" s="6">
        <v>33</v>
      </c>
      <c r="C244" s="6" t="s">
        <v>25</v>
      </c>
      <c r="D244" s="6" t="s">
        <v>55</v>
      </c>
      <c r="E244" s="6" t="s">
        <v>18</v>
      </c>
      <c r="F244" s="6">
        <v>1243</v>
      </c>
      <c r="G244" s="6">
        <v>57050.02</v>
      </c>
      <c r="H244" s="7">
        <v>40481</v>
      </c>
      <c r="I244" s="6" t="s">
        <v>35</v>
      </c>
      <c r="J244" s="6" t="s">
        <v>542</v>
      </c>
      <c r="K244" s="6" t="s">
        <v>37</v>
      </c>
      <c r="L244" s="6" t="s">
        <v>38</v>
      </c>
      <c r="M244" s="6" t="s">
        <v>39</v>
      </c>
      <c r="N244" s="6">
        <v>1.29</v>
      </c>
      <c r="O244" s="6">
        <v>130</v>
      </c>
    </row>
    <row r="245" spans="1:15" ht="14.25" customHeight="1" x14ac:dyDescent="0.3">
      <c r="A245" s="6" t="s">
        <v>543</v>
      </c>
      <c r="B245" s="6">
        <v>56</v>
      </c>
      <c r="C245" s="6" t="s">
        <v>62</v>
      </c>
      <c r="D245" s="6" t="s">
        <v>69</v>
      </c>
      <c r="E245" s="6" t="s">
        <v>18</v>
      </c>
      <c r="F245" s="6">
        <v>1244</v>
      </c>
      <c r="G245" s="6">
        <v>85831.32</v>
      </c>
      <c r="H245" s="7">
        <v>36953</v>
      </c>
      <c r="I245" s="6" t="s">
        <v>41</v>
      </c>
      <c r="J245" s="6" t="s">
        <v>544</v>
      </c>
      <c r="K245" s="6" t="s">
        <v>43</v>
      </c>
      <c r="L245" s="6" t="s">
        <v>44</v>
      </c>
      <c r="M245" s="6" t="s">
        <v>45</v>
      </c>
      <c r="N245" s="6">
        <v>4.91</v>
      </c>
      <c r="O245" s="6">
        <v>51</v>
      </c>
    </row>
    <row r="246" spans="1:15" ht="14.25" customHeight="1" x14ac:dyDescent="0.3">
      <c r="A246" s="6" t="s">
        <v>545</v>
      </c>
      <c r="B246" s="6">
        <v>27</v>
      </c>
      <c r="C246" s="6" t="s">
        <v>25</v>
      </c>
      <c r="D246" s="6" t="s">
        <v>55</v>
      </c>
      <c r="E246" s="6" t="s">
        <v>34</v>
      </c>
      <c r="F246" s="6">
        <v>1245</v>
      </c>
      <c r="G246" s="6">
        <v>92977.95</v>
      </c>
      <c r="H246" s="7">
        <v>40455</v>
      </c>
      <c r="I246" s="6" t="s">
        <v>49</v>
      </c>
      <c r="J246" s="6" t="s">
        <v>546</v>
      </c>
      <c r="K246" s="6" t="s">
        <v>51</v>
      </c>
      <c r="L246" s="6" t="s">
        <v>52</v>
      </c>
      <c r="M246" s="6" t="s">
        <v>53</v>
      </c>
      <c r="N246" s="6">
        <v>4.5199999999999996</v>
      </c>
      <c r="O246" s="6">
        <v>57</v>
      </c>
    </row>
    <row r="247" spans="1:15" ht="14.25" customHeight="1" x14ac:dyDescent="0.3">
      <c r="A247" s="6" t="s">
        <v>547</v>
      </c>
      <c r="B247" s="6">
        <v>38</v>
      </c>
      <c r="C247" s="6" t="s">
        <v>62</v>
      </c>
      <c r="D247" s="6" t="s">
        <v>55</v>
      </c>
      <c r="E247" s="6" t="s">
        <v>34</v>
      </c>
      <c r="F247" s="6">
        <v>1246</v>
      </c>
      <c r="G247" s="6">
        <v>168191.05</v>
      </c>
      <c r="H247" s="7">
        <v>40526</v>
      </c>
      <c r="I247" s="6" t="s">
        <v>56</v>
      </c>
      <c r="J247" s="6" t="s">
        <v>548</v>
      </c>
      <c r="K247" s="6" t="s">
        <v>21</v>
      </c>
      <c r="L247" s="6" t="s">
        <v>22</v>
      </c>
      <c r="M247" s="6" t="s">
        <v>23</v>
      </c>
      <c r="N247" s="6">
        <v>4.92</v>
      </c>
      <c r="O247" s="6">
        <v>115</v>
      </c>
    </row>
    <row r="248" spans="1:15" ht="14.25" customHeight="1" x14ac:dyDescent="0.3">
      <c r="A248" s="6" t="s">
        <v>549</v>
      </c>
      <c r="B248" s="6">
        <v>30</v>
      </c>
      <c r="C248" s="6" t="s">
        <v>25</v>
      </c>
      <c r="D248" s="6" t="s">
        <v>47</v>
      </c>
      <c r="E248" s="6" t="s">
        <v>27</v>
      </c>
      <c r="F248" s="6">
        <v>1247</v>
      </c>
      <c r="G248" s="6">
        <v>170068.4</v>
      </c>
      <c r="H248" s="7">
        <v>39821</v>
      </c>
      <c r="I248" s="6" t="s">
        <v>63</v>
      </c>
      <c r="J248" s="6" t="s">
        <v>550</v>
      </c>
      <c r="K248" s="6" t="s">
        <v>30</v>
      </c>
      <c r="L248" s="6" t="s">
        <v>31</v>
      </c>
      <c r="M248" s="6" t="s">
        <v>32</v>
      </c>
      <c r="N248" s="6">
        <v>4.5999999999999996</v>
      </c>
      <c r="O248" s="6">
        <v>129</v>
      </c>
    </row>
    <row r="249" spans="1:15" ht="14.25" customHeight="1" x14ac:dyDescent="0.3">
      <c r="A249" s="6" t="s">
        <v>551</v>
      </c>
      <c r="B249" s="6">
        <v>23</v>
      </c>
      <c r="C249" s="6" t="s">
        <v>62</v>
      </c>
      <c r="D249" s="6" t="s">
        <v>26</v>
      </c>
      <c r="E249" s="6" t="s">
        <v>34</v>
      </c>
      <c r="F249" s="6">
        <v>1248</v>
      </c>
      <c r="G249" s="6">
        <v>106539.51</v>
      </c>
      <c r="H249" s="7">
        <v>43992</v>
      </c>
      <c r="I249" s="6" t="s">
        <v>66</v>
      </c>
      <c r="J249" s="6" t="s">
        <v>552</v>
      </c>
      <c r="K249" s="6" t="s">
        <v>37</v>
      </c>
      <c r="L249" s="6" t="s">
        <v>38</v>
      </c>
      <c r="M249" s="6" t="s">
        <v>39</v>
      </c>
      <c r="N249" s="6">
        <v>3.23</v>
      </c>
      <c r="O249" s="6">
        <v>7</v>
      </c>
    </row>
    <row r="250" spans="1:15" ht="14.25" customHeight="1" x14ac:dyDescent="0.3">
      <c r="A250" s="6" t="s">
        <v>553</v>
      </c>
      <c r="B250" s="6">
        <v>39</v>
      </c>
      <c r="C250" s="6" t="s">
        <v>16</v>
      </c>
      <c r="D250" s="6" t="s">
        <v>55</v>
      </c>
      <c r="E250" s="6" t="s">
        <v>18</v>
      </c>
      <c r="F250" s="6">
        <v>1249</v>
      </c>
      <c r="G250" s="6">
        <v>53768.17</v>
      </c>
      <c r="H250" s="7">
        <v>36643</v>
      </c>
      <c r="I250" s="6" t="s">
        <v>70</v>
      </c>
      <c r="J250" s="6" t="s">
        <v>554</v>
      </c>
      <c r="K250" s="6" t="s">
        <v>43</v>
      </c>
      <c r="L250" s="6" t="s">
        <v>44</v>
      </c>
      <c r="M250" s="6" t="s">
        <v>45</v>
      </c>
      <c r="N250" s="6">
        <v>4.59</v>
      </c>
      <c r="O250" s="6">
        <v>11</v>
      </c>
    </row>
    <row r="251" spans="1:15" ht="14.25" customHeight="1" x14ac:dyDescent="0.3">
      <c r="A251" s="6" t="s">
        <v>555</v>
      </c>
      <c r="B251" s="6">
        <v>57</v>
      </c>
      <c r="C251" s="6" t="s">
        <v>16</v>
      </c>
      <c r="D251" s="6" t="s">
        <v>55</v>
      </c>
      <c r="E251" s="6" t="s">
        <v>34</v>
      </c>
      <c r="F251" s="6">
        <v>1250</v>
      </c>
      <c r="G251" s="6">
        <v>120671.16</v>
      </c>
      <c r="H251" s="7">
        <v>38895</v>
      </c>
      <c r="I251" s="6" t="s">
        <v>73</v>
      </c>
      <c r="J251" s="6" t="s">
        <v>556</v>
      </c>
      <c r="K251" s="6" t="s">
        <v>51</v>
      </c>
      <c r="L251" s="6" t="s">
        <v>52</v>
      </c>
      <c r="M251" s="6" t="s">
        <v>53</v>
      </c>
      <c r="N251" s="6">
        <v>1.94</v>
      </c>
      <c r="O251" s="6">
        <v>177</v>
      </c>
    </row>
    <row r="252" spans="1:15" ht="14.25" customHeight="1" x14ac:dyDescent="0.3">
      <c r="A252" s="6" t="s">
        <v>557</v>
      </c>
      <c r="B252" s="6">
        <v>49</v>
      </c>
      <c r="C252" s="6" t="s">
        <v>25</v>
      </c>
      <c r="D252" s="6" t="s">
        <v>17</v>
      </c>
      <c r="E252" s="6" t="s">
        <v>34</v>
      </c>
      <c r="F252" s="6">
        <v>1251</v>
      </c>
      <c r="G252" s="6">
        <v>184784.51</v>
      </c>
      <c r="H252" s="7">
        <v>41070</v>
      </c>
      <c r="I252" s="6" t="s">
        <v>19</v>
      </c>
      <c r="J252" s="6" t="s">
        <v>558</v>
      </c>
      <c r="K252" s="6" t="s">
        <v>21</v>
      </c>
      <c r="L252" s="6" t="s">
        <v>22</v>
      </c>
      <c r="M252" s="6" t="s">
        <v>23</v>
      </c>
      <c r="N252" s="6">
        <v>4.5199999999999996</v>
      </c>
      <c r="O252" s="6">
        <v>92</v>
      </c>
    </row>
    <row r="253" spans="1:15" ht="14.25" customHeight="1" x14ac:dyDescent="0.3">
      <c r="A253" s="6" t="s">
        <v>559</v>
      </c>
      <c r="B253" s="6">
        <v>62</v>
      </c>
      <c r="C253" s="6" t="s">
        <v>62</v>
      </c>
      <c r="D253" s="6" t="s">
        <v>55</v>
      </c>
      <c r="E253" s="6" t="s">
        <v>34</v>
      </c>
      <c r="F253" s="6">
        <v>1252</v>
      </c>
      <c r="G253" s="6">
        <v>159433.12</v>
      </c>
      <c r="H253" s="7">
        <v>38190</v>
      </c>
      <c r="I253" s="6" t="s">
        <v>28</v>
      </c>
      <c r="J253" s="6" t="s">
        <v>560</v>
      </c>
      <c r="K253" s="6" t="s">
        <v>30</v>
      </c>
      <c r="L253" s="6" t="s">
        <v>31</v>
      </c>
      <c r="M253" s="6" t="s">
        <v>32</v>
      </c>
      <c r="N253" s="6">
        <v>2.62</v>
      </c>
      <c r="O253" s="6">
        <v>56</v>
      </c>
    </row>
    <row r="254" spans="1:15" ht="14.25" customHeight="1" x14ac:dyDescent="0.3">
      <c r="A254" s="6" t="s">
        <v>561</v>
      </c>
      <c r="B254" s="6">
        <v>58</v>
      </c>
      <c r="C254" s="6" t="s">
        <v>16</v>
      </c>
      <c r="D254" s="6" t="s">
        <v>26</v>
      </c>
      <c r="E254" s="6" t="s">
        <v>27</v>
      </c>
      <c r="F254" s="6">
        <v>1253</v>
      </c>
      <c r="G254" s="6">
        <v>61498.81</v>
      </c>
      <c r="H254" s="7">
        <v>37832</v>
      </c>
      <c r="I254" s="6" t="s">
        <v>35</v>
      </c>
      <c r="J254" s="6" t="s">
        <v>562</v>
      </c>
      <c r="K254" s="6" t="s">
        <v>37</v>
      </c>
      <c r="L254" s="6" t="s">
        <v>38</v>
      </c>
      <c r="M254" s="6" t="s">
        <v>39</v>
      </c>
      <c r="N254" s="6">
        <v>2.25</v>
      </c>
      <c r="O254" s="6">
        <v>119</v>
      </c>
    </row>
    <row r="255" spans="1:15" ht="14.25" customHeight="1" x14ac:dyDescent="0.3">
      <c r="A255" s="6" t="s">
        <v>563</v>
      </c>
      <c r="B255" s="6">
        <v>47</v>
      </c>
      <c r="C255" s="6" t="s">
        <v>62</v>
      </c>
      <c r="D255" s="6" t="s">
        <v>17</v>
      </c>
      <c r="E255" s="6" t="s">
        <v>80</v>
      </c>
      <c r="F255" s="6">
        <v>1254</v>
      </c>
      <c r="G255" s="6">
        <v>151849.89000000001</v>
      </c>
      <c r="H255" s="7">
        <v>36751</v>
      </c>
      <c r="I255" s="6" t="s">
        <v>41</v>
      </c>
      <c r="J255" s="6" t="s">
        <v>564</v>
      </c>
      <c r="K255" s="6" t="s">
        <v>43</v>
      </c>
      <c r="L255" s="6" t="s">
        <v>44</v>
      </c>
      <c r="M255" s="6" t="s">
        <v>45</v>
      </c>
      <c r="N255" s="6">
        <v>4.92</v>
      </c>
      <c r="O255" s="6">
        <v>81</v>
      </c>
    </row>
    <row r="256" spans="1:15" ht="14.25" customHeight="1" x14ac:dyDescent="0.3">
      <c r="A256" s="6" t="s">
        <v>565</v>
      </c>
      <c r="B256" s="6">
        <v>25</v>
      </c>
      <c r="C256" s="6" t="s">
        <v>25</v>
      </c>
      <c r="D256" s="6" t="s">
        <v>69</v>
      </c>
      <c r="E256" s="6" t="s">
        <v>18</v>
      </c>
      <c r="F256" s="6">
        <v>1255</v>
      </c>
      <c r="G256" s="6">
        <v>138610.54</v>
      </c>
      <c r="H256" s="7">
        <v>39727</v>
      </c>
      <c r="I256" s="6" t="s">
        <v>49</v>
      </c>
      <c r="J256" s="6" t="s">
        <v>566</v>
      </c>
      <c r="K256" s="6" t="s">
        <v>51</v>
      </c>
      <c r="L256" s="6" t="s">
        <v>52</v>
      </c>
      <c r="M256" s="6" t="s">
        <v>53</v>
      </c>
      <c r="N256" s="6">
        <v>1.92</v>
      </c>
      <c r="O256" s="6">
        <v>92</v>
      </c>
    </row>
    <row r="257" spans="1:15" ht="14.25" customHeight="1" x14ac:dyDescent="0.3">
      <c r="A257" s="6" t="s">
        <v>567</v>
      </c>
      <c r="B257" s="6">
        <v>61</v>
      </c>
      <c r="C257" s="6" t="s">
        <v>62</v>
      </c>
      <c r="D257" s="6" t="s">
        <v>69</v>
      </c>
      <c r="E257" s="6" t="s">
        <v>18</v>
      </c>
      <c r="F257" s="6">
        <v>1256</v>
      </c>
      <c r="G257" s="6">
        <v>177443.98</v>
      </c>
      <c r="H257" s="7">
        <v>42056</v>
      </c>
      <c r="I257" s="6" t="s">
        <v>56</v>
      </c>
      <c r="J257" s="6" t="s">
        <v>568</v>
      </c>
      <c r="K257" s="6" t="s">
        <v>21</v>
      </c>
      <c r="L257" s="6" t="s">
        <v>22</v>
      </c>
      <c r="M257" s="6" t="s">
        <v>23</v>
      </c>
      <c r="N257" s="6">
        <v>4.38</v>
      </c>
      <c r="O257" s="6">
        <v>122</v>
      </c>
    </row>
    <row r="258" spans="1:15" ht="14.25" customHeight="1" x14ac:dyDescent="0.3">
      <c r="A258" s="6" t="s">
        <v>569</v>
      </c>
      <c r="B258" s="6">
        <v>57</v>
      </c>
      <c r="C258" s="6" t="s">
        <v>62</v>
      </c>
      <c r="D258" s="6" t="s">
        <v>55</v>
      </c>
      <c r="E258" s="6" t="s">
        <v>27</v>
      </c>
      <c r="F258" s="6">
        <v>1257</v>
      </c>
      <c r="G258" s="6">
        <v>120788.75</v>
      </c>
      <c r="H258" s="7">
        <v>43089</v>
      </c>
      <c r="I258" s="6" t="s">
        <v>63</v>
      </c>
      <c r="J258" s="6" t="s">
        <v>570</v>
      </c>
      <c r="K258" s="6" t="s">
        <v>30</v>
      </c>
      <c r="L258" s="6" t="s">
        <v>31</v>
      </c>
      <c r="M258" s="6" t="s">
        <v>32</v>
      </c>
      <c r="N258" s="6">
        <v>2.34</v>
      </c>
      <c r="O258" s="6">
        <v>126</v>
      </c>
    </row>
    <row r="259" spans="1:15" ht="14.25" customHeight="1" x14ac:dyDescent="0.3">
      <c r="A259" s="6" t="s">
        <v>571</v>
      </c>
      <c r="B259" s="6">
        <v>52</v>
      </c>
      <c r="C259" s="6" t="s">
        <v>25</v>
      </c>
      <c r="D259" s="6" t="s">
        <v>26</v>
      </c>
      <c r="E259" s="6" t="s">
        <v>48</v>
      </c>
      <c r="F259" s="6">
        <v>1258</v>
      </c>
      <c r="G259" s="6">
        <v>86559.05</v>
      </c>
      <c r="H259" s="7">
        <v>41816</v>
      </c>
      <c r="I259" s="6" t="s">
        <v>66</v>
      </c>
      <c r="J259" s="6" t="s">
        <v>572</v>
      </c>
      <c r="K259" s="6" t="s">
        <v>37</v>
      </c>
      <c r="L259" s="6" t="s">
        <v>38</v>
      </c>
      <c r="M259" s="6" t="s">
        <v>39</v>
      </c>
      <c r="N259" s="6">
        <v>1.42</v>
      </c>
      <c r="O259" s="6">
        <v>167</v>
      </c>
    </row>
    <row r="260" spans="1:15" ht="14.25" customHeight="1" x14ac:dyDescent="0.3">
      <c r="A260" s="6" t="s">
        <v>573</v>
      </c>
      <c r="B260" s="6">
        <v>51</v>
      </c>
      <c r="C260" s="6" t="s">
        <v>16</v>
      </c>
      <c r="D260" s="6" t="s">
        <v>55</v>
      </c>
      <c r="E260" s="6" t="s">
        <v>80</v>
      </c>
      <c r="F260" s="6">
        <v>1259</v>
      </c>
      <c r="G260" s="6">
        <v>178608.16</v>
      </c>
      <c r="H260" s="7">
        <v>36617</v>
      </c>
      <c r="I260" s="6" t="s">
        <v>70</v>
      </c>
      <c r="J260" s="6" t="s">
        <v>574</v>
      </c>
      <c r="K260" s="6" t="s">
        <v>43</v>
      </c>
      <c r="L260" s="6" t="s">
        <v>44</v>
      </c>
      <c r="M260" s="6" t="s">
        <v>45</v>
      </c>
      <c r="N260" s="6">
        <v>1.1299999999999999</v>
      </c>
      <c r="O260" s="6">
        <v>172</v>
      </c>
    </row>
    <row r="261" spans="1:15" ht="14.25" customHeight="1" x14ac:dyDescent="0.3">
      <c r="A261" s="6" t="s">
        <v>575</v>
      </c>
      <c r="B261" s="6">
        <v>55</v>
      </c>
      <c r="C261" s="6" t="s">
        <v>25</v>
      </c>
      <c r="D261" s="6" t="s">
        <v>69</v>
      </c>
      <c r="E261" s="6" t="s">
        <v>27</v>
      </c>
      <c r="F261" s="6">
        <v>1260</v>
      </c>
      <c r="G261" s="6">
        <v>164742.84</v>
      </c>
      <c r="H261" s="7">
        <v>44418</v>
      </c>
      <c r="I261" s="6" t="s">
        <v>73</v>
      </c>
      <c r="J261" s="6" t="s">
        <v>576</v>
      </c>
      <c r="K261" s="6" t="s">
        <v>51</v>
      </c>
      <c r="L261" s="6" t="s">
        <v>52</v>
      </c>
      <c r="M261" s="6" t="s">
        <v>53</v>
      </c>
      <c r="N261" s="6">
        <v>3.79</v>
      </c>
      <c r="O261" s="6">
        <v>45</v>
      </c>
    </row>
    <row r="262" spans="1:15" ht="14.25" customHeight="1" x14ac:dyDescent="0.3">
      <c r="A262" s="6" t="s">
        <v>577</v>
      </c>
      <c r="B262" s="6">
        <v>40</v>
      </c>
      <c r="C262" s="6" t="s">
        <v>62</v>
      </c>
      <c r="D262" s="6" t="s">
        <v>55</v>
      </c>
      <c r="E262" s="6" t="s">
        <v>18</v>
      </c>
      <c r="F262" s="6">
        <v>1261</v>
      </c>
      <c r="G262" s="6">
        <v>148731.92000000001</v>
      </c>
      <c r="H262" s="7">
        <v>42945</v>
      </c>
      <c r="I262" s="6" t="s">
        <v>19</v>
      </c>
      <c r="J262" s="6" t="s">
        <v>578</v>
      </c>
      <c r="K262" s="6" t="s">
        <v>21</v>
      </c>
      <c r="L262" s="6" t="s">
        <v>22</v>
      </c>
      <c r="M262" s="6" t="s">
        <v>23</v>
      </c>
      <c r="N262" s="6">
        <v>1.34</v>
      </c>
      <c r="O262" s="6">
        <v>75</v>
      </c>
    </row>
    <row r="263" spans="1:15" ht="14.25" customHeight="1" x14ac:dyDescent="0.3">
      <c r="A263" s="6" t="s">
        <v>579</v>
      </c>
      <c r="B263" s="6">
        <v>39</v>
      </c>
      <c r="C263" s="6" t="s">
        <v>25</v>
      </c>
      <c r="D263" s="6" t="s">
        <v>55</v>
      </c>
      <c r="E263" s="6" t="s">
        <v>34</v>
      </c>
      <c r="F263" s="6">
        <v>1262</v>
      </c>
      <c r="G263" s="6">
        <v>54169.54</v>
      </c>
      <c r="H263" s="7">
        <v>37943</v>
      </c>
      <c r="I263" s="6" t="s">
        <v>28</v>
      </c>
      <c r="J263" s="6" t="s">
        <v>580</v>
      </c>
      <c r="K263" s="6" t="s">
        <v>30</v>
      </c>
      <c r="L263" s="6" t="s">
        <v>31</v>
      </c>
      <c r="M263" s="6" t="s">
        <v>32</v>
      </c>
      <c r="N263" s="6">
        <v>2.98</v>
      </c>
      <c r="O263" s="6">
        <v>118</v>
      </c>
    </row>
    <row r="264" spans="1:15" ht="14.25" customHeight="1" x14ac:dyDescent="0.3">
      <c r="A264" s="6" t="s">
        <v>581</v>
      </c>
      <c r="B264" s="6">
        <v>51</v>
      </c>
      <c r="C264" s="6" t="s">
        <v>25</v>
      </c>
      <c r="D264" s="6" t="s">
        <v>69</v>
      </c>
      <c r="E264" s="6" t="s">
        <v>27</v>
      </c>
      <c r="F264" s="6">
        <v>1263</v>
      </c>
      <c r="G264" s="6">
        <v>111304.76</v>
      </c>
      <c r="H264" s="7">
        <v>39539</v>
      </c>
      <c r="I264" s="6" t="s">
        <v>35</v>
      </c>
      <c r="J264" s="6" t="s">
        <v>582</v>
      </c>
      <c r="K264" s="6" t="s">
        <v>37</v>
      </c>
      <c r="L264" s="6" t="s">
        <v>38</v>
      </c>
      <c r="M264" s="6" t="s">
        <v>39</v>
      </c>
      <c r="N264" s="6">
        <v>2.54</v>
      </c>
      <c r="O264" s="6">
        <v>30</v>
      </c>
    </row>
    <row r="265" spans="1:15" ht="14.25" customHeight="1" x14ac:dyDescent="0.3">
      <c r="A265" s="6" t="s">
        <v>583</v>
      </c>
      <c r="B265" s="6">
        <v>42</v>
      </c>
      <c r="C265" s="6" t="s">
        <v>62</v>
      </c>
      <c r="D265" s="6" t="s">
        <v>69</v>
      </c>
      <c r="E265" s="6" t="s">
        <v>48</v>
      </c>
      <c r="F265" s="6">
        <v>1264</v>
      </c>
      <c r="G265" s="6">
        <v>70896.56</v>
      </c>
      <c r="H265" s="7">
        <v>39389</v>
      </c>
      <c r="I265" s="6" t="s">
        <v>41</v>
      </c>
      <c r="J265" s="6" t="s">
        <v>584</v>
      </c>
      <c r="K265" s="6" t="s">
        <v>43</v>
      </c>
      <c r="L265" s="6" t="s">
        <v>44</v>
      </c>
      <c r="M265" s="6" t="s">
        <v>45</v>
      </c>
      <c r="N265" s="6">
        <v>4.12</v>
      </c>
      <c r="O265" s="6">
        <v>28</v>
      </c>
    </row>
    <row r="266" spans="1:15" ht="14.25" customHeight="1" x14ac:dyDescent="0.3">
      <c r="A266" s="6" t="s">
        <v>585</v>
      </c>
      <c r="B266" s="6">
        <v>24</v>
      </c>
      <c r="C266" s="6" t="s">
        <v>25</v>
      </c>
      <c r="D266" s="6" t="s">
        <v>17</v>
      </c>
      <c r="E266" s="6" t="s">
        <v>27</v>
      </c>
      <c r="F266" s="6">
        <v>1265</v>
      </c>
      <c r="G266" s="6">
        <v>119251.38</v>
      </c>
      <c r="H266" s="7">
        <v>39532</v>
      </c>
      <c r="I266" s="6" t="s">
        <v>49</v>
      </c>
      <c r="J266" s="6" t="s">
        <v>586</v>
      </c>
      <c r="K266" s="6" t="s">
        <v>51</v>
      </c>
      <c r="L266" s="6" t="s">
        <v>52</v>
      </c>
      <c r="M266" s="6" t="s">
        <v>53</v>
      </c>
      <c r="N266" s="6">
        <v>2.78</v>
      </c>
      <c r="O266" s="6">
        <v>29</v>
      </c>
    </row>
    <row r="267" spans="1:15" ht="14.25" customHeight="1" x14ac:dyDescent="0.3">
      <c r="A267" s="6" t="s">
        <v>587</v>
      </c>
      <c r="B267" s="6">
        <v>27</v>
      </c>
      <c r="C267" s="6" t="s">
        <v>16</v>
      </c>
      <c r="D267" s="6" t="s">
        <v>17</v>
      </c>
      <c r="E267" s="6" t="s">
        <v>48</v>
      </c>
      <c r="F267" s="6">
        <v>1266</v>
      </c>
      <c r="G267" s="6">
        <v>185497.47</v>
      </c>
      <c r="H267" s="7">
        <v>44080</v>
      </c>
      <c r="I267" s="6" t="s">
        <v>56</v>
      </c>
      <c r="J267" s="6" t="s">
        <v>588</v>
      </c>
      <c r="K267" s="6" t="s">
        <v>21</v>
      </c>
      <c r="L267" s="6" t="s">
        <v>22</v>
      </c>
      <c r="M267" s="6" t="s">
        <v>23</v>
      </c>
      <c r="N267" s="6">
        <v>3.7</v>
      </c>
      <c r="O267" s="6">
        <v>85</v>
      </c>
    </row>
    <row r="268" spans="1:15" ht="14.25" customHeight="1" x14ac:dyDescent="0.3">
      <c r="A268" s="6" t="s">
        <v>589</v>
      </c>
      <c r="B268" s="6">
        <v>59</v>
      </c>
      <c r="C268" s="6" t="s">
        <v>16</v>
      </c>
      <c r="D268" s="6" t="s">
        <v>26</v>
      </c>
      <c r="E268" s="6" t="s">
        <v>27</v>
      </c>
      <c r="F268" s="6">
        <v>1267</v>
      </c>
      <c r="G268" s="6">
        <v>76888.94</v>
      </c>
      <c r="H268" s="7">
        <v>44685</v>
      </c>
      <c r="I268" s="6" t="s">
        <v>63</v>
      </c>
      <c r="J268" s="6" t="s">
        <v>590</v>
      </c>
      <c r="K268" s="6" t="s">
        <v>30</v>
      </c>
      <c r="L268" s="6" t="s">
        <v>31</v>
      </c>
      <c r="M268" s="6" t="s">
        <v>32</v>
      </c>
      <c r="N268" s="6">
        <v>3.35</v>
      </c>
      <c r="O268" s="6">
        <v>97</v>
      </c>
    </row>
    <row r="269" spans="1:15" ht="14.25" customHeight="1" x14ac:dyDescent="0.3">
      <c r="A269" s="6" t="s">
        <v>591</v>
      </c>
      <c r="B269" s="6">
        <v>34</v>
      </c>
      <c r="C269" s="6" t="s">
        <v>25</v>
      </c>
      <c r="D269" s="6" t="s">
        <v>26</v>
      </c>
      <c r="E269" s="6" t="s">
        <v>48</v>
      </c>
      <c r="F269" s="6">
        <v>1268</v>
      </c>
      <c r="G269" s="6">
        <v>111964.28</v>
      </c>
      <c r="H269" s="7">
        <v>39455</v>
      </c>
      <c r="I269" s="6" t="s">
        <v>66</v>
      </c>
      <c r="J269" s="6" t="s">
        <v>592</v>
      </c>
      <c r="K269" s="6" t="s">
        <v>37</v>
      </c>
      <c r="L269" s="6" t="s">
        <v>38</v>
      </c>
      <c r="M269" s="6" t="s">
        <v>39</v>
      </c>
      <c r="N269" s="6">
        <v>1.8</v>
      </c>
      <c r="O269" s="6">
        <v>118</v>
      </c>
    </row>
    <row r="270" spans="1:15" ht="14.25" customHeight="1" x14ac:dyDescent="0.3">
      <c r="A270" s="6" t="s">
        <v>593</v>
      </c>
      <c r="B270" s="6">
        <v>24</v>
      </c>
      <c r="C270" s="6" t="s">
        <v>62</v>
      </c>
      <c r="D270" s="6" t="s">
        <v>69</v>
      </c>
      <c r="E270" s="6" t="s">
        <v>27</v>
      </c>
      <c r="F270" s="6">
        <v>1269</v>
      </c>
      <c r="G270" s="6">
        <v>99758.57</v>
      </c>
      <c r="H270" s="7">
        <v>41842</v>
      </c>
      <c r="I270" s="6" t="s">
        <v>70</v>
      </c>
      <c r="J270" s="6" t="s">
        <v>594</v>
      </c>
      <c r="K270" s="6" t="s">
        <v>43</v>
      </c>
      <c r="L270" s="6" t="s">
        <v>44</v>
      </c>
      <c r="M270" s="6" t="s">
        <v>45</v>
      </c>
      <c r="N270" s="6">
        <v>4.7</v>
      </c>
      <c r="O270" s="6">
        <v>186</v>
      </c>
    </row>
    <row r="271" spans="1:15" ht="14.25" customHeight="1" x14ac:dyDescent="0.3">
      <c r="A271" s="6" t="s">
        <v>595</v>
      </c>
      <c r="B271" s="6">
        <v>49</v>
      </c>
      <c r="C271" s="6" t="s">
        <v>25</v>
      </c>
      <c r="D271" s="6" t="s">
        <v>26</v>
      </c>
      <c r="E271" s="6" t="s">
        <v>48</v>
      </c>
      <c r="F271" s="6">
        <v>1270</v>
      </c>
      <c r="G271" s="6">
        <v>54618.06</v>
      </c>
      <c r="H271" s="7">
        <v>38013</v>
      </c>
      <c r="I271" s="6" t="s">
        <v>73</v>
      </c>
      <c r="J271" s="6" t="s">
        <v>596</v>
      </c>
      <c r="K271" s="6" t="s">
        <v>51</v>
      </c>
      <c r="L271" s="6" t="s">
        <v>52</v>
      </c>
      <c r="M271" s="6" t="s">
        <v>53</v>
      </c>
      <c r="N271" s="6">
        <v>1.48</v>
      </c>
      <c r="O271" s="6">
        <v>158</v>
      </c>
    </row>
    <row r="272" spans="1:15" ht="14.25" customHeight="1" x14ac:dyDescent="0.3">
      <c r="A272" s="6" t="s">
        <v>597</v>
      </c>
      <c r="B272" s="6">
        <v>43</v>
      </c>
      <c r="C272" s="6" t="s">
        <v>25</v>
      </c>
      <c r="D272" s="6" t="s">
        <v>26</v>
      </c>
      <c r="E272" s="6" t="s">
        <v>48</v>
      </c>
      <c r="F272" s="6">
        <v>1271</v>
      </c>
      <c r="G272" s="6">
        <v>74378.06</v>
      </c>
      <c r="H272" s="7">
        <v>43623</v>
      </c>
      <c r="I272" s="6" t="s">
        <v>19</v>
      </c>
      <c r="J272" s="6" t="s">
        <v>598</v>
      </c>
      <c r="K272" s="6" t="s">
        <v>21</v>
      </c>
      <c r="L272" s="6" t="s">
        <v>22</v>
      </c>
      <c r="M272" s="6" t="s">
        <v>23</v>
      </c>
      <c r="N272" s="6">
        <v>2.87</v>
      </c>
      <c r="O272" s="6">
        <v>123</v>
      </c>
    </row>
    <row r="273" spans="1:15" ht="14.25" customHeight="1" x14ac:dyDescent="0.3">
      <c r="A273" s="6" t="s">
        <v>599</v>
      </c>
      <c r="B273" s="6">
        <v>61</v>
      </c>
      <c r="C273" s="6" t="s">
        <v>16</v>
      </c>
      <c r="D273" s="6" t="s">
        <v>17</v>
      </c>
      <c r="E273" s="6" t="s">
        <v>27</v>
      </c>
      <c r="F273" s="6">
        <v>1272</v>
      </c>
      <c r="G273" s="6">
        <v>115673.3</v>
      </c>
      <c r="H273" s="7">
        <v>42031</v>
      </c>
      <c r="I273" s="6" t="s">
        <v>28</v>
      </c>
      <c r="J273" s="6" t="s">
        <v>600</v>
      </c>
      <c r="K273" s="6" t="s">
        <v>30</v>
      </c>
      <c r="L273" s="6" t="s">
        <v>31</v>
      </c>
      <c r="M273" s="6" t="s">
        <v>32</v>
      </c>
      <c r="N273" s="6">
        <v>2.97</v>
      </c>
      <c r="O273" s="6">
        <v>50</v>
      </c>
    </row>
    <row r="274" spans="1:15" ht="14.25" customHeight="1" x14ac:dyDescent="0.3">
      <c r="A274" s="6" t="s">
        <v>601</v>
      </c>
      <c r="B274" s="6">
        <v>61</v>
      </c>
      <c r="C274" s="6" t="s">
        <v>16</v>
      </c>
      <c r="D274" s="6" t="s">
        <v>69</v>
      </c>
      <c r="E274" s="6" t="s">
        <v>18</v>
      </c>
      <c r="F274" s="6">
        <v>1273</v>
      </c>
      <c r="G274" s="6">
        <v>169588.36</v>
      </c>
      <c r="H274" s="7">
        <v>39089</v>
      </c>
      <c r="I274" s="6" t="s">
        <v>35</v>
      </c>
      <c r="J274" s="6" t="s">
        <v>602</v>
      </c>
      <c r="K274" s="6" t="s">
        <v>37</v>
      </c>
      <c r="L274" s="6" t="s">
        <v>38</v>
      </c>
      <c r="M274" s="6" t="s">
        <v>39</v>
      </c>
      <c r="N274" s="6">
        <v>3.08</v>
      </c>
      <c r="O274" s="6">
        <v>68</v>
      </c>
    </row>
    <row r="275" spans="1:15" ht="14.25" customHeight="1" x14ac:dyDescent="0.3">
      <c r="A275" s="6" t="s">
        <v>603</v>
      </c>
      <c r="B275" s="6">
        <v>33</v>
      </c>
      <c r="C275" s="6" t="s">
        <v>62</v>
      </c>
      <c r="D275" s="6" t="s">
        <v>17</v>
      </c>
      <c r="E275" s="6" t="s">
        <v>27</v>
      </c>
      <c r="F275" s="6">
        <v>1274</v>
      </c>
      <c r="G275" s="6">
        <v>88571.34</v>
      </c>
      <c r="H275" s="7">
        <v>39654</v>
      </c>
      <c r="I275" s="6" t="s">
        <v>41</v>
      </c>
      <c r="J275" s="6" t="s">
        <v>604</v>
      </c>
      <c r="K275" s="6" t="s">
        <v>43</v>
      </c>
      <c r="L275" s="6" t="s">
        <v>44</v>
      </c>
      <c r="M275" s="6" t="s">
        <v>45</v>
      </c>
      <c r="N275" s="6">
        <v>3.7</v>
      </c>
      <c r="O275" s="6">
        <v>176</v>
      </c>
    </row>
    <row r="276" spans="1:15" ht="14.25" customHeight="1" x14ac:dyDescent="0.3">
      <c r="A276" s="6" t="s">
        <v>605</v>
      </c>
      <c r="B276" s="6">
        <v>44</v>
      </c>
      <c r="C276" s="6" t="s">
        <v>62</v>
      </c>
      <c r="D276" s="6" t="s">
        <v>55</v>
      </c>
      <c r="E276" s="6" t="s">
        <v>18</v>
      </c>
      <c r="F276" s="6">
        <v>1275</v>
      </c>
      <c r="G276" s="6">
        <v>142590.68</v>
      </c>
      <c r="H276" s="7">
        <v>40820</v>
      </c>
      <c r="I276" s="6" t="s">
        <v>49</v>
      </c>
      <c r="J276" s="6" t="s">
        <v>606</v>
      </c>
      <c r="K276" s="6" t="s">
        <v>51</v>
      </c>
      <c r="L276" s="6" t="s">
        <v>52</v>
      </c>
      <c r="M276" s="6" t="s">
        <v>53</v>
      </c>
      <c r="N276" s="6">
        <v>1.07</v>
      </c>
      <c r="O276" s="6">
        <v>76</v>
      </c>
    </row>
    <row r="277" spans="1:15" ht="14.25" customHeight="1" x14ac:dyDescent="0.3">
      <c r="A277" s="6" t="s">
        <v>607</v>
      </c>
      <c r="B277" s="6">
        <v>52</v>
      </c>
      <c r="C277" s="6" t="s">
        <v>62</v>
      </c>
      <c r="D277" s="6" t="s">
        <v>69</v>
      </c>
      <c r="E277" s="6" t="s">
        <v>48</v>
      </c>
      <c r="F277" s="6">
        <v>1276</v>
      </c>
      <c r="G277" s="6">
        <v>109148.24</v>
      </c>
      <c r="H277" s="7">
        <v>42620</v>
      </c>
      <c r="I277" s="6" t="s">
        <v>56</v>
      </c>
      <c r="J277" s="6" t="s">
        <v>608</v>
      </c>
      <c r="K277" s="6" t="s">
        <v>21</v>
      </c>
      <c r="L277" s="6" t="s">
        <v>22</v>
      </c>
      <c r="M277" s="6" t="s">
        <v>23</v>
      </c>
      <c r="N277" s="6">
        <v>1.52</v>
      </c>
      <c r="O277" s="6">
        <v>23</v>
      </c>
    </row>
    <row r="278" spans="1:15" ht="14.25" customHeight="1" x14ac:dyDescent="0.3">
      <c r="A278" s="6" t="s">
        <v>609</v>
      </c>
      <c r="B278" s="6">
        <v>39</v>
      </c>
      <c r="C278" s="6" t="s">
        <v>25</v>
      </c>
      <c r="D278" s="6" t="s">
        <v>47</v>
      </c>
      <c r="E278" s="6" t="s">
        <v>27</v>
      </c>
      <c r="F278" s="6">
        <v>1277</v>
      </c>
      <c r="G278" s="6">
        <v>136160.51</v>
      </c>
      <c r="H278" s="7">
        <v>44582</v>
      </c>
      <c r="I278" s="6" t="s">
        <v>63</v>
      </c>
      <c r="J278" s="6" t="s">
        <v>610</v>
      </c>
      <c r="K278" s="6" t="s">
        <v>30</v>
      </c>
      <c r="L278" s="6" t="s">
        <v>31</v>
      </c>
      <c r="M278" s="6" t="s">
        <v>32</v>
      </c>
      <c r="N278" s="6">
        <v>2.83</v>
      </c>
      <c r="O278" s="6">
        <v>74</v>
      </c>
    </row>
    <row r="279" spans="1:15" ht="14.25" customHeight="1" x14ac:dyDescent="0.3">
      <c r="A279" s="6" t="s">
        <v>611</v>
      </c>
      <c r="B279" s="6">
        <v>28</v>
      </c>
      <c r="C279" s="6" t="s">
        <v>25</v>
      </c>
      <c r="D279" s="6" t="s">
        <v>26</v>
      </c>
      <c r="E279" s="6" t="s">
        <v>48</v>
      </c>
      <c r="F279" s="6">
        <v>1278</v>
      </c>
      <c r="G279" s="6">
        <v>116788.28</v>
      </c>
      <c r="H279" s="7">
        <v>43498</v>
      </c>
      <c r="I279" s="6" t="s">
        <v>66</v>
      </c>
      <c r="J279" s="6" t="s">
        <v>612</v>
      </c>
      <c r="K279" s="6" t="s">
        <v>37</v>
      </c>
      <c r="L279" s="6" t="s">
        <v>38</v>
      </c>
      <c r="M279" s="6" t="s">
        <v>39</v>
      </c>
      <c r="N279" s="6">
        <v>2</v>
      </c>
      <c r="O279" s="6">
        <v>56</v>
      </c>
    </row>
    <row r="280" spans="1:15" ht="14.25" customHeight="1" x14ac:dyDescent="0.3">
      <c r="A280" s="6" t="s">
        <v>613</v>
      </c>
      <c r="B280" s="6">
        <v>29</v>
      </c>
      <c r="C280" s="6" t="s">
        <v>25</v>
      </c>
      <c r="D280" s="6" t="s">
        <v>26</v>
      </c>
      <c r="E280" s="6" t="s">
        <v>18</v>
      </c>
      <c r="F280" s="6">
        <v>1279</v>
      </c>
      <c r="G280" s="6">
        <v>161981.01</v>
      </c>
      <c r="H280" s="7">
        <v>42540</v>
      </c>
      <c r="I280" s="6" t="s">
        <v>70</v>
      </c>
      <c r="J280" s="6" t="s">
        <v>614</v>
      </c>
      <c r="K280" s="6" t="s">
        <v>43</v>
      </c>
      <c r="L280" s="6" t="s">
        <v>44</v>
      </c>
      <c r="M280" s="6" t="s">
        <v>45</v>
      </c>
      <c r="N280" s="6">
        <v>1.4</v>
      </c>
      <c r="O280" s="6">
        <v>18</v>
      </c>
    </row>
    <row r="281" spans="1:15" ht="14.25" customHeight="1" x14ac:dyDescent="0.3">
      <c r="A281" s="6" t="s">
        <v>615</v>
      </c>
      <c r="B281" s="6">
        <v>40</v>
      </c>
      <c r="C281" s="6" t="s">
        <v>25</v>
      </c>
      <c r="D281" s="6" t="s">
        <v>69</v>
      </c>
      <c r="E281" s="6" t="s">
        <v>27</v>
      </c>
      <c r="F281" s="6">
        <v>1280</v>
      </c>
      <c r="G281" s="6">
        <v>103253.23</v>
      </c>
      <c r="H281" s="7">
        <v>38898</v>
      </c>
      <c r="I281" s="6" t="s">
        <v>73</v>
      </c>
      <c r="J281" s="6" t="s">
        <v>616</v>
      </c>
      <c r="K281" s="6" t="s">
        <v>51</v>
      </c>
      <c r="L281" s="6" t="s">
        <v>52</v>
      </c>
      <c r="M281" s="6" t="s">
        <v>53</v>
      </c>
      <c r="N281" s="6">
        <v>3.34</v>
      </c>
      <c r="O281" s="6">
        <v>151</v>
      </c>
    </row>
    <row r="282" spans="1:15" ht="14.25" customHeight="1" x14ac:dyDescent="0.3">
      <c r="A282" s="6" t="s">
        <v>617</v>
      </c>
      <c r="B282" s="6">
        <v>50</v>
      </c>
      <c r="C282" s="6" t="s">
        <v>62</v>
      </c>
      <c r="D282" s="6" t="s">
        <v>47</v>
      </c>
      <c r="E282" s="6" t="s">
        <v>27</v>
      </c>
      <c r="F282" s="6">
        <v>1281</v>
      </c>
      <c r="G282" s="6">
        <v>193535.9</v>
      </c>
      <c r="H282" s="7">
        <v>42922</v>
      </c>
      <c r="I282" s="6" t="s">
        <v>19</v>
      </c>
      <c r="J282" s="6" t="s">
        <v>618</v>
      </c>
      <c r="K282" s="6" t="s">
        <v>21</v>
      </c>
      <c r="L282" s="6" t="s">
        <v>22</v>
      </c>
      <c r="M282" s="6" t="s">
        <v>23</v>
      </c>
      <c r="N282" s="6">
        <v>3.48</v>
      </c>
      <c r="O282" s="6">
        <v>199</v>
      </c>
    </row>
    <row r="283" spans="1:15" ht="14.25" customHeight="1" x14ac:dyDescent="0.3">
      <c r="A283" s="6" t="s">
        <v>619</v>
      </c>
      <c r="B283" s="6">
        <v>41</v>
      </c>
      <c r="C283" s="6" t="s">
        <v>62</v>
      </c>
      <c r="D283" s="6" t="s">
        <v>69</v>
      </c>
      <c r="E283" s="6" t="s">
        <v>27</v>
      </c>
      <c r="F283" s="6">
        <v>1282</v>
      </c>
      <c r="G283" s="6">
        <v>126059.32</v>
      </c>
      <c r="H283" s="7">
        <v>41321</v>
      </c>
      <c r="I283" s="6" t="s">
        <v>28</v>
      </c>
      <c r="J283" s="6" t="s">
        <v>620</v>
      </c>
      <c r="K283" s="6" t="s">
        <v>30</v>
      </c>
      <c r="L283" s="6" t="s">
        <v>31</v>
      </c>
      <c r="M283" s="6" t="s">
        <v>32</v>
      </c>
      <c r="N283" s="6">
        <v>2.0099999999999998</v>
      </c>
      <c r="O283" s="6">
        <v>80</v>
      </c>
    </row>
    <row r="284" spans="1:15" ht="14.25" customHeight="1" x14ac:dyDescent="0.3">
      <c r="A284" s="6" t="s">
        <v>621</v>
      </c>
      <c r="B284" s="6">
        <v>63</v>
      </c>
      <c r="C284" s="6" t="s">
        <v>62</v>
      </c>
      <c r="D284" s="6" t="s">
        <v>26</v>
      </c>
      <c r="E284" s="6" t="s">
        <v>80</v>
      </c>
      <c r="F284" s="6">
        <v>1283</v>
      </c>
      <c r="G284" s="6">
        <v>76570.59</v>
      </c>
      <c r="H284" s="7">
        <v>38789</v>
      </c>
      <c r="I284" s="6" t="s">
        <v>35</v>
      </c>
      <c r="J284" s="6" t="s">
        <v>622</v>
      </c>
      <c r="K284" s="6" t="s">
        <v>37</v>
      </c>
      <c r="L284" s="6" t="s">
        <v>38</v>
      </c>
      <c r="M284" s="6" t="s">
        <v>39</v>
      </c>
      <c r="N284" s="6">
        <v>4.0999999999999996</v>
      </c>
      <c r="O284" s="6">
        <v>104</v>
      </c>
    </row>
    <row r="285" spans="1:15" ht="14.25" customHeight="1" x14ac:dyDescent="0.3">
      <c r="A285" s="6" t="s">
        <v>623</v>
      </c>
      <c r="B285" s="6">
        <v>51</v>
      </c>
      <c r="C285" s="6" t="s">
        <v>25</v>
      </c>
      <c r="D285" s="6" t="s">
        <v>26</v>
      </c>
      <c r="E285" s="6" t="s">
        <v>18</v>
      </c>
      <c r="F285" s="6">
        <v>1284</v>
      </c>
      <c r="G285" s="6">
        <v>149758.34</v>
      </c>
      <c r="H285" s="7">
        <v>41493</v>
      </c>
      <c r="I285" s="6" t="s">
        <v>41</v>
      </c>
      <c r="J285" s="6" t="s">
        <v>624</v>
      </c>
      <c r="K285" s="6" t="s">
        <v>43</v>
      </c>
      <c r="L285" s="6" t="s">
        <v>44</v>
      </c>
      <c r="M285" s="6" t="s">
        <v>45</v>
      </c>
      <c r="N285" s="6">
        <v>4.8</v>
      </c>
      <c r="O285" s="6">
        <v>20</v>
      </c>
    </row>
    <row r="286" spans="1:15" ht="14.25" customHeight="1" x14ac:dyDescent="0.3">
      <c r="A286" s="6" t="s">
        <v>625</v>
      </c>
      <c r="B286" s="6">
        <v>43</v>
      </c>
      <c r="C286" s="6" t="s">
        <v>25</v>
      </c>
      <c r="D286" s="6" t="s">
        <v>69</v>
      </c>
      <c r="E286" s="6" t="s">
        <v>48</v>
      </c>
      <c r="F286" s="6">
        <v>1285</v>
      </c>
      <c r="G286" s="6">
        <v>108352.06</v>
      </c>
      <c r="H286" s="7">
        <v>41908</v>
      </c>
      <c r="I286" s="6" t="s">
        <v>49</v>
      </c>
      <c r="J286" s="6" t="s">
        <v>626</v>
      </c>
      <c r="K286" s="6" t="s">
        <v>51</v>
      </c>
      <c r="L286" s="6" t="s">
        <v>52</v>
      </c>
      <c r="M286" s="6" t="s">
        <v>53</v>
      </c>
      <c r="N286" s="6">
        <v>1.3</v>
      </c>
      <c r="O286" s="6">
        <v>91</v>
      </c>
    </row>
    <row r="287" spans="1:15" ht="14.25" customHeight="1" x14ac:dyDescent="0.3">
      <c r="A287" s="6" t="s">
        <v>627</v>
      </c>
      <c r="B287" s="6">
        <v>31</v>
      </c>
      <c r="C287" s="6" t="s">
        <v>62</v>
      </c>
      <c r="D287" s="6" t="s">
        <v>55</v>
      </c>
      <c r="E287" s="6" t="s">
        <v>48</v>
      </c>
      <c r="F287" s="6">
        <v>1286</v>
      </c>
      <c r="G287" s="6">
        <v>57802.47</v>
      </c>
      <c r="H287" s="7">
        <v>44482</v>
      </c>
      <c r="I287" s="6" t="s">
        <v>56</v>
      </c>
      <c r="J287" s="6" t="s">
        <v>628</v>
      </c>
      <c r="K287" s="6" t="s">
        <v>21</v>
      </c>
      <c r="L287" s="6" t="s">
        <v>22</v>
      </c>
      <c r="M287" s="6" t="s">
        <v>23</v>
      </c>
      <c r="N287" s="6">
        <v>4.5999999999999996</v>
      </c>
      <c r="O287" s="6">
        <v>88</v>
      </c>
    </row>
    <row r="288" spans="1:15" ht="14.25" customHeight="1" x14ac:dyDescent="0.3">
      <c r="A288" s="6" t="s">
        <v>629</v>
      </c>
      <c r="B288" s="6">
        <v>47</v>
      </c>
      <c r="C288" s="6" t="s">
        <v>16</v>
      </c>
      <c r="D288" s="6" t="s">
        <v>17</v>
      </c>
      <c r="E288" s="6" t="s">
        <v>27</v>
      </c>
      <c r="F288" s="6">
        <v>1287</v>
      </c>
      <c r="G288" s="6">
        <v>97920.11</v>
      </c>
      <c r="H288" s="7">
        <v>39831</v>
      </c>
      <c r="I288" s="6" t="s">
        <v>63</v>
      </c>
      <c r="J288" s="6" t="s">
        <v>630</v>
      </c>
      <c r="K288" s="6" t="s">
        <v>30</v>
      </c>
      <c r="L288" s="6" t="s">
        <v>31</v>
      </c>
      <c r="M288" s="6" t="s">
        <v>32</v>
      </c>
      <c r="N288" s="6">
        <v>4.4400000000000004</v>
      </c>
      <c r="O288" s="6">
        <v>108</v>
      </c>
    </row>
    <row r="289" spans="1:15" ht="14.25" customHeight="1" x14ac:dyDescent="0.3">
      <c r="A289" s="6" t="s">
        <v>631</v>
      </c>
      <c r="B289" s="6">
        <v>54</v>
      </c>
      <c r="C289" s="6" t="s">
        <v>62</v>
      </c>
      <c r="D289" s="6" t="s">
        <v>69</v>
      </c>
      <c r="E289" s="6" t="s">
        <v>34</v>
      </c>
      <c r="F289" s="6">
        <v>1288</v>
      </c>
      <c r="G289" s="6">
        <v>177253.69</v>
      </c>
      <c r="H289" s="7">
        <v>38383</v>
      </c>
      <c r="I289" s="6" t="s">
        <v>66</v>
      </c>
      <c r="J289" s="6" t="s">
        <v>632</v>
      </c>
      <c r="K289" s="6" t="s">
        <v>37</v>
      </c>
      <c r="L289" s="6" t="s">
        <v>38</v>
      </c>
      <c r="M289" s="6" t="s">
        <v>39</v>
      </c>
      <c r="N289" s="6">
        <v>2.56</v>
      </c>
      <c r="O289" s="6">
        <v>60</v>
      </c>
    </row>
    <row r="290" spans="1:15" ht="14.25" customHeight="1" x14ac:dyDescent="0.3">
      <c r="A290" s="6" t="s">
        <v>633</v>
      </c>
      <c r="B290" s="6">
        <v>49</v>
      </c>
      <c r="C290" s="6" t="s">
        <v>25</v>
      </c>
      <c r="D290" s="6" t="s">
        <v>55</v>
      </c>
      <c r="E290" s="6" t="s">
        <v>34</v>
      </c>
      <c r="F290" s="6">
        <v>1289</v>
      </c>
      <c r="G290" s="6">
        <v>122504.48</v>
      </c>
      <c r="H290" s="7">
        <v>40546</v>
      </c>
      <c r="I290" s="6" t="s">
        <v>70</v>
      </c>
      <c r="J290" s="6" t="s">
        <v>634</v>
      </c>
      <c r="K290" s="6" t="s">
        <v>43</v>
      </c>
      <c r="L290" s="6" t="s">
        <v>44</v>
      </c>
      <c r="M290" s="6" t="s">
        <v>45</v>
      </c>
      <c r="N290" s="6">
        <v>2.6</v>
      </c>
      <c r="O290" s="6">
        <v>115</v>
      </c>
    </row>
    <row r="291" spans="1:15" ht="14.25" customHeight="1" x14ac:dyDescent="0.3">
      <c r="A291" s="6" t="s">
        <v>635</v>
      </c>
      <c r="B291" s="6">
        <v>31</v>
      </c>
      <c r="C291" s="6" t="s">
        <v>25</v>
      </c>
      <c r="D291" s="6" t="s">
        <v>47</v>
      </c>
      <c r="E291" s="6" t="s">
        <v>80</v>
      </c>
      <c r="F291" s="6">
        <v>1290</v>
      </c>
      <c r="G291" s="6">
        <v>111005.18</v>
      </c>
      <c r="H291" s="7">
        <v>41301</v>
      </c>
      <c r="I291" s="6" t="s">
        <v>73</v>
      </c>
      <c r="J291" s="6" t="s">
        <v>636</v>
      </c>
      <c r="K291" s="6" t="s">
        <v>51</v>
      </c>
      <c r="L291" s="6" t="s">
        <v>52</v>
      </c>
      <c r="M291" s="6" t="s">
        <v>53</v>
      </c>
      <c r="N291" s="6">
        <v>3.41</v>
      </c>
      <c r="O291" s="6">
        <v>85</v>
      </c>
    </row>
    <row r="292" spans="1:15" ht="14.25" customHeight="1" x14ac:dyDescent="0.3">
      <c r="A292" s="6" t="s">
        <v>637</v>
      </c>
      <c r="B292" s="6">
        <v>50</v>
      </c>
      <c r="C292" s="6" t="s">
        <v>62</v>
      </c>
      <c r="D292" s="6" t="s">
        <v>26</v>
      </c>
      <c r="E292" s="6" t="s">
        <v>48</v>
      </c>
      <c r="F292" s="6">
        <v>1291</v>
      </c>
      <c r="G292" s="6">
        <v>186870.01</v>
      </c>
      <c r="H292" s="7">
        <v>44617</v>
      </c>
      <c r="I292" s="6" t="s">
        <v>19</v>
      </c>
      <c r="J292" s="6" t="s">
        <v>638</v>
      </c>
      <c r="K292" s="6" t="s">
        <v>21</v>
      </c>
      <c r="L292" s="6" t="s">
        <v>22</v>
      </c>
      <c r="M292" s="6" t="s">
        <v>23</v>
      </c>
      <c r="N292" s="6">
        <v>3.94</v>
      </c>
      <c r="O292" s="6">
        <v>178</v>
      </c>
    </row>
    <row r="293" spans="1:15" ht="14.25" customHeight="1" x14ac:dyDescent="0.3">
      <c r="A293" s="6" t="s">
        <v>639</v>
      </c>
      <c r="B293" s="6">
        <v>39</v>
      </c>
      <c r="C293" s="6" t="s">
        <v>16</v>
      </c>
      <c r="D293" s="6" t="s">
        <v>26</v>
      </c>
      <c r="E293" s="6" t="s">
        <v>27</v>
      </c>
      <c r="F293" s="6">
        <v>1292</v>
      </c>
      <c r="G293" s="6">
        <v>144259.57</v>
      </c>
      <c r="H293" s="7">
        <v>42779</v>
      </c>
      <c r="I293" s="6" t="s">
        <v>28</v>
      </c>
      <c r="J293" s="6" t="s">
        <v>640</v>
      </c>
      <c r="K293" s="6" t="s">
        <v>30</v>
      </c>
      <c r="L293" s="6" t="s">
        <v>31</v>
      </c>
      <c r="M293" s="6" t="s">
        <v>32</v>
      </c>
      <c r="N293" s="6">
        <v>1.92</v>
      </c>
      <c r="O293" s="6">
        <v>182</v>
      </c>
    </row>
    <row r="294" spans="1:15" ht="14.25" customHeight="1" x14ac:dyDescent="0.3">
      <c r="A294" s="6" t="s">
        <v>641</v>
      </c>
      <c r="B294" s="6">
        <v>63</v>
      </c>
      <c r="C294" s="6" t="s">
        <v>16</v>
      </c>
      <c r="D294" s="6" t="s">
        <v>69</v>
      </c>
      <c r="E294" s="6" t="s">
        <v>80</v>
      </c>
      <c r="F294" s="6">
        <v>1293</v>
      </c>
      <c r="G294" s="6">
        <v>102472.05</v>
      </c>
      <c r="H294" s="7">
        <v>38191</v>
      </c>
      <c r="I294" s="6" t="s">
        <v>35</v>
      </c>
      <c r="J294" s="6" t="s">
        <v>642</v>
      </c>
      <c r="K294" s="6" t="s">
        <v>37</v>
      </c>
      <c r="L294" s="6" t="s">
        <v>38</v>
      </c>
      <c r="M294" s="6" t="s">
        <v>39</v>
      </c>
      <c r="N294" s="6">
        <v>2.0499999999999998</v>
      </c>
      <c r="O294" s="6">
        <v>174</v>
      </c>
    </row>
    <row r="295" spans="1:15" ht="14.25" customHeight="1" x14ac:dyDescent="0.3">
      <c r="A295" s="6" t="s">
        <v>643</v>
      </c>
      <c r="B295" s="6">
        <v>22</v>
      </c>
      <c r="C295" s="6" t="s">
        <v>25</v>
      </c>
      <c r="D295" s="6" t="s">
        <v>47</v>
      </c>
      <c r="E295" s="6" t="s">
        <v>27</v>
      </c>
      <c r="F295" s="6">
        <v>1294</v>
      </c>
      <c r="G295" s="6">
        <v>133219.37</v>
      </c>
      <c r="H295" s="7">
        <v>41621</v>
      </c>
      <c r="I295" s="6" t="s">
        <v>41</v>
      </c>
      <c r="J295" s="6" t="s">
        <v>644</v>
      </c>
      <c r="K295" s="6" t="s">
        <v>43</v>
      </c>
      <c r="L295" s="6" t="s">
        <v>44</v>
      </c>
      <c r="M295" s="6" t="s">
        <v>45</v>
      </c>
      <c r="N295" s="6">
        <v>3.59</v>
      </c>
      <c r="O295" s="6">
        <v>173</v>
      </c>
    </row>
    <row r="296" spans="1:15" ht="14.25" customHeight="1" x14ac:dyDescent="0.3">
      <c r="A296" s="6" t="s">
        <v>645</v>
      </c>
      <c r="B296" s="6">
        <v>44</v>
      </c>
      <c r="C296" s="6" t="s">
        <v>25</v>
      </c>
      <c r="D296" s="6" t="s">
        <v>69</v>
      </c>
      <c r="E296" s="6" t="s">
        <v>48</v>
      </c>
      <c r="F296" s="6">
        <v>1295</v>
      </c>
      <c r="G296" s="6">
        <v>113566.08</v>
      </c>
      <c r="H296" s="7">
        <v>40113</v>
      </c>
      <c r="I296" s="6" t="s">
        <v>49</v>
      </c>
      <c r="J296" s="6" t="s">
        <v>646</v>
      </c>
      <c r="K296" s="6" t="s">
        <v>51</v>
      </c>
      <c r="L296" s="6" t="s">
        <v>52</v>
      </c>
      <c r="M296" s="6" t="s">
        <v>53</v>
      </c>
      <c r="N296" s="6">
        <v>3.49</v>
      </c>
      <c r="O296" s="6">
        <v>172</v>
      </c>
    </row>
    <row r="297" spans="1:15" ht="14.25" customHeight="1" x14ac:dyDescent="0.3">
      <c r="A297" s="6" t="s">
        <v>647</v>
      </c>
      <c r="B297" s="6">
        <v>38</v>
      </c>
      <c r="C297" s="6" t="s">
        <v>25</v>
      </c>
      <c r="D297" s="6" t="s">
        <v>17</v>
      </c>
      <c r="E297" s="6" t="s">
        <v>34</v>
      </c>
      <c r="F297" s="6">
        <v>1296</v>
      </c>
      <c r="G297" s="6">
        <v>98288.22</v>
      </c>
      <c r="H297" s="7">
        <v>38082</v>
      </c>
      <c r="I297" s="6" t="s">
        <v>56</v>
      </c>
      <c r="J297" s="6" t="s">
        <v>648</v>
      </c>
      <c r="K297" s="6" t="s">
        <v>21</v>
      </c>
      <c r="L297" s="6" t="s">
        <v>22</v>
      </c>
      <c r="M297" s="6" t="s">
        <v>23</v>
      </c>
      <c r="N297" s="6">
        <v>2.77</v>
      </c>
      <c r="O297" s="6">
        <v>98</v>
      </c>
    </row>
    <row r="298" spans="1:15" ht="14.25" customHeight="1" x14ac:dyDescent="0.3">
      <c r="A298" s="6" t="s">
        <v>649</v>
      </c>
      <c r="B298" s="6">
        <v>64</v>
      </c>
      <c r="C298" s="6" t="s">
        <v>62</v>
      </c>
      <c r="D298" s="6" t="s">
        <v>69</v>
      </c>
      <c r="E298" s="6" t="s">
        <v>18</v>
      </c>
      <c r="F298" s="6">
        <v>1297</v>
      </c>
      <c r="G298" s="6">
        <v>140831.62</v>
      </c>
      <c r="H298" s="7">
        <v>41731</v>
      </c>
      <c r="I298" s="6" t="s">
        <v>63</v>
      </c>
      <c r="J298" s="6" t="s">
        <v>650</v>
      </c>
      <c r="K298" s="6" t="s">
        <v>30</v>
      </c>
      <c r="L298" s="6" t="s">
        <v>31</v>
      </c>
      <c r="M298" s="6" t="s">
        <v>32</v>
      </c>
      <c r="N298" s="6">
        <v>3.9</v>
      </c>
      <c r="O298" s="6">
        <v>1</v>
      </c>
    </row>
    <row r="299" spans="1:15" ht="14.25" customHeight="1" x14ac:dyDescent="0.3">
      <c r="A299" s="6" t="s">
        <v>651</v>
      </c>
      <c r="B299" s="6">
        <v>58</v>
      </c>
      <c r="C299" s="6" t="s">
        <v>25</v>
      </c>
      <c r="D299" s="6" t="s">
        <v>26</v>
      </c>
      <c r="E299" s="6" t="s">
        <v>18</v>
      </c>
      <c r="F299" s="6">
        <v>1298</v>
      </c>
      <c r="G299" s="6">
        <v>197069.33</v>
      </c>
      <c r="H299" s="7">
        <v>38782</v>
      </c>
      <c r="I299" s="6" t="s">
        <v>66</v>
      </c>
      <c r="J299" s="6" t="s">
        <v>652</v>
      </c>
      <c r="K299" s="6" t="s">
        <v>37</v>
      </c>
      <c r="L299" s="6" t="s">
        <v>38</v>
      </c>
      <c r="M299" s="6" t="s">
        <v>39</v>
      </c>
      <c r="N299" s="6">
        <v>1.68</v>
      </c>
      <c r="O299" s="6">
        <v>107</v>
      </c>
    </row>
    <row r="300" spans="1:15" ht="14.25" customHeight="1" x14ac:dyDescent="0.3">
      <c r="A300" s="6" t="s">
        <v>653</v>
      </c>
      <c r="B300" s="6">
        <v>52</v>
      </c>
      <c r="C300" s="6" t="s">
        <v>25</v>
      </c>
      <c r="D300" s="6" t="s">
        <v>26</v>
      </c>
      <c r="E300" s="6" t="s">
        <v>27</v>
      </c>
      <c r="F300" s="6">
        <v>1299</v>
      </c>
      <c r="G300" s="6">
        <v>107681.22</v>
      </c>
      <c r="H300" s="7">
        <v>39480</v>
      </c>
      <c r="I300" s="6" t="s">
        <v>70</v>
      </c>
      <c r="J300" s="6" t="s">
        <v>654</v>
      </c>
      <c r="K300" s="6" t="s">
        <v>43</v>
      </c>
      <c r="L300" s="6" t="s">
        <v>44</v>
      </c>
      <c r="M300" s="6" t="s">
        <v>45</v>
      </c>
      <c r="N300" s="6">
        <v>4.7</v>
      </c>
      <c r="O300" s="6">
        <v>93</v>
      </c>
    </row>
    <row r="301" spans="1:15" ht="14.25" customHeight="1" x14ac:dyDescent="0.3">
      <c r="A301" s="6" t="s">
        <v>655</v>
      </c>
      <c r="B301" s="6">
        <v>46</v>
      </c>
      <c r="C301" s="6" t="s">
        <v>25</v>
      </c>
      <c r="D301" s="6" t="s">
        <v>55</v>
      </c>
      <c r="E301" s="6" t="s">
        <v>80</v>
      </c>
      <c r="F301" s="6">
        <v>1300</v>
      </c>
      <c r="G301" s="6">
        <v>57746.52</v>
      </c>
      <c r="H301" s="7">
        <v>38638</v>
      </c>
      <c r="I301" s="6" t="s">
        <v>73</v>
      </c>
      <c r="J301" s="6" t="s">
        <v>656</v>
      </c>
      <c r="K301" s="6" t="s">
        <v>51</v>
      </c>
      <c r="L301" s="6" t="s">
        <v>52</v>
      </c>
      <c r="M301" s="6" t="s">
        <v>53</v>
      </c>
      <c r="N301" s="6">
        <v>3.62</v>
      </c>
      <c r="O301" s="6">
        <v>136</v>
      </c>
    </row>
    <row r="302" spans="1:15" ht="14.25" customHeight="1" x14ac:dyDescent="0.3">
      <c r="A302" s="6" t="s">
        <v>657</v>
      </c>
      <c r="B302" s="6">
        <v>25</v>
      </c>
      <c r="C302" s="6" t="s">
        <v>16</v>
      </c>
      <c r="D302" s="6" t="s">
        <v>17</v>
      </c>
      <c r="E302" s="6" t="s">
        <v>18</v>
      </c>
      <c r="F302" s="6">
        <v>1301</v>
      </c>
      <c r="G302" s="6">
        <v>103918.72</v>
      </c>
      <c r="H302" s="7">
        <v>41611</v>
      </c>
      <c r="I302" s="6" t="s">
        <v>19</v>
      </c>
      <c r="J302" s="6" t="s">
        <v>658</v>
      </c>
      <c r="K302" s="6" t="s">
        <v>21</v>
      </c>
      <c r="L302" s="6" t="s">
        <v>22</v>
      </c>
      <c r="M302" s="6" t="s">
        <v>23</v>
      </c>
      <c r="N302" s="6">
        <v>1.88</v>
      </c>
      <c r="O302" s="6">
        <v>14</v>
      </c>
    </row>
    <row r="303" spans="1:15" ht="14.25" customHeight="1" x14ac:dyDescent="0.3">
      <c r="A303" s="6" t="s">
        <v>659</v>
      </c>
      <c r="B303" s="6">
        <v>30</v>
      </c>
      <c r="C303" s="6" t="s">
        <v>16</v>
      </c>
      <c r="D303" s="6" t="s">
        <v>55</v>
      </c>
      <c r="E303" s="6" t="s">
        <v>80</v>
      </c>
      <c r="F303" s="6">
        <v>1302</v>
      </c>
      <c r="G303" s="6">
        <v>83447.59</v>
      </c>
      <c r="H303" s="7">
        <v>37174</v>
      </c>
      <c r="I303" s="6" t="s">
        <v>28</v>
      </c>
      <c r="J303" s="6" t="s">
        <v>660</v>
      </c>
      <c r="K303" s="6" t="s">
        <v>30</v>
      </c>
      <c r="L303" s="6" t="s">
        <v>31</v>
      </c>
      <c r="M303" s="6" t="s">
        <v>32</v>
      </c>
      <c r="N303" s="6">
        <v>4.41</v>
      </c>
      <c r="O303" s="6">
        <v>91</v>
      </c>
    </row>
    <row r="304" spans="1:15" ht="14.25" customHeight="1" x14ac:dyDescent="0.3">
      <c r="A304" s="6" t="s">
        <v>661</v>
      </c>
      <c r="B304" s="6">
        <v>49</v>
      </c>
      <c r="C304" s="6" t="s">
        <v>25</v>
      </c>
      <c r="D304" s="6" t="s">
        <v>17</v>
      </c>
      <c r="E304" s="6" t="s">
        <v>48</v>
      </c>
      <c r="F304" s="6">
        <v>1303</v>
      </c>
      <c r="G304" s="6">
        <v>101062.39999999999</v>
      </c>
      <c r="H304" s="7">
        <v>36630</v>
      </c>
      <c r="I304" s="6" t="s">
        <v>35</v>
      </c>
      <c r="J304" s="6" t="s">
        <v>662</v>
      </c>
      <c r="K304" s="6" t="s">
        <v>37</v>
      </c>
      <c r="L304" s="6" t="s">
        <v>38</v>
      </c>
      <c r="M304" s="6" t="s">
        <v>39</v>
      </c>
      <c r="N304" s="6">
        <v>1.89</v>
      </c>
      <c r="O304" s="6">
        <v>69</v>
      </c>
    </row>
    <row r="305" spans="1:15" ht="14.25" customHeight="1" x14ac:dyDescent="0.3">
      <c r="A305" s="6" t="s">
        <v>663</v>
      </c>
      <c r="B305" s="6">
        <v>51</v>
      </c>
      <c r="C305" s="6" t="s">
        <v>16</v>
      </c>
      <c r="D305" s="6" t="s">
        <v>26</v>
      </c>
      <c r="E305" s="6" t="s">
        <v>27</v>
      </c>
      <c r="F305" s="6">
        <v>1304</v>
      </c>
      <c r="G305" s="6">
        <v>126103.43</v>
      </c>
      <c r="H305" s="7">
        <v>43954</v>
      </c>
      <c r="I305" s="6" t="s">
        <v>41</v>
      </c>
      <c r="J305" s="6" t="s">
        <v>664</v>
      </c>
      <c r="K305" s="6" t="s">
        <v>43</v>
      </c>
      <c r="L305" s="6" t="s">
        <v>44</v>
      </c>
      <c r="M305" s="6" t="s">
        <v>45</v>
      </c>
      <c r="N305" s="6">
        <v>4.21</v>
      </c>
      <c r="O305" s="6">
        <v>110</v>
      </c>
    </row>
    <row r="306" spans="1:15" ht="14.25" customHeight="1" x14ac:dyDescent="0.3">
      <c r="A306" s="6" t="s">
        <v>665</v>
      </c>
      <c r="B306" s="6">
        <v>45</v>
      </c>
      <c r="C306" s="6" t="s">
        <v>16</v>
      </c>
      <c r="D306" s="6" t="s">
        <v>69</v>
      </c>
      <c r="E306" s="6" t="s">
        <v>80</v>
      </c>
      <c r="F306" s="6">
        <v>1305</v>
      </c>
      <c r="G306" s="6">
        <v>60969.99</v>
      </c>
      <c r="H306" s="7">
        <v>40113</v>
      </c>
      <c r="I306" s="6" t="s">
        <v>49</v>
      </c>
      <c r="J306" s="6" t="s">
        <v>666</v>
      </c>
      <c r="K306" s="6" t="s">
        <v>51</v>
      </c>
      <c r="L306" s="6" t="s">
        <v>52</v>
      </c>
      <c r="M306" s="6" t="s">
        <v>53</v>
      </c>
      <c r="N306" s="6">
        <v>4.5</v>
      </c>
      <c r="O306" s="6">
        <v>98</v>
      </c>
    </row>
    <row r="307" spans="1:15" ht="14.25" customHeight="1" x14ac:dyDescent="0.3">
      <c r="A307" s="6" t="s">
        <v>667</v>
      </c>
      <c r="B307" s="6">
        <v>54</v>
      </c>
      <c r="C307" s="6" t="s">
        <v>16</v>
      </c>
      <c r="D307" s="6" t="s">
        <v>26</v>
      </c>
      <c r="E307" s="6" t="s">
        <v>27</v>
      </c>
      <c r="F307" s="6">
        <v>1306</v>
      </c>
      <c r="G307" s="6">
        <v>63775.95</v>
      </c>
      <c r="H307" s="7">
        <v>42992</v>
      </c>
      <c r="I307" s="6" t="s">
        <v>56</v>
      </c>
      <c r="J307" s="6" t="s">
        <v>668</v>
      </c>
      <c r="K307" s="6" t="s">
        <v>21</v>
      </c>
      <c r="L307" s="6" t="s">
        <v>22</v>
      </c>
      <c r="M307" s="6" t="s">
        <v>23</v>
      </c>
      <c r="N307" s="6">
        <v>1.59</v>
      </c>
      <c r="O307" s="6">
        <v>175</v>
      </c>
    </row>
    <row r="308" spans="1:15" ht="14.25" customHeight="1" x14ac:dyDescent="0.3">
      <c r="A308" s="6" t="s">
        <v>669</v>
      </c>
      <c r="B308" s="6">
        <v>41</v>
      </c>
      <c r="C308" s="6" t="s">
        <v>16</v>
      </c>
      <c r="D308" s="6" t="s">
        <v>55</v>
      </c>
      <c r="E308" s="6" t="s">
        <v>18</v>
      </c>
      <c r="F308" s="6">
        <v>1307</v>
      </c>
      <c r="G308" s="6">
        <v>134329.53</v>
      </c>
      <c r="H308" s="7">
        <v>37811</v>
      </c>
      <c r="I308" s="6" t="s">
        <v>63</v>
      </c>
      <c r="J308" s="6" t="s">
        <v>670</v>
      </c>
      <c r="K308" s="6" t="s">
        <v>30</v>
      </c>
      <c r="L308" s="6" t="s">
        <v>31</v>
      </c>
      <c r="M308" s="6" t="s">
        <v>32</v>
      </c>
      <c r="N308" s="6">
        <v>1.71</v>
      </c>
      <c r="O308" s="6">
        <v>10</v>
      </c>
    </row>
    <row r="309" spans="1:15" ht="14.25" customHeight="1" x14ac:dyDescent="0.3">
      <c r="A309" s="6" t="s">
        <v>671</v>
      </c>
      <c r="B309" s="6">
        <v>30</v>
      </c>
      <c r="C309" s="6" t="s">
        <v>62</v>
      </c>
      <c r="D309" s="6" t="s">
        <v>55</v>
      </c>
      <c r="E309" s="6" t="s">
        <v>34</v>
      </c>
      <c r="F309" s="6">
        <v>1308</v>
      </c>
      <c r="G309" s="6">
        <v>180356.76</v>
      </c>
      <c r="H309" s="7">
        <v>39392</v>
      </c>
      <c r="I309" s="6" t="s">
        <v>66</v>
      </c>
      <c r="J309" s="6" t="s">
        <v>672</v>
      </c>
      <c r="K309" s="6" t="s">
        <v>37</v>
      </c>
      <c r="L309" s="6" t="s">
        <v>38</v>
      </c>
      <c r="M309" s="6" t="s">
        <v>39</v>
      </c>
      <c r="N309" s="6">
        <v>3.07</v>
      </c>
      <c r="O309" s="6">
        <v>71</v>
      </c>
    </row>
    <row r="310" spans="1:15" ht="14.25" customHeight="1" x14ac:dyDescent="0.3">
      <c r="A310" s="6" t="s">
        <v>673</v>
      </c>
      <c r="B310" s="6">
        <v>29</v>
      </c>
      <c r="C310" s="6" t="s">
        <v>16</v>
      </c>
      <c r="D310" s="6" t="s">
        <v>69</v>
      </c>
      <c r="E310" s="6" t="s">
        <v>48</v>
      </c>
      <c r="F310" s="6">
        <v>1309</v>
      </c>
      <c r="G310" s="6">
        <v>119810.78</v>
      </c>
      <c r="H310" s="7">
        <v>43121</v>
      </c>
      <c r="I310" s="6" t="s">
        <v>70</v>
      </c>
      <c r="J310" s="6" t="s">
        <v>674</v>
      </c>
      <c r="K310" s="6" t="s">
        <v>43</v>
      </c>
      <c r="L310" s="6" t="s">
        <v>44</v>
      </c>
      <c r="M310" s="6" t="s">
        <v>45</v>
      </c>
      <c r="N310" s="6">
        <v>4.74</v>
      </c>
      <c r="O310" s="6">
        <v>166</v>
      </c>
    </row>
    <row r="311" spans="1:15" ht="14.25" customHeight="1" x14ac:dyDescent="0.3">
      <c r="A311" s="6" t="s">
        <v>675</v>
      </c>
      <c r="B311" s="6">
        <v>45</v>
      </c>
      <c r="C311" s="6" t="s">
        <v>16</v>
      </c>
      <c r="D311" s="6" t="s">
        <v>47</v>
      </c>
      <c r="E311" s="6" t="s">
        <v>18</v>
      </c>
      <c r="F311" s="6">
        <v>1310</v>
      </c>
      <c r="G311" s="6">
        <v>77884.77</v>
      </c>
      <c r="H311" s="7">
        <v>40213</v>
      </c>
      <c r="I311" s="6" t="s">
        <v>73</v>
      </c>
      <c r="J311" s="6" t="s">
        <v>676</v>
      </c>
      <c r="K311" s="6" t="s">
        <v>51</v>
      </c>
      <c r="L311" s="6" t="s">
        <v>52</v>
      </c>
      <c r="M311" s="6" t="s">
        <v>53</v>
      </c>
      <c r="N311" s="6">
        <v>3.3</v>
      </c>
      <c r="O311" s="6">
        <v>36</v>
      </c>
    </row>
    <row r="312" spans="1:15" ht="14.25" customHeight="1" x14ac:dyDescent="0.3">
      <c r="A312" s="6" t="s">
        <v>677</v>
      </c>
      <c r="B312" s="6">
        <v>35</v>
      </c>
      <c r="C312" s="6" t="s">
        <v>16</v>
      </c>
      <c r="D312" s="6" t="s">
        <v>26</v>
      </c>
      <c r="E312" s="6" t="s">
        <v>27</v>
      </c>
      <c r="F312" s="6">
        <v>1311</v>
      </c>
      <c r="G312" s="6">
        <v>189165.58</v>
      </c>
      <c r="H312" s="7">
        <v>44681</v>
      </c>
      <c r="I312" s="6" t="s">
        <v>19</v>
      </c>
      <c r="J312" s="6" t="s">
        <v>678</v>
      </c>
      <c r="K312" s="6" t="s">
        <v>21</v>
      </c>
      <c r="L312" s="6" t="s">
        <v>22</v>
      </c>
      <c r="M312" s="6" t="s">
        <v>23</v>
      </c>
      <c r="N312" s="6">
        <v>3.15</v>
      </c>
      <c r="O312" s="6">
        <v>15</v>
      </c>
    </row>
    <row r="313" spans="1:15" ht="14.25" customHeight="1" x14ac:dyDescent="0.3">
      <c r="A313" s="6" t="s">
        <v>679</v>
      </c>
      <c r="B313" s="6">
        <v>39</v>
      </c>
      <c r="C313" s="6" t="s">
        <v>16</v>
      </c>
      <c r="D313" s="6" t="s">
        <v>55</v>
      </c>
      <c r="E313" s="6" t="s">
        <v>80</v>
      </c>
      <c r="F313" s="6">
        <v>1312</v>
      </c>
      <c r="G313" s="6">
        <v>146767.25</v>
      </c>
      <c r="H313" s="7">
        <v>37634</v>
      </c>
      <c r="I313" s="6" t="s">
        <v>28</v>
      </c>
      <c r="J313" s="6" t="s">
        <v>680</v>
      </c>
      <c r="K313" s="6" t="s">
        <v>30</v>
      </c>
      <c r="L313" s="6" t="s">
        <v>31</v>
      </c>
      <c r="M313" s="6" t="s">
        <v>32</v>
      </c>
      <c r="N313" s="6">
        <v>5</v>
      </c>
      <c r="O313" s="6">
        <v>147</v>
      </c>
    </row>
    <row r="314" spans="1:15" ht="14.25" customHeight="1" x14ac:dyDescent="0.3">
      <c r="A314" s="6" t="s">
        <v>681</v>
      </c>
      <c r="B314" s="6">
        <v>22</v>
      </c>
      <c r="C314" s="6" t="s">
        <v>62</v>
      </c>
      <c r="D314" s="6" t="s">
        <v>47</v>
      </c>
      <c r="E314" s="6" t="s">
        <v>27</v>
      </c>
      <c r="F314" s="6">
        <v>1313</v>
      </c>
      <c r="G314" s="6">
        <v>144878.19</v>
      </c>
      <c r="H314" s="7">
        <v>39093</v>
      </c>
      <c r="I314" s="6" t="s">
        <v>35</v>
      </c>
      <c r="J314" s="6" t="s">
        <v>682</v>
      </c>
      <c r="K314" s="6" t="s">
        <v>37</v>
      </c>
      <c r="L314" s="6" t="s">
        <v>38</v>
      </c>
      <c r="M314" s="6" t="s">
        <v>39</v>
      </c>
      <c r="N314" s="6">
        <v>4.13</v>
      </c>
      <c r="O314" s="6">
        <v>53</v>
      </c>
    </row>
    <row r="315" spans="1:15" ht="14.25" customHeight="1" x14ac:dyDescent="0.3">
      <c r="A315" s="6" t="s">
        <v>683</v>
      </c>
      <c r="B315" s="6">
        <v>33</v>
      </c>
      <c r="C315" s="6" t="s">
        <v>62</v>
      </c>
      <c r="D315" s="6" t="s">
        <v>47</v>
      </c>
      <c r="E315" s="6" t="s">
        <v>80</v>
      </c>
      <c r="F315" s="6">
        <v>1314</v>
      </c>
      <c r="G315" s="6">
        <v>169606.33</v>
      </c>
      <c r="H315" s="7">
        <v>42244</v>
      </c>
      <c r="I315" s="6" t="s">
        <v>41</v>
      </c>
      <c r="J315" s="6" t="s">
        <v>684</v>
      </c>
      <c r="K315" s="6" t="s">
        <v>43</v>
      </c>
      <c r="L315" s="6" t="s">
        <v>44</v>
      </c>
      <c r="M315" s="6" t="s">
        <v>45</v>
      </c>
      <c r="N315" s="6">
        <v>3.63</v>
      </c>
      <c r="O315" s="6">
        <v>160</v>
      </c>
    </row>
    <row r="316" spans="1:15" ht="14.25" customHeight="1" x14ac:dyDescent="0.3">
      <c r="A316" s="6" t="s">
        <v>685</v>
      </c>
      <c r="B316" s="6">
        <v>50</v>
      </c>
      <c r="C316" s="6" t="s">
        <v>25</v>
      </c>
      <c r="D316" s="6" t="s">
        <v>26</v>
      </c>
      <c r="E316" s="6" t="s">
        <v>27</v>
      </c>
      <c r="F316" s="6">
        <v>1315</v>
      </c>
      <c r="G316" s="6">
        <v>127384</v>
      </c>
      <c r="H316" s="7">
        <v>40629</v>
      </c>
      <c r="I316" s="6" t="s">
        <v>49</v>
      </c>
      <c r="J316" s="6" t="s">
        <v>686</v>
      </c>
      <c r="K316" s="6" t="s">
        <v>51</v>
      </c>
      <c r="L316" s="6" t="s">
        <v>52</v>
      </c>
      <c r="M316" s="6" t="s">
        <v>53</v>
      </c>
      <c r="N316" s="6">
        <v>2.88</v>
      </c>
      <c r="O316" s="6">
        <v>142</v>
      </c>
    </row>
    <row r="317" spans="1:15" ht="14.25" customHeight="1" x14ac:dyDescent="0.3">
      <c r="A317" s="6" t="s">
        <v>687</v>
      </c>
      <c r="B317" s="6">
        <v>58</v>
      </c>
      <c r="C317" s="6" t="s">
        <v>16</v>
      </c>
      <c r="D317" s="6" t="s">
        <v>55</v>
      </c>
      <c r="E317" s="6" t="s">
        <v>48</v>
      </c>
      <c r="F317" s="6">
        <v>1316</v>
      </c>
      <c r="G317" s="6">
        <v>184634.15</v>
      </c>
      <c r="H317" s="7">
        <v>43484</v>
      </c>
      <c r="I317" s="6" t="s">
        <v>56</v>
      </c>
      <c r="J317" s="6" t="s">
        <v>688</v>
      </c>
      <c r="K317" s="6" t="s">
        <v>21</v>
      </c>
      <c r="L317" s="6" t="s">
        <v>22</v>
      </c>
      <c r="M317" s="6" t="s">
        <v>23</v>
      </c>
      <c r="N317" s="6">
        <v>2.77</v>
      </c>
      <c r="O317" s="6">
        <v>117</v>
      </c>
    </row>
    <row r="318" spans="1:15" ht="14.25" customHeight="1" x14ac:dyDescent="0.3">
      <c r="A318" s="6" t="s">
        <v>689</v>
      </c>
      <c r="B318" s="6">
        <v>47</v>
      </c>
      <c r="C318" s="6" t="s">
        <v>16</v>
      </c>
      <c r="D318" s="6" t="s">
        <v>47</v>
      </c>
      <c r="E318" s="6" t="s">
        <v>34</v>
      </c>
      <c r="F318" s="6">
        <v>1317</v>
      </c>
      <c r="G318" s="6">
        <v>95364.7</v>
      </c>
      <c r="H318" s="7">
        <v>41756</v>
      </c>
      <c r="I318" s="6" t="s">
        <v>63</v>
      </c>
      <c r="J318" s="6" t="s">
        <v>690</v>
      </c>
      <c r="K318" s="6" t="s">
        <v>30</v>
      </c>
      <c r="L318" s="6" t="s">
        <v>31</v>
      </c>
      <c r="M318" s="6" t="s">
        <v>32</v>
      </c>
      <c r="N318" s="6">
        <v>2.56</v>
      </c>
      <c r="O318" s="6">
        <v>198</v>
      </c>
    </row>
    <row r="319" spans="1:15" ht="14.25" customHeight="1" x14ac:dyDescent="0.3">
      <c r="A319" s="6" t="s">
        <v>691</v>
      </c>
      <c r="B319" s="6">
        <v>54</v>
      </c>
      <c r="C319" s="6" t="s">
        <v>25</v>
      </c>
      <c r="D319" s="6" t="s">
        <v>55</v>
      </c>
      <c r="E319" s="6" t="s">
        <v>80</v>
      </c>
      <c r="F319" s="6">
        <v>1318</v>
      </c>
      <c r="G319" s="6">
        <v>190415.22</v>
      </c>
      <c r="H319" s="7">
        <v>42433</v>
      </c>
      <c r="I319" s="6" t="s">
        <v>66</v>
      </c>
      <c r="J319" s="6" t="s">
        <v>692</v>
      </c>
      <c r="K319" s="6" t="s">
        <v>37</v>
      </c>
      <c r="L319" s="6" t="s">
        <v>38</v>
      </c>
      <c r="M319" s="6" t="s">
        <v>39</v>
      </c>
      <c r="N319" s="6">
        <v>1.7</v>
      </c>
      <c r="O319" s="6">
        <v>84</v>
      </c>
    </row>
    <row r="320" spans="1:15" ht="14.25" customHeight="1" x14ac:dyDescent="0.3">
      <c r="A320" s="6" t="s">
        <v>693</v>
      </c>
      <c r="B320" s="6">
        <v>64</v>
      </c>
      <c r="C320" s="6" t="s">
        <v>62</v>
      </c>
      <c r="D320" s="6" t="s">
        <v>47</v>
      </c>
      <c r="E320" s="6" t="s">
        <v>18</v>
      </c>
      <c r="F320" s="6">
        <v>1319</v>
      </c>
      <c r="G320" s="6">
        <v>81866.41</v>
      </c>
      <c r="H320" s="7">
        <v>39461</v>
      </c>
      <c r="I320" s="6" t="s">
        <v>70</v>
      </c>
      <c r="J320" s="6" t="s">
        <v>694</v>
      </c>
      <c r="K320" s="6" t="s">
        <v>43</v>
      </c>
      <c r="L320" s="6" t="s">
        <v>44</v>
      </c>
      <c r="M320" s="6" t="s">
        <v>45</v>
      </c>
      <c r="N320" s="6">
        <v>1.18</v>
      </c>
      <c r="O320" s="6">
        <v>174</v>
      </c>
    </row>
    <row r="321" spans="1:15" ht="14.25" customHeight="1" x14ac:dyDescent="0.3">
      <c r="A321" s="6" t="s">
        <v>695</v>
      </c>
      <c r="B321" s="6">
        <v>36</v>
      </c>
      <c r="C321" s="6" t="s">
        <v>25</v>
      </c>
      <c r="D321" s="6" t="s">
        <v>26</v>
      </c>
      <c r="E321" s="6" t="s">
        <v>34</v>
      </c>
      <c r="F321" s="6">
        <v>1320</v>
      </c>
      <c r="G321" s="6">
        <v>74136.89</v>
      </c>
      <c r="H321" s="7">
        <v>38042</v>
      </c>
      <c r="I321" s="6" t="s">
        <v>73</v>
      </c>
      <c r="J321" s="6" t="s">
        <v>696</v>
      </c>
      <c r="K321" s="6" t="s">
        <v>51</v>
      </c>
      <c r="L321" s="6" t="s">
        <v>52</v>
      </c>
      <c r="M321" s="6" t="s">
        <v>53</v>
      </c>
      <c r="N321" s="6">
        <v>2.89</v>
      </c>
      <c r="O321" s="6">
        <v>173</v>
      </c>
    </row>
    <row r="322" spans="1:15" ht="14.25" customHeight="1" x14ac:dyDescent="0.3">
      <c r="A322" s="6" t="s">
        <v>697</v>
      </c>
      <c r="B322" s="6">
        <v>44</v>
      </c>
      <c r="C322" s="6" t="s">
        <v>62</v>
      </c>
      <c r="D322" s="6" t="s">
        <v>26</v>
      </c>
      <c r="E322" s="6" t="s">
        <v>48</v>
      </c>
      <c r="F322" s="6">
        <v>1321</v>
      </c>
      <c r="G322" s="6">
        <v>92477.56</v>
      </c>
      <c r="H322" s="7">
        <v>40986</v>
      </c>
      <c r="I322" s="6" t="s">
        <v>19</v>
      </c>
      <c r="J322" s="6" t="s">
        <v>698</v>
      </c>
      <c r="K322" s="6" t="s">
        <v>21</v>
      </c>
      <c r="L322" s="6" t="s">
        <v>22</v>
      </c>
      <c r="M322" s="6" t="s">
        <v>23</v>
      </c>
      <c r="N322" s="6">
        <v>4.1900000000000004</v>
      </c>
      <c r="O322" s="6">
        <v>78</v>
      </c>
    </row>
    <row r="323" spans="1:15" ht="14.25" customHeight="1" x14ac:dyDescent="0.3">
      <c r="A323" s="6" t="s">
        <v>699</v>
      </c>
      <c r="B323" s="6">
        <v>50</v>
      </c>
      <c r="C323" s="6" t="s">
        <v>25</v>
      </c>
      <c r="D323" s="6" t="s">
        <v>55</v>
      </c>
      <c r="E323" s="6" t="s">
        <v>80</v>
      </c>
      <c r="F323" s="6">
        <v>1322</v>
      </c>
      <c r="G323" s="6">
        <v>93684.54</v>
      </c>
      <c r="H323" s="7">
        <v>38596</v>
      </c>
      <c r="I323" s="6" t="s">
        <v>28</v>
      </c>
      <c r="J323" s="6" t="s">
        <v>700</v>
      </c>
      <c r="K323" s="6" t="s">
        <v>30</v>
      </c>
      <c r="L323" s="6" t="s">
        <v>31</v>
      </c>
      <c r="M323" s="6" t="s">
        <v>32</v>
      </c>
      <c r="N323" s="6">
        <v>3.36</v>
      </c>
      <c r="O323" s="6">
        <v>63</v>
      </c>
    </row>
    <row r="324" spans="1:15" ht="14.25" customHeight="1" x14ac:dyDescent="0.3">
      <c r="A324" s="6" t="s">
        <v>701</v>
      </c>
      <c r="B324" s="6">
        <v>42</v>
      </c>
      <c r="C324" s="6" t="s">
        <v>25</v>
      </c>
      <c r="D324" s="6" t="s">
        <v>26</v>
      </c>
      <c r="E324" s="6" t="s">
        <v>27</v>
      </c>
      <c r="F324" s="6">
        <v>1323</v>
      </c>
      <c r="G324" s="6">
        <v>120886.15</v>
      </c>
      <c r="H324" s="7">
        <v>39932</v>
      </c>
      <c r="I324" s="6" t="s">
        <v>35</v>
      </c>
      <c r="J324" s="6" t="s">
        <v>702</v>
      </c>
      <c r="K324" s="6" t="s">
        <v>37</v>
      </c>
      <c r="L324" s="6" t="s">
        <v>38</v>
      </c>
      <c r="M324" s="6" t="s">
        <v>39</v>
      </c>
      <c r="N324" s="6">
        <v>1.77</v>
      </c>
      <c r="O324" s="6">
        <v>182</v>
      </c>
    </row>
    <row r="325" spans="1:15" ht="14.25" customHeight="1" x14ac:dyDescent="0.3">
      <c r="A325" s="6" t="s">
        <v>703</v>
      </c>
      <c r="B325" s="6">
        <v>40</v>
      </c>
      <c r="C325" s="6" t="s">
        <v>16</v>
      </c>
      <c r="D325" s="6" t="s">
        <v>17</v>
      </c>
      <c r="E325" s="6" t="s">
        <v>27</v>
      </c>
      <c r="F325" s="6">
        <v>1324</v>
      </c>
      <c r="G325" s="6">
        <v>66559.820000000007</v>
      </c>
      <c r="H325" s="7">
        <v>41852</v>
      </c>
      <c r="I325" s="6" t="s">
        <v>41</v>
      </c>
      <c r="J325" s="6" t="s">
        <v>704</v>
      </c>
      <c r="K325" s="6" t="s">
        <v>43</v>
      </c>
      <c r="L325" s="6" t="s">
        <v>44</v>
      </c>
      <c r="M325" s="6" t="s">
        <v>45</v>
      </c>
      <c r="N325" s="6">
        <v>3.93</v>
      </c>
      <c r="O325" s="6">
        <v>156</v>
      </c>
    </row>
    <row r="326" spans="1:15" ht="14.25" customHeight="1" x14ac:dyDescent="0.3">
      <c r="A326" s="6" t="s">
        <v>705</v>
      </c>
      <c r="B326" s="6">
        <v>26</v>
      </c>
      <c r="C326" s="6" t="s">
        <v>25</v>
      </c>
      <c r="D326" s="6" t="s">
        <v>26</v>
      </c>
      <c r="E326" s="6" t="s">
        <v>34</v>
      </c>
      <c r="F326" s="6">
        <v>1325</v>
      </c>
      <c r="G326" s="6">
        <v>184012.3</v>
      </c>
      <c r="H326" s="7">
        <v>42124</v>
      </c>
      <c r="I326" s="6" t="s">
        <v>49</v>
      </c>
      <c r="J326" s="6" t="s">
        <v>706</v>
      </c>
      <c r="K326" s="6" t="s">
        <v>51</v>
      </c>
      <c r="L326" s="6" t="s">
        <v>52</v>
      </c>
      <c r="M326" s="6" t="s">
        <v>53</v>
      </c>
      <c r="N326" s="6">
        <v>4.6399999999999997</v>
      </c>
      <c r="O326" s="6">
        <v>25</v>
      </c>
    </row>
    <row r="327" spans="1:15" ht="14.25" customHeight="1" x14ac:dyDescent="0.3">
      <c r="A327" s="6" t="s">
        <v>707</v>
      </c>
      <c r="B327" s="6">
        <v>44</v>
      </c>
      <c r="C327" s="6" t="s">
        <v>62</v>
      </c>
      <c r="D327" s="6" t="s">
        <v>69</v>
      </c>
      <c r="E327" s="6" t="s">
        <v>27</v>
      </c>
      <c r="F327" s="6">
        <v>1326</v>
      </c>
      <c r="G327" s="6">
        <v>193604.34</v>
      </c>
      <c r="H327" s="7">
        <v>41923</v>
      </c>
      <c r="I327" s="6" t="s">
        <v>56</v>
      </c>
      <c r="J327" s="6" t="s">
        <v>708</v>
      </c>
      <c r="K327" s="6" t="s">
        <v>21</v>
      </c>
      <c r="L327" s="6" t="s">
        <v>22</v>
      </c>
      <c r="M327" s="6" t="s">
        <v>23</v>
      </c>
      <c r="N327" s="6">
        <v>4.3899999999999997</v>
      </c>
      <c r="O327" s="6">
        <v>162</v>
      </c>
    </row>
    <row r="328" spans="1:15" ht="14.25" customHeight="1" x14ac:dyDescent="0.3">
      <c r="A328" s="6" t="s">
        <v>709</v>
      </c>
      <c r="B328" s="6">
        <v>57</v>
      </c>
      <c r="C328" s="6" t="s">
        <v>62</v>
      </c>
      <c r="D328" s="6" t="s">
        <v>26</v>
      </c>
      <c r="E328" s="6" t="s">
        <v>34</v>
      </c>
      <c r="F328" s="6">
        <v>1327</v>
      </c>
      <c r="G328" s="6">
        <v>69282.97</v>
      </c>
      <c r="H328" s="7">
        <v>42664</v>
      </c>
      <c r="I328" s="6" t="s">
        <v>63</v>
      </c>
      <c r="J328" s="6" t="s">
        <v>710</v>
      </c>
      <c r="K328" s="6" t="s">
        <v>30</v>
      </c>
      <c r="L328" s="6" t="s">
        <v>31</v>
      </c>
      <c r="M328" s="6" t="s">
        <v>32</v>
      </c>
      <c r="N328" s="6">
        <v>1.79</v>
      </c>
      <c r="O328" s="6">
        <v>133</v>
      </c>
    </row>
    <row r="329" spans="1:15" ht="14.25" customHeight="1" x14ac:dyDescent="0.3">
      <c r="A329" s="6" t="s">
        <v>711</v>
      </c>
      <c r="B329" s="6">
        <v>41</v>
      </c>
      <c r="C329" s="6" t="s">
        <v>25</v>
      </c>
      <c r="D329" s="6" t="s">
        <v>55</v>
      </c>
      <c r="E329" s="6" t="s">
        <v>34</v>
      </c>
      <c r="F329" s="6">
        <v>1328</v>
      </c>
      <c r="G329" s="6">
        <v>145482.03</v>
      </c>
      <c r="H329" s="7">
        <v>44352</v>
      </c>
      <c r="I329" s="6" t="s">
        <v>66</v>
      </c>
      <c r="J329" s="6" t="s">
        <v>712</v>
      </c>
      <c r="K329" s="6" t="s">
        <v>37</v>
      </c>
      <c r="L329" s="6" t="s">
        <v>38</v>
      </c>
      <c r="M329" s="6" t="s">
        <v>39</v>
      </c>
      <c r="N329" s="6">
        <v>2.69</v>
      </c>
      <c r="O329" s="6">
        <v>183</v>
      </c>
    </row>
    <row r="330" spans="1:15" ht="14.25" customHeight="1" x14ac:dyDescent="0.3">
      <c r="A330" s="6" t="s">
        <v>713</v>
      </c>
      <c r="B330" s="6">
        <v>29</v>
      </c>
      <c r="C330" s="6" t="s">
        <v>62</v>
      </c>
      <c r="D330" s="6" t="s">
        <v>47</v>
      </c>
      <c r="E330" s="6" t="s">
        <v>18</v>
      </c>
      <c r="F330" s="6">
        <v>1329</v>
      </c>
      <c r="G330" s="6">
        <v>145083.01999999999</v>
      </c>
      <c r="H330" s="7">
        <v>42239</v>
      </c>
      <c r="I330" s="6" t="s">
        <v>70</v>
      </c>
      <c r="J330" s="6" t="s">
        <v>714</v>
      </c>
      <c r="K330" s="6" t="s">
        <v>43</v>
      </c>
      <c r="L330" s="6" t="s">
        <v>44</v>
      </c>
      <c r="M330" s="6" t="s">
        <v>45</v>
      </c>
      <c r="N330" s="6">
        <v>1.92</v>
      </c>
      <c r="O330" s="6">
        <v>45</v>
      </c>
    </row>
    <row r="331" spans="1:15" ht="14.25" customHeight="1" x14ac:dyDescent="0.3">
      <c r="A331" s="6" t="s">
        <v>715</v>
      </c>
      <c r="B331" s="6">
        <v>30</v>
      </c>
      <c r="C331" s="6" t="s">
        <v>25</v>
      </c>
      <c r="D331" s="6" t="s">
        <v>17</v>
      </c>
      <c r="E331" s="6" t="s">
        <v>18</v>
      </c>
      <c r="F331" s="6">
        <v>1330</v>
      </c>
      <c r="G331" s="6">
        <v>93335.37</v>
      </c>
      <c r="H331" s="7">
        <v>37496</v>
      </c>
      <c r="I331" s="6" t="s">
        <v>73</v>
      </c>
      <c r="J331" s="6" t="s">
        <v>716</v>
      </c>
      <c r="K331" s="6" t="s">
        <v>51</v>
      </c>
      <c r="L331" s="6" t="s">
        <v>52</v>
      </c>
      <c r="M331" s="6" t="s">
        <v>53</v>
      </c>
      <c r="N331" s="6">
        <v>2.77</v>
      </c>
      <c r="O331" s="6">
        <v>77</v>
      </c>
    </row>
    <row r="332" spans="1:15" ht="14.25" customHeight="1" x14ac:dyDescent="0.3">
      <c r="A332" s="6" t="s">
        <v>717</v>
      </c>
      <c r="B332" s="6">
        <v>35</v>
      </c>
      <c r="C332" s="6" t="s">
        <v>16</v>
      </c>
      <c r="D332" s="6" t="s">
        <v>55</v>
      </c>
      <c r="E332" s="6" t="s">
        <v>18</v>
      </c>
      <c r="F332" s="6">
        <v>1331</v>
      </c>
      <c r="G332" s="6">
        <v>184869.66</v>
      </c>
      <c r="H332" s="7">
        <v>41911</v>
      </c>
      <c r="I332" s="6" t="s">
        <v>19</v>
      </c>
      <c r="J332" s="6" t="s">
        <v>718</v>
      </c>
      <c r="K332" s="6" t="s">
        <v>21</v>
      </c>
      <c r="L332" s="6" t="s">
        <v>22</v>
      </c>
      <c r="M332" s="6" t="s">
        <v>23</v>
      </c>
      <c r="N332" s="6">
        <v>4.92</v>
      </c>
      <c r="O332" s="6">
        <v>28</v>
      </c>
    </row>
    <row r="333" spans="1:15" ht="14.25" customHeight="1" x14ac:dyDescent="0.3">
      <c r="A333" s="6" t="s">
        <v>719</v>
      </c>
      <c r="B333" s="6">
        <v>27</v>
      </c>
      <c r="C333" s="6" t="s">
        <v>16</v>
      </c>
      <c r="D333" s="6" t="s">
        <v>55</v>
      </c>
      <c r="E333" s="6" t="s">
        <v>27</v>
      </c>
      <c r="F333" s="6">
        <v>1332</v>
      </c>
      <c r="G333" s="6">
        <v>148210.6</v>
      </c>
      <c r="H333" s="7">
        <v>39180</v>
      </c>
      <c r="I333" s="6" t="s">
        <v>28</v>
      </c>
      <c r="J333" s="6" t="s">
        <v>720</v>
      </c>
      <c r="K333" s="6" t="s">
        <v>30</v>
      </c>
      <c r="L333" s="6" t="s">
        <v>31</v>
      </c>
      <c r="M333" s="6" t="s">
        <v>32</v>
      </c>
      <c r="N333" s="6">
        <v>2.91</v>
      </c>
      <c r="O333" s="6">
        <v>78</v>
      </c>
    </row>
    <row r="334" spans="1:15" ht="14.25" customHeight="1" x14ac:dyDescent="0.3">
      <c r="A334" s="6" t="s">
        <v>721</v>
      </c>
      <c r="B334" s="6">
        <v>22</v>
      </c>
      <c r="C334" s="6" t="s">
        <v>16</v>
      </c>
      <c r="D334" s="6" t="s">
        <v>47</v>
      </c>
      <c r="E334" s="6" t="s">
        <v>80</v>
      </c>
      <c r="F334" s="6">
        <v>1333</v>
      </c>
      <c r="G334" s="6">
        <v>88084.17</v>
      </c>
      <c r="H334" s="7">
        <v>40783</v>
      </c>
      <c r="I334" s="6" t="s">
        <v>35</v>
      </c>
      <c r="J334" s="6" t="s">
        <v>722</v>
      </c>
      <c r="K334" s="6" t="s">
        <v>37</v>
      </c>
      <c r="L334" s="6" t="s">
        <v>38</v>
      </c>
      <c r="M334" s="6" t="s">
        <v>39</v>
      </c>
      <c r="N334" s="6">
        <v>4.9800000000000004</v>
      </c>
      <c r="O334" s="6">
        <v>79</v>
      </c>
    </row>
    <row r="335" spans="1:15" ht="14.25" customHeight="1" x14ac:dyDescent="0.3">
      <c r="A335" s="6" t="s">
        <v>723</v>
      </c>
      <c r="B335" s="6">
        <v>30</v>
      </c>
      <c r="C335" s="6" t="s">
        <v>16</v>
      </c>
      <c r="D335" s="6" t="s">
        <v>47</v>
      </c>
      <c r="E335" s="6" t="s">
        <v>80</v>
      </c>
      <c r="F335" s="6">
        <v>1334</v>
      </c>
      <c r="G335" s="6">
        <v>138753.64000000001</v>
      </c>
      <c r="H335" s="7">
        <v>41067</v>
      </c>
      <c r="I335" s="6" t="s">
        <v>41</v>
      </c>
      <c r="J335" s="6" t="s">
        <v>724</v>
      </c>
      <c r="K335" s="6" t="s">
        <v>43</v>
      </c>
      <c r="L335" s="6" t="s">
        <v>44</v>
      </c>
      <c r="M335" s="6" t="s">
        <v>45</v>
      </c>
      <c r="N335" s="6">
        <v>1.41</v>
      </c>
      <c r="O335" s="6">
        <v>66</v>
      </c>
    </row>
    <row r="336" spans="1:15" ht="14.25" customHeight="1" x14ac:dyDescent="0.3">
      <c r="A336" s="6" t="s">
        <v>725</v>
      </c>
      <c r="B336" s="6">
        <v>37</v>
      </c>
      <c r="C336" s="6" t="s">
        <v>25</v>
      </c>
      <c r="D336" s="6" t="s">
        <v>69</v>
      </c>
      <c r="E336" s="6" t="s">
        <v>18</v>
      </c>
      <c r="F336" s="6">
        <v>1335</v>
      </c>
      <c r="G336" s="6">
        <v>94405.37</v>
      </c>
      <c r="H336" s="7">
        <v>41302</v>
      </c>
      <c r="I336" s="6" t="s">
        <v>49</v>
      </c>
      <c r="J336" s="6" t="s">
        <v>726</v>
      </c>
      <c r="K336" s="6" t="s">
        <v>51</v>
      </c>
      <c r="L336" s="6" t="s">
        <v>52</v>
      </c>
      <c r="M336" s="6" t="s">
        <v>53</v>
      </c>
      <c r="N336" s="6">
        <v>1.7</v>
      </c>
      <c r="O336" s="6">
        <v>199</v>
      </c>
    </row>
    <row r="337" spans="1:15" ht="14.25" customHeight="1" x14ac:dyDescent="0.3">
      <c r="A337" s="6" t="s">
        <v>727</v>
      </c>
      <c r="B337" s="6">
        <v>37</v>
      </c>
      <c r="C337" s="6" t="s">
        <v>62</v>
      </c>
      <c r="D337" s="6" t="s">
        <v>55</v>
      </c>
      <c r="E337" s="6" t="s">
        <v>18</v>
      </c>
      <c r="F337" s="6">
        <v>1336</v>
      </c>
      <c r="G337" s="6">
        <v>73687.56</v>
      </c>
      <c r="H337" s="7">
        <v>40254</v>
      </c>
      <c r="I337" s="6" t="s">
        <v>56</v>
      </c>
      <c r="J337" s="6" t="s">
        <v>728</v>
      </c>
      <c r="K337" s="6" t="s">
        <v>21</v>
      </c>
      <c r="L337" s="6" t="s">
        <v>22</v>
      </c>
      <c r="M337" s="6" t="s">
        <v>23</v>
      </c>
      <c r="N337" s="6">
        <v>1.51</v>
      </c>
      <c r="O337" s="6">
        <v>24</v>
      </c>
    </row>
    <row r="338" spans="1:15" ht="14.25" customHeight="1" x14ac:dyDescent="0.3">
      <c r="A338" s="6" t="s">
        <v>729</v>
      </c>
      <c r="B338" s="6">
        <v>33</v>
      </c>
      <c r="C338" s="6" t="s">
        <v>25</v>
      </c>
      <c r="D338" s="6" t="s">
        <v>17</v>
      </c>
      <c r="E338" s="6" t="s">
        <v>80</v>
      </c>
      <c r="F338" s="6">
        <v>1337</v>
      </c>
      <c r="G338" s="6">
        <v>102137.01</v>
      </c>
      <c r="H338" s="7">
        <v>38651</v>
      </c>
      <c r="I338" s="6" t="s">
        <v>63</v>
      </c>
      <c r="J338" s="6" t="s">
        <v>730</v>
      </c>
      <c r="K338" s="6" t="s">
        <v>30</v>
      </c>
      <c r="L338" s="6" t="s">
        <v>31</v>
      </c>
      <c r="M338" s="6" t="s">
        <v>32</v>
      </c>
      <c r="N338" s="6">
        <v>2.63</v>
      </c>
      <c r="O338" s="6">
        <v>7</v>
      </c>
    </row>
    <row r="339" spans="1:15" ht="14.25" customHeight="1" x14ac:dyDescent="0.3">
      <c r="A339" s="6" t="s">
        <v>731</v>
      </c>
      <c r="B339" s="6">
        <v>26</v>
      </c>
      <c r="C339" s="6" t="s">
        <v>62</v>
      </c>
      <c r="D339" s="6" t="s">
        <v>69</v>
      </c>
      <c r="E339" s="6" t="s">
        <v>18</v>
      </c>
      <c r="F339" s="6">
        <v>1338</v>
      </c>
      <c r="G339" s="6">
        <v>130733.75999999999</v>
      </c>
      <c r="H339" s="7">
        <v>38905</v>
      </c>
      <c r="I339" s="6" t="s">
        <v>66</v>
      </c>
      <c r="J339" s="6" t="s">
        <v>732</v>
      </c>
      <c r="K339" s="6" t="s">
        <v>37</v>
      </c>
      <c r="L339" s="6" t="s">
        <v>38</v>
      </c>
      <c r="M339" s="6" t="s">
        <v>39</v>
      </c>
      <c r="N339" s="6">
        <v>3.95</v>
      </c>
      <c r="O339" s="6">
        <v>187</v>
      </c>
    </row>
    <row r="340" spans="1:15" ht="14.25" customHeight="1" x14ac:dyDescent="0.3">
      <c r="A340" s="6" t="s">
        <v>733</v>
      </c>
      <c r="B340" s="6">
        <v>61</v>
      </c>
      <c r="C340" s="6" t="s">
        <v>25</v>
      </c>
      <c r="D340" s="6" t="s">
        <v>69</v>
      </c>
      <c r="E340" s="6" t="s">
        <v>34</v>
      </c>
      <c r="F340" s="6">
        <v>1339</v>
      </c>
      <c r="G340" s="6">
        <v>147300</v>
      </c>
      <c r="H340" s="7">
        <v>44704</v>
      </c>
      <c r="I340" s="6" t="s">
        <v>70</v>
      </c>
      <c r="J340" s="6" t="s">
        <v>734</v>
      </c>
      <c r="K340" s="6" t="s">
        <v>43</v>
      </c>
      <c r="L340" s="6" t="s">
        <v>44</v>
      </c>
      <c r="M340" s="6" t="s">
        <v>45</v>
      </c>
      <c r="N340" s="6">
        <v>4.3600000000000003</v>
      </c>
      <c r="O340" s="6">
        <v>196</v>
      </c>
    </row>
    <row r="341" spans="1:15" ht="14.25" customHeight="1" x14ac:dyDescent="0.3">
      <c r="A341" s="6" t="s">
        <v>735</v>
      </c>
      <c r="B341" s="6">
        <v>50</v>
      </c>
      <c r="C341" s="6" t="s">
        <v>62</v>
      </c>
      <c r="D341" s="6" t="s">
        <v>17</v>
      </c>
      <c r="E341" s="6" t="s">
        <v>48</v>
      </c>
      <c r="F341" s="6">
        <v>1340</v>
      </c>
      <c r="G341" s="6">
        <v>175109.59</v>
      </c>
      <c r="H341" s="7">
        <v>43293</v>
      </c>
      <c r="I341" s="6" t="s">
        <v>73</v>
      </c>
      <c r="J341" s="6" t="s">
        <v>736</v>
      </c>
      <c r="K341" s="6" t="s">
        <v>51</v>
      </c>
      <c r="L341" s="6" t="s">
        <v>52</v>
      </c>
      <c r="M341" s="6" t="s">
        <v>53</v>
      </c>
      <c r="N341" s="6">
        <v>3.07</v>
      </c>
      <c r="O341" s="6">
        <v>4</v>
      </c>
    </row>
    <row r="342" spans="1:15" ht="14.25" customHeight="1" x14ac:dyDescent="0.3">
      <c r="A342" s="6" t="s">
        <v>737</v>
      </c>
      <c r="B342" s="6">
        <v>48</v>
      </c>
      <c r="C342" s="6" t="s">
        <v>62</v>
      </c>
      <c r="D342" s="6" t="s">
        <v>47</v>
      </c>
      <c r="E342" s="6" t="s">
        <v>34</v>
      </c>
      <c r="F342" s="6">
        <v>1341</v>
      </c>
      <c r="G342" s="6">
        <v>150809.65</v>
      </c>
      <c r="H342" s="7">
        <v>43668</v>
      </c>
      <c r="I342" s="6" t="s">
        <v>19</v>
      </c>
      <c r="J342" s="6" t="s">
        <v>738</v>
      </c>
      <c r="K342" s="6" t="s">
        <v>21</v>
      </c>
      <c r="L342" s="6" t="s">
        <v>22</v>
      </c>
      <c r="M342" s="6" t="s">
        <v>23</v>
      </c>
      <c r="N342" s="6">
        <v>4.42</v>
      </c>
      <c r="O342" s="6">
        <v>52</v>
      </c>
    </row>
    <row r="343" spans="1:15" ht="14.25" customHeight="1" x14ac:dyDescent="0.3">
      <c r="A343" s="6" t="s">
        <v>739</v>
      </c>
      <c r="B343" s="6">
        <v>32</v>
      </c>
      <c r="C343" s="6" t="s">
        <v>25</v>
      </c>
      <c r="D343" s="6" t="s">
        <v>47</v>
      </c>
      <c r="E343" s="6" t="s">
        <v>80</v>
      </c>
      <c r="F343" s="6">
        <v>1342</v>
      </c>
      <c r="G343" s="6">
        <v>94836.61</v>
      </c>
      <c r="H343" s="7">
        <v>38099</v>
      </c>
      <c r="I343" s="6" t="s">
        <v>28</v>
      </c>
      <c r="J343" s="6" t="s">
        <v>740</v>
      </c>
      <c r="K343" s="6" t="s">
        <v>30</v>
      </c>
      <c r="L343" s="6" t="s">
        <v>31</v>
      </c>
      <c r="M343" s="6" t="s">
        <v>32</v>
      </c>
      <c r="N343" s="6">
        <v>4.82</v>
      </c>
      <c r="O343" s="6">
        <v>132</v>
      </c>
    </row>
    <row r="344" spans="1:15" ht="14.25" customHeight="1" x14ac:dyDescent="0.3">
      <c r="A344" s="6" t="s">
        <v>741</v>
      </c>
      <c r="B344" s="6">
        <v>49</v>
      </c>
      <c r="C344" s="6" t="s">
        <v>16</v>
      </c>
      <c r="D344" s="6" t="s">
        <v>55</v>
      </c>
      <c r="E344" s="6" t="s">
        <v>18</v>
      </c>
      <c r="F344" s="6">
        <v>1343</v>
      </c>
      <c r="G344" s="6">
        <v>99829.42</v>
      </c>
      <c r="H344" s="7">
        <v>38694</v>
      </c>
      <c r="I344" s="6" t="s">
        <v>35</v>
      </c>
      <c r="J344" s="6" t="s">
        <v>742</v>
      </c>
      <c r="K344" s="6" t="s">
        <v>37</v>
      </c>
      <c r="L344" s="6" t="s">
        <v>38</v>
      </c>
      <c r="M344" s="6" t="s">
        <v>39</v>
      </c>
      <c r="N344" s="6">
        <v>1.02</v>
      </c>
      <c r="O344" s="6">
        <v>61</v>
      </c>
    </row>
    <row r="345" spans="1:15" ht="14.25" customHeight="1" x14ac:dyDescent="0.3">
      <c r="A345" s="6" t="s">
        <v>743</v>
      </c>
      <c r="B345" s="6">
        <v>57</v>
      </c>
      <c r="C345" s="6" t="s">
        <v>25</v>
      </c>
      <c r="D345" s="6" t="s">
        <v>69</v>
      </c>
      <c r="E345" s="6" t="s">
        <v>48</v>
      </c>
      <c r="F345" s="6">
        <v>1344</v>
      </c>
      <c r="G345" s="6">
        <v>133304.69</v>
      </c>
      <c r="H345" s="7">
        <v>40325</v>
      </c>
      <c r="I345" s="6" t="s">
        <v>41</v>
      </c>
      <c r="J345" s="6" t="s">
        <v>744</v>
      </c>
      <c r="K345" s="6" t="s">
        <v>43</v>
      </c>
      <c r="L345" s="6" t="s">
        <v>44</v>
      </c>
      <c r="M345" s="6" t="s">
        <v>45</v>
      </c>
      <c r="N345" s="6">
        <v>1.66</v>
      </c>
      <c r="O345" s="6">
        <v>103</v>
      </c>
    </row>
    <row r="346" spans="1:15" ht="14.25" customHeight="1" x14ac:dyDescent="0.3">
      <c r="A346" s="6" t="s">
        <v>745</v>
      </c>
      <c r="B346" s="6">
        <v>63</v>
      </c>
      <c r="C346" s="6" t="s">
        <v>16</v>
      </c>
      <c r="D346" s="6" t="s">
        <v>17</v>
      </c>
      <c r="E346" s="6" t="s">
        <v>18</v>
      </c>
      <c r="F346" s="6">
        <v>1345</v>
      </c>
      <c r="G346" s="6">
        <v>176496.43</v>
      </c>
      <c r="H346" s="7">
        <v>42868</v>
      </c>
      <c r="I346" s="6" t="s">
        <v>49</v>
      </c>
      <c r="J346" s="6" t="s">
        <v>746</v>
      </c>
      <c r="K346" s="6" t="s">
        <v>51</v>
      </c>
      <c r="L346" s="6" t="s">
        <v>52</v>
      </c>
      <c r="M346" s="6" t="s">
        <v>53</v>
      </c>
      <c r="N346" s="6">
        <v>1.72</v>
      </c>
      <c r="O346" s="6">
        <v>69</v>
      </c>
    </row>
    <row r="347" spans="1:15" ht="14.25" customHeight="1" x14ac:dyDescent="0.3">
      <c r="A347" s="6" t="s">
        <v>747</v>
      </c>
      <c r="B347" s="6">
        <v>40</v>
      </c>
      <c r="C347" s="6" t="s">
        <v>25</v>
      </c>
      <c r="D347" s="6" t="s">
        <v>17</v>
      </c>
      <c r="E347" s="6" t="s">
        <v>34</v>
      </c>
      <c r="F347" s="6">
        <v>1346</v>
      </c>
      <c r="G347" s="6">
        <v>128477.99</v>
      </c>
      <c r="H347" s="7">
        <v>40130</v>
      </c>
      <c r="I347" s="6" t="s">
        <v>56</v>
      </c>
      <c r="J347" s="6" t="s">
        <v>748</v>
      </c>
      <c r="K347" s="6" t="s">
        <v>21</v>
      </c>
      <c r="L347" s="6" t="s">
        <v>22</v>
      </c>
      <c r="M347" s="6" t="s">
        <v>23</v>
      </c>
      <c r="N347" s="6">
        <v>4.97</v>
      </c>
      <c r="O347" s="6">
        <v>60</v>
      </c>
    </row>
    <row r="348" spans="1:15" ht="14.25" customHeight="1" x14ac:dyDescent="0.3">
      <c r="A348" s="6" t="s">
        <v>749</v>
      </c>
      <c r="B348" s="6">
        <v>56</v>
      </c>
      <c r="C348" s="6" t="s">
        <v>62</v>
      </c>
      <c r="D348" s="6" t="s">
        <v>17</v>
      </c>
      <c r="E348" s="6" t="s">
        <v>18</v>
      </c>
      <c r="F348" s="6">
        <v>1347</v>
      </c>
      <c r="G348" s="6">
        <v>164126.15</v>
      </c>
      <c r="H348" s="7">
        <v>39618</v>
      </c>
      <c r="I348" s="6" t="s">
        <v>63</v>
      </c>
      <c r="J348" s="6" t="s">
        <v>750</v>
      </c>
      <c r="K348" s="6" t="s">
        <v>30</v>
      </c>
      <c r="L348" s="6" t="s">
        <v>31</v>
      </c>
      <c r="M348" s="6" t="s">
        <v>32</v>
      </c>
      <c r="N348" s="6">
        <v>4.5999999999999996</v>
      </c>
      <c r="O348" s="6">
        <v>31</v>
      </c>
    </row>
    <row r="349" spans="1:15" ht="14.25" customHeight="1" x14ac:dyDescent="0.3">
      <c r="A349" s="6" t="s">
        <v>751</v>
      </c>
      <c r="B349" s="6">
        <v>52</v>
      </c>
      <c r="C349" s="6" t="s">
        <v>16</v>
      </c>
      <c r="D349" s="6" t="s">
        <v>69</v>
      </c>
      <c r="E349" s="6" t="s">
        <v>34</v>
      </c>
      <c r="F349" s="6">
        <v>1348</v>
      </c>
      <c r="G349" s="6">
        <v>135564.09</v>
      </c>
      <c r="H349" s="7">
        <v>39475</v>
      </c>
      <c r="I349" s="6" t="s">
        <v>66</v>
      </c>
      <c r="J349" s="6" t="s">
        <v>752</v>
      </c>
      <c r="K349" s="6" t="s">
        <v>37</v>
      </c>
      <c r="L349" s="6" t="s">
        <v>38</v>
      </c>
      <c r="M349" s="6" t="s">
        <v>39</v>
      </c>
      <c r="N349" s="6">
        <v>1.42</v>
      </c>
      <c r="O349" s="6">
        <v>11</v>
      </c>
    </row>
    <row r="350" spans="1:15" ht="14.25" customHeight="1" x14ac:dyDescent="0.3">
      <c r="A350" s="6" t="s">
        <v>753</v>
      </c>
      <c r="B350" s="6">
        <v>40</v>
      </c>
      <c r="C350" s="6" t="s">
        <v>62</v>
      </c>
      <c r="D350" s="6" t="s">
        <v>26</v>
      </c>
      <c r="E350" s="6" t="s">
        <v>48</v>
      </c>
      <c r="F350" s="6">
        <v>1349</v>
      </c>
      <c r="G350" s="6">
        <v>146714.74</v>
      </c>
      <c r="H350" s="7">
        <v>37599</v>
      </c>
      <c r="I350" s="6" t="s">
        <v>70</v>
      </c>
      <c r="J350" s="6" t="s">
        <v>754</v>
      </c>
      <c r="K350" s="6" t="s">
        <v>43</v>
      </c>
      <c r="L350" s="6" t="s">
        <v>44</v>
      </c>
      <c r="M350" s="6" t="s">
        <v>45</v>
      </c>
      <c r="N350" s="6">
        <v>4.97</v>
      </c>
      <c r="O350" s="6">
        <v>71</v>
      </c>
    </row>
    <row r="351" spans="1:15" ht="14.25" customHeight="1" x14ac:dyDescent="0.3">
      <c r="A351" s="6" t="s">
        <v>755</v>
      </c>
      <c r="B351" s="6">
        <v>45</v>
      </c>
      <c r="C351" s="6" t="s">
        <v>62</v>
      </c>
      <c r="D351" s="6" t="s">
        <v>26</v>
      </c>
      <c r="E351" s="6" t="s">
        <v>27</v>
      </c>
      <c r="F351" s="6">
        <v>1350</v>
      </c>
      <c r="G351" s="6">
        <v>178454.62</v>
      </c>
      <c r="H351" s="7">
        <v>44019</v>
      </c>
      <c r="I351" s="6" t="s">
        <v>73</v>
      </c>
      <c r="J351" s="6" t="s">
        <v>756</v>
      </c>
      <c r="K351" s="6" t="s">
        <v>51</v>
      </c>
      <c r="L351" s="6" t="s">
        <v>52</v>
      </c>
      <c r="M351" s="6" t="s">
        <v>53</v>
      </c>
      <c r="N351" s="6">
        <v>1.71</v>
      </c>
      <c r="O351" s="6">
        <v>160</v>
      </c>
    </row>
    <row r="352" spans="1:15" ht="14.25" customHeight="1" x14ac:dyDescent="0.3">
      <c r="A352" s="6" t="s">
        <v>757</v>
      </c>
      <c r="B352" s="6">
        <v>23</v>
      </c>
      <c r="C352" s="6" t="s">
        <v>62</v>
      </c>
      <c r="D352" s="6" t="s">
        <v>55</v>
      </c>
      <c r="E352" s="6" t="s">
        <v>27</v>
      </c>
      <c r="F352" s="6">
        <v>1351</v>
      </c>
      <c r="G352" s="6">
        <v>115852.17</v>
      </c>
      <c r="H352" s="7">
        <v>43043</v>
      </c>
      <c r="I352" s="6" t="s">
        <v>19</v>
      </c>
      <c r="J352" s="6" t="s">
        <v>758</v>
      </c>
      <c r="K352" s="6" t="s">
        <v>21</v>
      </c>
      <c r="L352" s="6" t="s">
        <v>22</v>
      </c>
      <c r="M352" s="6" t="s">
        <v>23</v>
      </c>
      <c r="N352" s="6">
        <v>2.29</v>
      </c>
      <c r="O352" s="6">
        <v>176</v>
      </c>
    </row>
    <row r="353" spans="1:15" ht="14.25" customHeight="1" x14ac:dyDescent="0.3">
      <c r="A353" s="6" t="s">
        <v>759</v>
      </c>
      <c r="B353" s="6">
        <v>28</v>
      </c>
      <c r="C353" s="6" t="s">
        <v>25</v>
      </c>
      <c r="D353" s="6" t="s">
        <v>69</v>
      </c>
      <c r="E353" s="6" t="s">
        <v>48</v>
      </c>
      <c r="F353" s="6">
        <v>1352</v>
      </c>
      <c r="G353" s="6">
        <v>154631.42000000001</v>
      </c>
      <c r="H353" s="7">
        <v>40446</v>
      </c>
      <c r="I353" s="6" t="s">
        <v>28</v>
      </c>
      <c r="J353" s="6" t="s">
        <v>760</v>
      </c>
      <c r="K353" s="6" t="s">
        <v>30</v>
      </c>
      <c r="L353" s="6" t="s">
        <v>31</v>
      </c>
      <c r="M353" s="6" t="s">
        <v>32</v>
      </c>
      <c r="N353" s="6">
        <v>4.5599999999999996</v>
      </c>
      <c r="O353" s="6">
        <v>121</v>
      </c>
    </row>
    <row r="354" spans="1:15" ht="14.25" customHeight="1" x14ac:dyDescent="0.3">
      <c r="A354" s="6" t="s">
        <v>761</v>
      </c>
      <c r="B354" s="6">
        <v>64</v>
      </c>
      <c r="C354" s="6" t="s">
        <v>62</v>
      </c>
      <c r="D354" s="6" t="s">
        <v>69</v>
      </c>
      <c r="E354" s="6" t="s">
        <v>18</v>
      </c>
      <c r="F354" s="6">
        <v>1353</v>
      </c>
      <c r="G354" s="6">
        <v>175091.99</v>
      </c>
      <c r="H354" s="7">
        <v>43642</v>
      </c>
      <c r="I354" s="6" t="s">
        <v>35</v>
      </c>
      <c r="J354" s="6" t="s">
        <v>762</v>
      </c>
      <c r="K354" s="6" t="s">
        <v>37</v>
      </c>
      <c r="L354" s="6" t="s">
        <v>38</v>
      </c>
      <c r="M354" s="6" t="s">
        <v>39</v>
      </c>
      <c r="N354" s="6">
        <v>1.0900000000000001</v>
      </c>
      <c r="O354" s="6">
        <v>169</v>
      </c>
    </row>
    <row r="355" spans="1:15" ht="14.25" customHeight="1" x14ac:dyDescent="0.3">
      <c r="A355" s="6" t="s">
        <v>763</v>
      </c>
      <c r="B355" s="6">
        <v>52</v>
      </c>
      <c r="C355" s="6" t="s">
        <v>25</v>
      </c>
      <c r="D355" s="6" t="s">
        <v>26</v>
      </c>
      <c r="E355" s="6" t="s">
        <v>27</v>
      </c>
      <c r="F355" s="6">
        <v>1354</v>
      </c>
      <c r="G355" s="6">
        <v>147273.34</v>
      </c>
      <c r="H355" s="7">
        <v>37444</v>
      </c>
      <c r="I355" s="6" t="s">
        <v>41</v>
      </c>
      <c r="J355" s="6" t="s">
        <v>764</v>
      </c>
      <c r="K355" s="6" t="s">
        <v>43</v>
      </c>
      <c r="L355" s="6" t="s">
        <v>44</v>
      </c>
      <c r="M355" s="6" t="s">
        <v>45</v>
      </c>
      <c r="N355" s="6">
        <v>2.2799999999999998</v>
      </c>
      <c r="O355" s="6">
        <v>64</v>
      </c>
    </row>
    <row r="356" spans="1:15" ht="14.25" customHeight="1" x14ac:dyDescent="0.3">
      <c r="A356" s="6" t="s">
        <v>765</v>
      </c>
      <c r="B356" s="6">
        <v>38</v>
      </c>
      <c r="C356" s="6" t="s">
        <v>16</v>
      </c>
      <c r="D356" s="6" t="s">
        <v>47</v>
      </c>
      <c r="E356" s="6" t="s">
        <v>34</v>
      </c>
      <c r="F356" s="6">
        <v>1355</v>
      </c>
      <c r="G356" s="6">
        <v>59352.45</v>
      </c>
      <c r="H356" s="7">
        <v>39330</v>
      </c>
      <c r="I356" s="6" t="s">
        <v>49</v>
      </c>
      <c r="J356" s="6" t="s">
        <v>766</v>
      </c>
      <c r="K356" s="6" t="s">
        <v>51</v>
      </c>
      <c r="L356" s="6" t="s">
        <v>52</v>
      </c>
      <c r="M356" s="6" t="s">
        <v>53</v>
      </c>
      <c r="N356" s="6">
        <v>2.85</v>
      </c>
      <c r="O356" s="6">
        <v>153</v>
      </c>
    </row>
    <row r="357" spans="1:15" ht="14.25" customHeight="1" x14ac:dyDescent="0.3">
      <c r="A357" s="6" t="s">
        <v>767</v>
      </c>
      <c r="B357" s="6">
        <v>48</v>
      </c>
      <c r="C357" s="6" t="s">
        <v>62</v>
      </c>
      <c r="D357" s="6" t="s">
        <v>26</v>
      </c>
      <c r="E357" s="6" t="s">
        <v>27</v>
      </c>
      <c r="F357" s="6">
        <v>1356</v>
      </c>
      <c r="G357" s="6">
        <v>122891.69</v>
      </c>
      <c r="H357" s="7">
        <v>40829</v>
      </c>
      <c r="I357" s="6" t="s">
        <v>56</v>
      </c>
      <c r="J357" s="6" t="s">
        <v>768</v>
      </c>
      <c r="K357" s="6" t="s">
        <v>21</v>
      </c>
      <c r="L357" s="6" t="s">
        <v>22</v>
      </c>
      <c r="M357" s="6" t="s">
        <v>23</v>
      </c>
      <c r="N357" s="6">
        <v>1.29</v>
      </c>
      <c r="O357" s="6">
        <v>182</v>
      </c>
    </row>
    <row r="358" spans="1:15" ht="14.25" customHeight="1" x14ac:dyDescent="0.3">
      <c r="A358" s="6" t="s">
        <v>769</v>
      </c>
      <c r="B358" s="6">
        <v>57</v>
      </c>
      <c r="C358" s="6" t="s">
        <v>16</v>
      </c>
      <c r="D358" s="6" t="s">
        <v>69</v>
      </c>
      <c r="E358" s="6" t="s">
        <v>34</v>
      </c>
      <c r="F358" s="6">
        <v>1357</v>
      </c>
      <c r="G358" s="6">
        <v>139326.73000000001</v>
      </c>
      <c r="H358" s="7">
        <v>39871</v>
      </c>
      <c r="I358" s="6" t="s">
        <v>63</v>
      </c>
      <c r="J358" s="6" t="s">
        <v>770</v>
      </c>
      <c r="K358" s="6" t="s">
        <v>30</v>
      </c>
      <c r="L358" s="6" t="s">
        <v>31</v>
      </c>
      <c r="M358" s="6" t="s">
        <v>32</v>
      </c>
      <c r="N358" s="6">
        <v>3.74</v>
      </c>
      <c r="O358" s="6">
        <v>26</v>
      </c>
    </row>
    <row r="359" spans="1:15" ht="14.25" customHeight="1" x14ac:dyDescent="0.3">
      <c r="A359" s="6" t="s">
        <v>771</v>
      </c>
      <c r="B359" s="6">
        <v>64</v>
      </c>
      <c r="C359" s="6" t="s">
        <v>16</v>
      </c>
      <c r="D359" s="6" t="s">
        <v>17</v>
      </c>
      <c r="E359" s="6" t="s">
        <v>48</v>
      </c>
      <c r="F359" s="6">
        <v>1358</v>
      </c>
      <c r="G359" s="6">
        <v>93443.82</v>
      </c>
      <c r="H359" s="7">
        <v>41675</v>
      </c>
      <c r="I359" s="6" t="s">
        <v>66</v>
      </c>
      <c r="J359" s="6" t="s">
        <v>772</v>
      </c>
      <c r="K359" s="6" t="s">
        <v>37</v>
      </c>
      <c r="L359" s="6" t="s">
        <v>38</v>
      </c>
      <c r="M359" s="6" t="s">
        <v>39</v>
      </c>
      <c r="N359" s="6">
        <v>1.4</v>
      </c>
      <c r="O359" s="6">
        <v>91</v>
      </c>
    </row>
    <row r="360" spans="1:15" ht="14.25" customHeight="1" x14ac:dyDescent="0.3">
      <c r="A360" s="6" t="s">
        <v>773</v>
      </c>
      <c r="B360" s="6">
        <v>31</v>
      </c>
      <c r="C360" s="6" t="s">
        <v>25</v>
      </c>
      <c r="D360" s="6" t="s">
        <v>69</v>
      </c>
      <c r="E360" s="6" t="s">
        <v>27</v>
      </c>
      <c r="F360" s="6">
        <v>1359</v>
      </c>
      <c r="G360" s="6">
        <v>141212.79</v>
      </c>
      <c r="H360" s="7">
        <v>44345</v>
      </c>
      <c r="I360" s="6" t="s">
        <v>70</v>
      </c>
      <c r="J360" s="6" t="s">
        <v>774</v>
      </c>
      <c r="K360" s="6" t="s">
        <v>43</v>
      </c>
      <c r="L360" s="6" t="s">
        <v>44</v>
      </c>
      <c r="M360" s="6" t="s">
        <v>45</v>
      </c>
      <c r="N360" s="6">
        <v>4.8499999999999996</v>
      </c>
      <c r="O360" s="6">
        <v>70</v>
      </c>
    </row>
    <row r="361" spans="1:15" ht="14.25" customHeight="1" x14ac:dyDescent="0.3">
      <c r="A361" s="6" t="s">
        <v>775</v>
      </c>
      <c r="B361" s="6">
        <v>35</v>
      </c>
      <c r="C361" s="6" t="s">
        <v>16</v>
      </c>
      <c r="D361" s="6" t="s">
        <v>55</v>
      </c>
      <c r="E361" s="6" t="s">
        <v>48</v>
      </c>
      <c r="F361" s="6">
        <v>1360</v>
      </c>
      <c r="G361" s="6">
        <v>185599.66</v>
      </c>
      <c r="H361" s="7">
        <v>41005</v>
      </c>
      <c r="I361" s="6" t="s">
        <v>73</v>
      </c>
      <c r="J361" s="6" t="s">
        <v>776</v>
      </c>
      <c r="K361" s="6" t="s">
        <v>51</v>
      </c>
      <c r="L361" s="6" t="s">
        <v>52</v>
      </c>
      <c r="M361" s="6" t="s">
        <v>53</v>
      </c>
      <c r="N361" s="6">
        <v>4.58</v>
      </c>
      <c r="O361" s="6">
        <v>4</v>
      </c>
    </row>
    <row r="362" spans="1:15" ht="14.25" customHeight="1" x14ac:dyDescent="0.3">
      <c r="A362" s="6" t="s">
        <v>777</v>
      </c>
      <c r="B362" s="6">
        <v>28</v>
      </c>
      <c r="C362" s="6" t="s">
        <v>25</v>
      </c>
      <c r="D362" s="6" t="s">
        <v>26</v>
      </c>
      <c r="E362" s="6" t="s">
        <v>80</v>
      </c>
      <c r="F362" s="6">
        <v>1361</v>
      </c>
      <c r="G362" s="6">
        <v>140652.57999999999</v>
      </c>
      <c r="H362" s="7">
        <v>41632</v>
      </c>
      <c r="I362" s="6" t="s">
        <v>19</v>
      </c>
      <c r="J362" s="6" t="s">
        <v>778</v>
      </c>
      <c r="K362" s="6" t="s">
        <v>21</v>
      </c>
      <c r="L362" s="6" t="s">
        <v>22</v>
      </c>
      <c r="M362" s="6" t="s">
        <v>23</v>
      </c>
      <c r="N362" s="6">
        <v>1.2</v>
      </c>
      <c r="O362" s="6">
        <v>84</v>
      </c>
    </row>
    <row r="363" spans="1:15" ht="14.25" customHeight="1" x14ac:dyDescent="0.3">
      <c r="A363" s="6" t="s">
        <v>779</v>
      </c>
      <c r="B363" s="6">
        <v>60</v>
      </c>
      <c r="C363" s="6" t="s">
        <v>25</v>
      </c>
      <c r="D363" s="6" t="s">
        <v>55</v>
      </c>
      <c r="E363" s="6" t="s">
        <v>48</v>
      </c>
      <c r="F363" s="6">
        <v>1362</v>
      </c>
      <c r="G363" s="6">
        <v>52839.72</v>
      </c>
      <c r="H363" s="7">
        <v>40412</v>
      </c>
      <c r="I363" s="6" t="s">
        <v>28</v>
      </c>
      <c r="J363" s="6" t="s">
        <v>780</v>
      </c>
      <c r="K363" s="6" t="s">
        <v>30</v>
      </c>
      <c r="L363" s="6" t="s">
        <v>31</v>
      </c>
      <c r="M363" s="6" t="s">
        <v>32</v>
      </c>
      <c r="N363" s="6">
        <v>1.1599999999999999</v>
      </c>
      <c r="O363" s="6">
        <v>2</v>
      </c>
    </row>
    <row r="364" spans="1:15" ht="14.25" customHeight="1" x14ac:dyDescent="0.3">
      <c r="A364" s="6" t="s">
        <v>781</v>
      </c>
      <c r="B364" s="6">
        <v>61</v>
      </c>
      <c r="C364" s="6" t="s">
        <v>16</v>
      </c>
      <c r="D364" s="6" t="s">
        <v>26</v>
      </c>
      <c r="E364" s="6" t="s">
        <v>27</v>
      </c>
      <c r="F364" s="6">
        <v>1363</v>
      </c>
      <c r="G364" s="6">
        <v>127516.1</v>
      </c>
      <c r="H364" s="7">
        <v>39851</v>
      </c>
      <c r="I364" s="6" t="s">
        <v>35</v>
      </c>
      <c r="J364" s="6" t="s">
        <v>782</v>
      </c>
      <c r="K364" s="6" t="s">
        <v>37</v>
      </c>
      <c r="L364" s="6" t="s">
        <v>38</v>
      </c>
      <c r="M364" s="6" t="s">
        <v>39</v>
      </c>
      <c r="N364" s="6">
        <v>4.5</v>
      </c>
      <c r="O364" s="6">
        <v>134</v>
      </c>
    </row>
    <row r="365" spans="1:15" ht="14.25" customHeight="1" x14ac:dyDescent="0.3">
      <c r="A365" s="6" t="s">
        <v>783</v>
      </c>
      <c r="B365" s="6">
        <v>30</v>
      </c>
      <c r="C365" s="6" t="s">
        <v>16</v>
      </c>
      <c r="D365" s="6" t="s">
        <v>26</v>
      </c>
      <c r="E365" s="6" t="s">
        <v>34</v>
      </c>
      <c r="F365" s="6">
        <v>1364</v>
      </c>
      <c r="G365" s="6">
        <v>92964.75</v>
      </c>
      <c r="H365" s="7">
        <v>40345</v>
      </c>
      <c r="I365" s="6" t="s">
        <v>41</v>
      </c>
      <c r="J365" s="6" t="s">
        <v>784</v>
      </c>
      <c r="K365" s="6" t="s">
        <v>43</v>
      </c>
      <c r="L365" s="6" t="s">
        <v>44</v>
      </c>
      <c r="M365" s="6" t="s">
        <v>45</v>
      </c>
      <c r="N365" s="6">
        <v>1.35</v>
      </c>
      <c r="O365" s="6">
        <v>44</v>
      </c>
    </row>
    <row r="366" spans="1:15" ht="14.25" customHeight="1" x14ac:dyDescent="0.3">
      <c r="A366" s="6" t="s">
        <v>785</v>
      </c>
      <c r="B366" s="6">
        <v>35</v>
      </c>
      <c r="C366" s="6" t="s">
        <v>16</v>
      </c>
      <c r="D366" s="6" t="s">
        <v>55</v>
      </c>
      <c r="E366" s="6" t="s">
        <v>48</v>
      </c>
      <c r="F366" s="6">
        <v>1365</v>
      </c>
      <c r="G366" s="6">
        <v>130541.47</v>
      </c>
      <c r="H366" s="7">
        <v>38622</v>
      </c>
      <c r="I366" s="6" t="s">
        <v>49</v>
      </c>
      <c r="J366" s="6" t="s">
        <v>786</v>
      </c>
      <c r="K366" s="6" t="s">
        <v>51</v>
      </c>
      <c r="L366" s="6" t="s">
        <v>52</v>
      </c>
      <c r="M366" s="6" t="s">
        <v>53</v>
      </c>
      <c r="N366" s="6">
        <v>1.64</v>
      </c>
      <c r="O366" s="6">
        <v>108</v>
      </c>
    </row>
    <row r="367" spans="1:15" ht="14.25" customHeight="1" x14ac:dyDescent="0.3">
      <c r="A367" s="6" t="s">
        <v>787</v>
      </c>
      <c r="B367" s="6">
        <v>29</v>
      </c>
      <c r="C367" s="6" t="s">
        <v>25</v>
      </c>
      <c r="D367" s="6" t="s">
        <v>55</v>
      </c>
      <c r="E367" s="6" t="s">
        <v>27</v>
      </c>
      <c r="F367" s="6">
        <v>1366</v>
      </c>
      <c r="G367" s="6">
        <v>159085.45000000001</v>
      </c>
      <c r="H367" s="7">
        <v>43813</v>
      </c>
      <c r="I367" s="6" t="s">
        <v>56</v>
      </c>
      <c r="J367" s="6" t="s">
        <v>788</v>
      </c>
      <c r="K367" s="6" t="s">
        <v>21</v>
      </c>
      <c r="L367" s="6" t="s">
        <v>22</v>
      </c>
      <c r="M367" s="6" t="s">
        <v>23</v>
      </c>
      <c r="N367" s="6">
        <v>3.53</v>
      </c>
      <c r="O367" s="6">
        <v>16</v>
      </c>
    </row>
    <row r="368" spans="1:15" ht="14.25" customHeight="1" x14ac:dyDescent="0.3">
      <c r="A368" s="6" t="s">
        <v>789</v>
      </c>
      <c r="B368" s="6">
        <v>38</v>
      </c>
      <c r="C368" s="6" t="s">
        <v>25</v>
      </c>
      <c r="D368" s="6" t="s">
        <v>17</v>
      </c>
      <c r="E368" s="6" t="s">
        <v>18</v>
      </c>
      <c r="F368" s="6">
        <v>1367</v>
      </c>
      <c r="G368" s="6">
        <v>68096.73</v>
      </c>
      <c r="H368" s="7">
        <v>36529</v>
      </c>
      <c r="I368" s="6" t="s">
        <v>63</v>
      </c>
      <c r="J368" s="6" t="s">
        <v>790</v>
      </c>
      <c r="K368" s="6" t="s">
        <v>30</v>
      </c>
      <c r="L368" s="6" t="s">
        <v>31</v>
      </c>
      <c r="M368" s="6" t="s">
        <v>32</v>
      </c>
      <c r="N368" s="6">
        <v>1.84</v>
      </c>
      <c r="O368" s="6">
        <v>141</v>
      </c>
    </row>
    <row r="369" spans="1:15" ht="14.25" customHeight="1" x14ac:dyDescent="0.3">
      <c r="A369" s="6" t="s">
        <v>791</v>
      </c>
      <c r="B369" s="6">
        <v>44</v>
      </c>
      <c r="C369" s="6" t="s">
        <v>16</v>
      </c>
      <c r="D369" s="6" t="s">
        <v>55</v>
      </c>
      <c r="E369" s="6" t="s">
        <v>34</v>
      </c>
      <c r="F369" s="6">
        <v>1368</v>
      </c>
      <c r="G369" s="6">
        <v>55179.66</v>
      </c>
      <c r="H369" s="7">
        <v>43519</v>
      </c>
      <c r="I369" s="6" t="s">
        <v>66</v>
      </c>
      <c r="J369" s="6" t="s">
        <v>792</v>
      </c>
      <c r="K369" s="6" t="s">
        <v>37</v>
      </c>
      <c r="L369" s="6" t="s">
        <v>38</v>
      </c>
      <c r="M369" s="6" t="s">
        <v>39</v>
      </c>
      <c r="N369" s="6">
        <v>2.36</v>
      </c>
      <c r="O369" s="6">
        <v>56</v>
      </c>
    </row>
    <row r="370" spans="1:15" ht="14.25" customHeight="1" x14ac:dyDescent="0.3">
      <c r="A370" s="6" t="s">
        <v>793</v>
      </c>
      <c r="B370" s="6">
        <v>37</v>
      </c>
      <c r="C370" s="6" t="s">
        <v>25</v>
      </c>
      <c r="D370" s="6" t="s">
        <v>47</v>
      </c>
      <c r="E370" s="6" t="s">
        <v>18</v>
      </c>
      <c r="F370" s="6">
        <v>1369</v>
      </c>
      <c r="G370" s="6">
        <v>199478.17</v>
      </c>
      <c r="H370" s="7">
        <v>42674</v>
      </c>
      <c r="I370" s="6" t="s">
        <v>70</v>
      </c>
      <c r="J370" s="6" t="s">
        <v>794</v>
      </c>
      <c r="K370" s="6" t="s">
        <v>43</v>
      </c>
      <c r="L370" s="6" t="s">
        <v>44</v>
      </c>
      <c r="M370" s="6" t="s">
        <v>45</v>
      </c>
      <c r="N370" s="6">
        <v>3.96</v>
      </c>
      <c r="O370" s="6">
        <v>122</v>
      </c>
    </row>
    <row r="371" spans="1:15" ht="14.25" customHeight="1" x14ac:dyDescent="0.3">
      <c r="A371" s="6" t="s">
        <v>795</v>
      </c>
      <c r="B371" s="6">
        <v>47</v>
      </c>
      <c r="C371" s="6" t="s">
        <v>16</v>
      </c>
      <c r="D371" s="6" t="s">
        <v>69</v>
      </c>
      <c r="E371" s="6" t="s">
        <v>18</v>
      </c>
      <c r="F371" s="6">
        <v>1370</v>
      </c>
      <c r="G371" s="6">
        <v>76369.25</v>
      </c>
      <c r="H371" s="7">
        <v>39552</v>
      </c>
      <c r="I371" s="6" t="s">
        <v>73</v>
      </c>
      <c r="J371" s="6" t="s">
        <v>796</v>
      </c>
      <c r="K371" s="6" t="s">
        <v>51</v>
      </c>
      <c r="L371" s="6" t="s">
        <v>52</v>
      </c>
      <c r="M371" s="6" t="s">
        <v>53</v>
      </c>
      <c r="N371" s="6">
        <v>1.98</v>
      </c>
      <c r="O371" s="6">
        <v>182</v>
      </c>
    </row>
    <row r="372" spans="1:15" ht="14.25" customHeight="1" x14ac:dyDescent="0.3">
      <c r="A372" s="6" t="s">
        <v>797</v>
      </c>
      <c r="B372" s="6">
        <v>30</v>
      </c>
      <c r="C372" s="6" t="s">
        <v>25</v>
      </c>
      <c r="D372" s="6" t="s">
        <v>17</v>
      </c>
      <c r="E372" s="6" t="s">
        <v>80</v>
      </c>
      <c r="F372" s="6">
        <v>1371</v>
      </c>
      <c r="G372" s="6">
        <v>180074.03</v>
      </c>
      <c r="H372" s="7">
        <v>40305</v>
      </c>
      <c r="I372" s="6" t="s">
        <v>19</v>
      </c>
      <c r="J372" s="6" t="s">
        <v>798</v>
      </c>
      <c r="K372" s="6" t="s">
        <v>21</v>
      </c>
      <c r="L372" s="6" t="s">
        <v>22</v>
      </c>
      <c r="M372" s="6" t="s">
        <v>23</v>
      </c>
      <c r="N372" s="6">
        <v>1.47</v>
      </c>
      <c r="O372" s="6">
        <v>172</v>
      </c>
    </row>
    <row r="373" spans="1:15" ht="14.25" customHeight="1" x14ac:dyDescent="0.3">
      <c r="A373" s="6" t="s">
        <v>799</v>
      </c>
      <c r="B373" s="6">
        <v>57</v>
      </c>
      <c r="C373" s="6" t="s">
        <v>25</v>
      </c>
      <c r="D373" s="6" t="s">
        <v>26</v>
      </c>
      <c r="E373" s="6" t="s">
        <v>48</v>
      </c>
      <c r="F373" s="6">
        <v>1372</v>
      </c>
      <c r="G373" s="6">
        <v>90747.19</v>
      </c>
      <c r="H373" s="7">
        <v>36864</v>
      </c>
      <c r="I373" s="6" t="s">
        <v>28</v>
      </c>
      <c r="J373" s="6" t="s">
        <v>800</v>
      </c>
      <c r="K373" s="6" t="s">
        <v>30</v>
      </c>
      <c r="L373" s="6" t="s">
        <v>31</v>
      </c>
      <c r="M373" s="6" t="s">
        <v>32</v>
      </c>
      <c r="N373" s="6">
        <v>4.21</v>
      </c>
      <c r="O373" s="6">
        <v>137</v>
      </c>
    </row>
    <row r="374" spans="1:15" ht="14.25" customHeight="1" x14ac:dyDescent="0.3">
      <c r="A374" s="6" t="s">
        <v>801</v>
      </c>
      <c r="B374" s="6">
        <v>28</v>
      </c>
      <c r="C374" s="6" t="s">
        <v>62</v>
      </c>
      <c r="D374" s="6" t="s">
        <v>47</v>
      </c>
      <c r="E374" s="6" t="s">
        <v>18</v>
      </c>
      <c r="F374" s="6">
        <v>1373</v>
      </c>
      <c r="G374" s="6">
        <v>136176.37</v>
      </c>
      <c r="H374" s="7">
        <v>42453</v>
      </c>
      <c r="I374" s="6" t="s">
        <v>35</v>
      </c>
      <c r="J374" s="6" t="s">
        <v>802</v>
      </c>
      <c r="K374" s="6" t="s">
        <v>37</v>
      </c>
      <c r="L374" s="6" t="s">
        <v>38</v>
      </c>
      <c r="M374" s="6" t="s">
        <v>39</v>
      </c>
      <c r="N374" s="6">
        <v>1.1399999999999999</v>
      </c>
      <c r="O374" s="6">
        <v>182</v>
      </c>
    </row>
    <row r="375" spans="1:15" ht="14.25" customHeight="1" x14ac:dyDescent="0.3">
      <c r="A375" s="6" t="s">
        <v>803</v>
      </c>
      <c r="B375" s="6">
        <v>39</v>
      </c>
      <c r="C375" s="6" t="s">
        <v>62</v>
      </c>
      <c r="D375" s="6" t="s">
        <v>55</v>
      </c>
      <c r="E375" s="6" t="s">
        <v>34</v>
      </c>
      <c r="F375" s="6">
        <v>1374</v>
      </c>
      <c r="G375" s="6">
        <v>100792.17</v>
      </c>
      <c r="H375" s="7">
        <v>40952</v>
      </c>
      <c r="I375" s="6" t="s">
        <v>41</v>
      </c>
      <c r="J375" s="6" t="s">
        <v>804</v>
      </c>
      <c r="K375" s="6" t="s">
        <v>43</v>
      </c>
      <c r="L375" s="6" t="s">
        <v>44</v>
      </c>
      <c r="M375" s="6" t="s">
        <v>45</v>
      </c>
      <c r="N375" s="6">
        <v>2.09</v>
      </c>
      <c r="O375" s="6">
        <v>96</v>
      </c>
    </row>
    <row r="376" spans="1:15" ht="14.25" customHeight="1" x14ac:dyDescent="0.3">
      <c r="A376" s="6" t="s">
        <v>805</v>
      </c>
      <c r="B376" s="6">
        <v>29</v>
      </c>
      <c r="C376" s="6" t="s">
        <v>16</v>
      </c>
      <c r="D376" s="6" t="s">
        <v>55</v>
      </c>
      <c r="E376" s="6" t="s">
        <v>18</v>
      </c>
      <c r="F376" s="6">
        <v>1375</v>
      </c>
      <c r="G376" s="6">
        <v>78449.41</v>
      </c>
      <c r="H376" s="7">
        <v>42358</v>
      </c>
      <c r="I376" s="6" t="s">
        <v>49</v>
      </c>
      <c r="J376" s="6" t="s">
        <v>806</v>
      </c>
      <c r="K376" s="6" t="s">
        <v>51</v>
      </c>
      <c r="L376" s="6" t="s">
        <v>52</v>
      </c>
      <c r="M376" s="6" t="s">
        <v>53</v>
      </c>
      <c r="N376" s="6">
        <v>2.2999999999999998</v>
      </c>
      <c r="O376" s="6">
        <v>199</v>
      </c>
    </row>
    <row r="377" spans="1:15" ht="14.25" customHeight="1" x14ac:dyDescent="0.3">
      <c r="A377" s="6" t="s">
        <v>807</v>
      </c>
      <c r="B377" s="6">
        <v>42</v>
      </c>
      <c r="C377" s="6" t="s">
        <v>62</v>
      </c>
      <c r="D377" s="6" t="s">
        <v>47</v>
      </c>
      <c r="E377" s="6" t="s">
        <v>80</v>
      </c>
      <c r="F377" s="6">
        <v>1376</v>
      </c>
      <c r="G377" s="6">
        <v>120435.9</v>
      </c>
      <c r="H377" s="7">
        <v>41260</v>
      </c>
      <c r="I377" s="6" t="s">
        <v>56</v>
      </c>
      <c r="J377" s="6" t="s">
        <v>808</v>
      </c>
      <c r="K377" s="6" t="s">
        <v>21</v>
      </c>
      <c r="L377" s="6" t="s">
        <v>22</v>
      </c>
      <c r="M377" s="6" t="s">
        <v>23</v>
      </c>
      <c r="N377" s="6">
        <v>2.11</v>
      </c>
      <c r="O377" s="6">
        <v>170</v>
      </c>
    </row>
    <row r="378" spans="1:15" ht="14.25" customHeight="1" x14ac:dyDescent="0.3">
      <c r="A378" s="6" t="s">
        <v>809</v>
      </c>
      <c r="B378" s="6">
        <v>47</v>
      </c>
      <c r="C378" s="6" t="s">
        <v>25</v>
      </c>
      <c r="D378" s="6" t="s">
        <v>69</v>
      </c>
      <c r="E378" s="6" t="s">
        <v>27</v>
      </c>
      <c r="F378" s="6">
        <v>1377</v>
      </c>
      <c r="G378" s="6">
        <v>168409.03</v>
      </c>
      <c r="H378" s="7">
        <v>43094</v>
      </c>
      <c r="I378" s="6" t="s">
        <v>63</v>
      </c>
      <c r="J378" s="6" t="s">
        <v>810</v>
      </c>
      <c r="K378" s="6" t="s">
        <v>30</v>
      </c>
      <c r="L378" s="6" t="s">
        <v>31</v>
      </c>
      <c r="M378" s="6" t="s">
        <v>32</v>
      </c>
      <c r="N378" s="6">
        <v>4.58</v>
      </c>
      <c r="O378" s="6">
        <v>121</v>
      </c>
    </row>
    <row r="379" spans="1:15" ht="14.25" customHeight="1" x14ac:dyDescent="0.3">
      <c r="A379" s="6" t="s">
        <v>811</v>
      </c>
      <c r="B379" s="6">
        <v>24</v>
      </c>
      <c r="C379" s="6" t="s">
        <v>16</v>
      </c>
      <c r="D379" s="6" t="s">
        <v>47</v>
      </c>
      <c r="E379" s="6" t="s">
        <v>34</v>
      </c>
      <c r="F379" s="6">
        <v>1378</v>
      </c>
      <c r="G379" s="6">
        <v>165542.69</v>
      </c>
      <c r="H379" s="7">
        <v>37648</v>
      </c>
      <c r="I379" s="6" t="s">
        <v>66</v>
      </c>
      <c r="J379" s="6" t="s">
        <v>812</v>
      </c>
      <c r="K379" s="6" t="s">
        <v>37</v>
      </c>
      <c r="L379" s="6" t="s">
        <v>38</v>
      </c>
      <c r="M379" s="6" t="s">
        <v>39</v>
      </c>
      <c r="N379" s="6">
        <v>1.47</v>
      </c>
      <c r="O379" s="6">
        <v>8</v>
      </c>
    </row>
    <row r="380" spans="1:15" ht="14.25" customHeight="1" x14ac:dyDescent="0.3">
      <c r="A380" s="6" t="s">
        <v>813</v>
      </c>
      <c r="B380" s="6">
        <v>38</v>
      </c>
      <c r="C380" s="6" t="s">
        <v>62</v>
      </c>
      <c r="D380" s="6" t="s">
        <v>26</v>
      </c>
      <c r="E380" s="6" t="s">
        <v>34</v>
      </c>
      <c r="F380" s="6">
        <v>1379</v>
      </c>
      <c r="G380" s="6">
        <v>158346.10999999999</v>
      </c>
      <c r="H380" s="7">
        <v>42012</v>
      </c>
      <c r="I380" s="6" t="s">
        <v>70</v>
      </c>
      <c r="J380" s="6" t="s">
        <v>814</v>
      </c>
      <c r="K380" s="6" t="s">
        <v>43</v>
      </c>
      <c r="L380" s="6" t="s">
        <v>44</v>
      </c>
      <c r="M380" s="6" t="s">
        <v>45</v>
      </c>
      <c r="N380" s="6">
        <v>1.21</v>
      </c>
      <c r="O380" s="6">
        <v>49</v>
      </c>
    </row>
    <row r="381" spans="1:15" ht="14.25" customHeight="1" x14ac:dyDescent="0.3">
      <c r="A381" s="6" t="s">
        <v>815</v>
      </c>
      <c r="B381" s="6">
        <v>45</v>
      </c>
      <c r="C381" s="6" t="s">
        <v>16</v>
      </c>
      <c r="D381" s="6" t="s">
        <v>47</v>
      </c>
      <c r="E381" s="6" t="s">
        <v>27</v>
      </c>
      <c r="F381" s="6">
        <v>1380</v>
      </c>
      <c r="G381" s="6">
        <v>183095.37</v>
      </c>
      <c r="H381" s="7">
        <v>39811</v>
      </c>
      <c r="I381" s="6" t="s">
        <v>73</v>
      </c>
      <c r="J381" s="6" t="s">
        <v>816</v>
      </c>
      <c r="K381" s="6" t="s">
        <v>51</v>
      </c>
      <c r="L381" s="6" t="s">
        <v>52</v>
      </c>
      <c r="M381" s="6" t="s">
        <v>53</v>
      </c>
      <c r="N381" s="6">
        <v>1.46</v>
      </c>
      <c r="O381" s="6">
        <v>182</v>
      </c>
    </row>
    <row r="382" spans="1:15" ht="14.25" customHeight="1" x14ac:dyDescent="0.3">
      <c r="A382" s="6" t="s">
        <v>817</v>
      </c>
      <c r="B382" s="6">
        <v>46</v>
      </c>
      <c r="C382" s="6" t="s">
        <v>16</v>
      </c>
      <c r="D382" s="6" t="s">
        <v>17</v>
      </c>
      <c r="E382" s="6" t="s">
        <v>80</v>
      </c>
      <c r="F382" s="6">
        <v>1381</v>
      </c>
      <c r="G382" s="6">
        <v>86625.51</v>
      </c>
      <c r="H382" s="7">
        <v>42396</v>
      </c>
      <c r="I382" s="6" t="s">
        <v>19</v>
      </c>
      <c r="J382" s="6" t="s">
        <v>818</v>
      </c>
      <c r="K382" s="6" t="s">
        <v>21</v>
      </c>
      <c r="L382" s="6" t="s">
        <v>22</v>
      </c>
      <c r="M382" s="6" t="s">
        <v>23</v>
      </c>
      <c r="N382" s="6">
        <v>1.42</v>
      </c>
      <c r="O382" s="6">
        <v>104</v>
      </c>
    </row>
    <row r="383" spans="1:15" ht="14.25" customHeight="1" x14ac:dyDescent="0.3">
      <c r="A383" s="6" t="s">
        <v>819</v>
      </c>
      <c r="B383" s="6">
        <v>26</v>
      </c>
      <c r="C383" s="6" t="s">
        <v>25</v>
      </c>
      <c r="D383" s="6" t="s">
        <v>47</v>
      </c>
      <c r="E383" s="6" t="s">
        <v>80</v>
      </c>
      <c r="F383" s="6">
        <v>1382</v>
      </c>
      <c r="G383" s="6">
        <v>107360.69</v>
      </c>
      <c r="H383" s="7">
        <v>43306</v>
      </c>
      <c r="I383" s="6" t="s">
        <v>28</v>
      </c>
      <c r="J383" s="6" t="s">
        <v>820</v>
      </c>
      <c r="K383" s="6" t="s">
        <v>30</v>
      </c>
      <c r="L383" s="6" t="s">
        <v>31</v>
      </c>
      <c r="M383" s="6" t="s">
        <v>32</v>
      </c>
      <c r="N383" s="6">
        <v>1.1100000000000001</v>
      </c>
      <c r="O383" s="6">
        <v>9</v>
      </c>
    </row>
    <row r="384" spans="1:15" ht="14.25" customHeight="1" x14ac:dyDescent="0.3">
      <c r="A384" s="6" t="s">
        <v>821</v>
      </c>
      <c r="B384" s="6">
        <v>58</v>
      </c>
      <c r="C384" s="6" t="s">
        <v>62</v>
      </c>
      <c r="D384" s="6" t="s">
        <v>47</v>
      </c>
      <c r="E384" s="6" t="s">
        <v>48</v>
      </c>
      <c r="F384" s="6">
        <v>1383</v>
      </c>
      <c r="G384" s="6">
        <v>79133.89</v>
      </c>
      <c r="H384" s="7">
        <v>41173</v>
      </c>
      <c r="I384" s="6" t="s">
        <v>35</v>
      </c>
      <c r="J384" s="6" t="s">
        <v>822</v>
      </c>
      <c r="K384" s="6" t="s">
        <v>37</v>
      </c>
      <c r="L384" s="6" t="s">
        <v>38</v>
      </c>
      <c r="M384" s="6" t="s">
        <v>39</v>
      </c>
      <c r="N384" s="6">
        <v>2.06</v>
      </c>
      <c r="O384" s="6">
        <v>174</v>
      </c>
    </row>
    <row r="385" spans="1:15" ht="14.25" customHeight="1" x14ac:dyDescent="0.3">
      <c r="A385" s="6" t="s">
        <v>823</v>
      </c>
      <c r="B385" s="6">
        <v>45</v>
      </c>
      <c r="C385" s="6" t="s">
        <v>25</v>
      </c>
      <c r="D385" s="6" t="s">
        <v>26</v>
      </c>
      <c r="E385" s="6" t="s">
        <v>34</v>
      </c>
      <c r="F385" s="6">
        <v>1384</v>
      </c>
      <c r="G385" s="6">
        <v>98849.600000000006</v>
      </c>
      <c r="H385" s="7">
        <v>39335</v>
      </c>
      <c r="I385" s="6" t="s">
        <v>41</v>
      </c>
      <c r="J385" s="6" t="s">
        <v>824</v>
      </c>
      <c r="K385" s="6" t="s">
        <v>43</v>
      </c>
      <c r="L385" s="6" t="s">
        <v>44</v>
      </c>
      <c r="M385" s="6" t="s">
        <v>45</v>
      </c>
      <c r="N385" s="6">
        <v>4.09</v>
      </c>
      <c r="O385" s="6">
        <v>86</v>
      </c>
    </row>
    <row r="386" spans="1:15" ht="14.25" customHeight="1" x14ac:dyDescent="0.3">
      <c r="A386" s="6" t="s">
        <v>825</v>
      </c>
      <c r="B386" s="6">
        <v>52</v>
      </c>
      <c r="C386" s="6" t="s">
        <v>16</v>
      </c>
      <c r="D386" s="6" t="s">
        <v>26</v>
      </c>
      <c r="E386" s="6" t="s">
        <v>48</v>
      </c>
      <c r="F386" s="6">
        <v>1385</v>
      </c>
      <c r="G386" s="6">
        <v>83955.17</v>
      </c>
      <c r="H386" s="7">
        <v>44913</v>
      </c>
      <c r="I386" s="6" t="s">
        <v>49</v>
      </c>
      <c r="J386" s="6" t="s">
        <v>826</v>
      </c>
      <c r="K386" s="6" t="s">
        <v>51</v>
      </c>
      <c r="L386" s="6" t="s">
        <v>52</v>
      </c>
      <c r="M386" s="6" t="s">
        <v>53</v>
      </c>
      <c r="N386" s="6">
        <v>1.1299999999999999</v>
      </c>
      <c r="O386" s="6">
        <v>7</v>
      </c>
    </row>
    <row r="387" spans="1:15" ht="14.25" customHeight="1" x14ac:dyDescent="0.3">
      <c r="A387" s="6" t="s">
        <v>827</v>
      </c>
      <c r="B387" s="6">
        <v>47</v>
      </c>
      <c r="C387" s="6" t="s">
        <v>16</v>
      </c>
      <c r="D387" s="6" t="s">
        <v>69</v>
      </c>
      <c r="E387" s="6" t="s">
        <v>18</v>
      </c>
      <c r="F387" s="6">
        <v>1386</v>
      </c>
      <c r="G387" s="6">
        <v>55945.15</v>
      </c>
      <c r="H387" s="7">
        <v>36699</v>
      </c>
      <c r="I387" s="6" t="s">
        <v>56</v>
      </c>
      <c r="J387" s="6" t="s">
        <v>828</v>
      </c>
      <c r="K387" s="6" t="s">
        <v>21</v>
      </c>
      <c r="L387" s="6" t="s">
        <v>22</v>
      </c>
      <c r="M387" s="6" t="s">
        <v>23</v>
      </c>
      <c r="N387" s="6">
        <v>4.34</v>
      </c>
      <c r="O387" s="6">
        <v>140</v>
      </c>
    </row>
    <row r="388" spans="1:15" ht="14.25" customHeight="1" x14ac:dyDescent="0.3">
      <c r="A388" s="6" t="s">
        <v>829</v>
      </c>
      <c r="B388" s="6">
        <v>42</v>
      </c>
      <c r="C388" s="6" t="s">
        <v>16</v>
      </c>
      <c r="D388" s="6" t="s">
        <v>26</v>
      </c>
      <c r="E388" s="6" t="s">
        <v>48</v>
      </c>
      <c r="F388" s="6">
        <v>1387</v>
      </c>
      <c r="G388" s="6">
        <v>189257.88</v>
      </c>
      <c r="H388" s="7">
        <v>43222</v>
      </c>
      <c r="I388" s="6" t="s">
        <v>63</v>
      </c>
      <c r="J388" s="6" t="s">
        <v>830</v>
      </c>
      <c r="K388" s="6" t="s">
        <v>30</v>
      </c>
      <c r="L388" s="6" t="s">
        <v>31</v>
      </c>
      <c r="M388" s="6" t="s">
        <v>32</v>
      </c>
      <c r="N388" s="6">
        <v>2.86</v>
      </c>
      <c r="O388" s="6">
        <v>162</v>
      </c>
    </row>
    <row r="389" spans="1:15" ht="14.25" customHeight="1" x14ac:dyDescent="0.3">
      <c r="A389" s="6" t="s">
        <v>831</v>
      </c>
      <c r="B389" s="6">
        <v>55</v>
      </c>
      <c r="C389" s="6" t="s">
        <v>62</v>
      </c>
      <c r="D389" s="6" t="s">
        <v>26</v>
      </c>
      <c r="E389" s="6" t="s">
        <v>48</v>
      </c>
      <c r="F389" s="6">
        <v>1388</v>
      </c>
      <c r="G389" s="6">
        <v>166063.21</v>
      </c>
      <c r="H389" s="7">
        <v>37013</v>
      </c>
      <c r="I389" s="6" t="s">
        <v>66</v>
      </c>
      <c r="J389" s="6" t="s">
        <v>832</v>
      </c>
      <c r="K389" s="6" t="s">
        <v>37</v>
      </c>
      <c r="L389" s="6" t="s">
        <v>38</v>
      </c>
      <c r="M389" s="6" t="s">
        <v>39</v>
      </c>
      <c r="N389" s="6">
        <v>4.66</v>
      </c>
      <c r="O389" s="6">
        <v>141</v>
      </c>
    </row>
    <row r="390" spans="1:15" ht="14.25" customHeight="1" x14ac:dyDescent="0.3">
      <c r="A390" s="6" t="s">
        <v>833</v>
      </c>
      <c r="B390" s="6">
        <v>59</v>
      </c>
      <c r="C390" s="6" t="s">
        <v>25</v>
      </c>
      <c r="D390" s="6" t="s">
        <v>26</v>
      </c>
      <c r="E390" s="6" t="s">
        <v>27</v>
      </c>
      <c r="F390" s="6">
        <v>1389</v>
      </c>
      <c r="G390" s="6">
        <v>96180.12</v>
      </c>
      <c r="H390" s="7">
        <v>40608</v>
      </c>
      <c r="I390" s="6" t="s">
        <v>70</v>
      </c>
      <c r="J390" s="6" t="s">
        <v>834</v>
      </c>
      <c r="K390" s="6" t="s">
        <v>43</v>
      </c>
      <c r="L390" s="6" t="s">
        <v>44</v>
      </c>
      <c r="M390" s="6" t="s">
        <v>45</v>
      </c>
      <c r="N390" s="6">
        <v>2.89</v>
      </c>
      <c r="O390" s="6">
        <v>128</v>
      </c>
    </row>
    <row r="391" spans="1:15" ht="14.25" customHeight="1" x14ac:dyDescent="0.3">
      <c r="A391" s="6" t="s">
        <v>835</v>
      </c>
      <c r="B391" s="6">
        <v>45</v>
      </c>
      <c r="C391" s="6" t="s">
        <v>25</v>
      </c>
      <c r="D391" s="6" t="s">
        <v>47</v>
      </c>
      <c r="E391" s="6" t="s">
        <v>48</v>
      </c>
      <c r="F391" s="6">
        <v>1390</v>
      </c>
      <c r="G391" s="6">
        <v>146965.15</v>
      </c>
      <c r="H391" s="7">
        <v>38860</v>
      </c>
      <c r="I391" s="6" t="s">
        <v>73</v>
      </c>
      <c r="J391" s="6" t="s">
        <v>836</v>
      </c>
      <c r="K391" s="6" t="s">
        <v>51</v>
      </c>
      <c r="L391" s="6" t="s">
        <v>52</v>
      </c>
      <c r="M391" s="6" t="s">
        <v>53</v>
      </c>
      <c r="N391" s="6">
        <v>3.38</v>
      </c>
      <c r="O391" s="6">
        <v>165</v>
      </c>
    </row>
    <row r="392" spans="1:15" ht="14.25" customHeight="1" x14ac:dyDescent="0.3">
      <c r="A392" s="6" t="s">
        <v>837</v>
      </c>
      <c r="B392" s="6">
        <v>49</v>
      </c>
      <c r="C392" s="6" t="s">
        <v>62</v>
      </c>
      <c r="D392" s="6" t="s">
        <v>47</v>
      </c>
      <c r="E392" s="6" t="s">
        <v>18</v>
      </c>
      <c r="F392" s="6">
        <v>1391</v>
      </c>
      <c r="G392" s="6">
        <v>50377.71</v>
      </c>
      <c r="H392" s="7">
        <v>39423</v>
      </c>
      <c r="I392" s="6" t="s">
        <v>19</v>
      </c>
      <c r="J392" s="6" t="s">
        <v>838</v>
      </c>
      <c r="K392" s="6" t="s">
        <v>21</v>
      </c>
      <c r="L392" s="6" t="s">
        <v>22</v>
      </c>
      <c r="M392" s="6" t="s">
        <v>23</v>
      </c>
      <c r="N392" s="6">
        <v>4.51</v>
      </c>
      <c r="O392" s="6">
        <v>3</v>
      </c>
    </row>
    <row r="393" spans="1:15" ht="14.25" customHeight="1" x14ac:dyDescent="0.3">
      <c r="A393" s="6" t="s">
        <v>839</v>
      </c>
      <c r="B393" s="6">
        <v>51</v>
      </c>
      <c r="C393" s="6" t="s">
        <v>25</v>
      </c>
      <c r="D393" s="6" t="s">
        <v>26</v>
      </c>
      <c r="E393" s="6" t="s">
        <v>48</v>
      </c>
      <c r="F393" s="6">
        <v>1392</v>
      </c>
      <c r="G393" s="6">
        <v>164374.14000000001</v>
      </c>
      <c r="H393" s="7">
        <v>39945</v>
      </c>
      <c r="I393" s="6" t="s">
        <v>28</v>
      </c>
      <c r="J393" s="6" t="s">
        <v>840</v>
      </c>
      <c r="K393" s="6" t="s">
        <v>30</v>
      </c>
      <c r="L393" s="6" t="s">
        <v>31</v>
      </c>
      <c r="M393" s="6" t="s">
        <v>32</v>
      </c>
      <c r="N393" s="6">
        <v>1.35</v>
      </c>
      <c r="O393" s="6">
        <v>28</v>
      </c>
    </row>
    <row r="394" spans="1:15" ht="14.25" customHeight="1" x14ac:dyDescent="0.3">
      <c r="A394" s="6" t="s">
        <v>841</v>
      </c>
      <c r="B394" s="6">
        <v>55</v>
      </c>
      <c r="C394" s="6" t="s">
        <v>25</v>
      </c>
      <c r="D394" s="6" t="s">
        <v>55</v>
      </c>
      <c r="E394" s="6" t="s">
        <v>80</v>
      </c>
      <c r="F394" s="6">
        <v>1393</v>
      </c>
      <c r="G394" s="6">
        <v>129558.01</v>
      </c>
      <c r="H394" s="7">
        <v>36849</v>
      </c>
      <c r="I394" s="6" t="s">
        <v>35</v>
      </c>
      <c r="J394" s="6" t="s">
        <v>842</v>
      </c>
      <c r="K394" s="6" t="s">
        <v>37</v>
      </c>
      <c r="L394" s="6" t="s">
        <v>38</v>
      </c>
      <c r="M394" s="6" t="s">
        <v>39</v>
      </c>
      <c r="N394" s="6">
        <v>4.63</v>
      </c>
      <c r="O394" s="6">
        <v>120</v>
      </c>
    </row>
    <row r="395" spans="1:15" ht="14.25" customHeight="1" x14ac:dyDescent="0.3">
      <c r="A395" s="6" t="s">
        <v>843</v>
      </c>
      <c r="B395" s="6">
        <v>44</v>
      </c>
      <c r="C395" s="6" t="s">
        <v>16</v>
      </c>
      <c r="D395" s="6" t="s">
        <v>26</v>
      </c>
      <c r="E395" s="6" t="s">
        <v>48</v>
      </c>
      <c r="F395" s="6">
        <v>1394</v>
      </c>
      <c r="G395" s="6">
        <v>69389.240000000005</v>
      </c>
      <c r="H395" s="7">
        <v>40313</v>
      </c>
      <c r="I395" s="6" t="s">
        <v>41</v>
      </c>
      <c r="J395" s="6" t="s">
        <v>844</v>
      </c>
      <c r="K395" s="6" t="s">
        <v>43</v>
      </c>
      <c r="L395" s="6" t="s">
        <v>44</v>
      </c>
      <c r="M395" s="6" t="s">
        <v>45</v>
      </c>
      <c r="N395" s="6">
        <v>2.88</v>
      </c>
      <c r="O395" s="6">
        <v>101</v>
      </c>
    </row>
    <row r="396" spans="1:15" ht="14.25" customHeight="1" x14ac:dyDescent="0.3">
      <c r="A396" s="6" t="s">
        <v>845</v>
      </c>
      <c r="B396" s="6">
        <v>29</v>
      </c>
      <c r="C396" s="6" t="s">
        <v>16</v>
      </c>
      <c r="D396" s="6" t="s">
        <v>26</v>
      </c>
      <c r="E396" s="6" t="s">
        <v>27</v>
      </c>
      <c r="F396" s="6">
        <v>1395</v>
      </c>
      <c r="G396" s="6">
        <v>108015.22</v>
      </c>
      <c r="H396" s="7">
        <v>37409</v>
      </c>
      <c r="I396" s="6" t="s">
        <v>49</v>
      </c>
      <c r="J396" s="6" t="s">
        <v>846</v>
      </c>
      <c r="K396" s="6" t="s">
        <v>51</v>
      </c>
      <c r="L396" s="6" t="s">
        <v>52</v>
      </c>
      <c r="M396" s="6" t="s">
        <v>53</v>
      </c>
      <c r="N396" s="6">
        <v>2.92</v>
      </c>
      <c r="O396" s="6">
        <v>121</v>
      </c>
    </row>
    <row r="397" spans="1:15" ht="14.25" customHeight="1" x14ac:dyDescent="0.3">
      <c r="A397" s="6" t="s">
        <v>847</v>
      </c>
      <c r="B397" s="6">
        <v>63</v>
      </c>
      <c r="C397" s="6" t="s">
        <v>16</v>
      </c>
      <c r="D397" s="6" t="s">
        <v>69</v>
      </c>
      <c r="E397" s="6" t="s">
        <v>27</v>
      </c>
      <c r="F397" s="6">
        <v>1396</v>
      </c>
      <c r="G397" s="6">
        <v>66325.66</v>
      </c>
      <c r="H397" s="7">
        <v>36867</v>
      </c>
      <c r="I397" s="6" t="s">
        <v>56</v>
      </c>
      <c r="J397" s="6" t="s">
        <v>848</v>
      </c>
      <c r="K397" s="6" t="s">
        <v>21</v>
      </c>
      <c r="L397" s="6" t="s">
        <v>22</v>
      </c>
      <c r="M397" s="6" t="s">
        <v>23</v>
      </c>
      <c r="N397" s="6">
        <v>3.48</v>
      </c>
      <c r="O397" s="6">
        <v>187</v>
      </c>
    </row>
    <row r="398" spans="1:15" ht="14.25" customHeight="1" x14ac:dyDescent="0.3">
      <c r="A398" s="6" t="s">
        <v>849</v>
      </c>
      <c r="B398" s="6">
        <v>31</v>
      </c>
      <c r="C398" s="6" t="s">
        <v>62</v>
      </c>
      <c r="D398" s="6" t="s">
        <v>26</v>
      </c>
      <c r="E398" s="6" t="s">
        <v>27</v>
      </c>
      <c r="F398" s="6">
        <v>1397</v>
      </c>
      <c r="G398" s="6">
        <v>131376</v>
      </c>
      <c r="H398" s="7">
        <v>40722</v>
      </c>
      <c r="I398" s="6" t="s">
        <v>63</v>
      </c>
      <c r="J398" s="6" t="s">
        <v>850</v>
      </c>
      <c r="K398" s="6" t="s">
        <v>30</v>
      </c>
      <c r="L398" s="6" t="s">
        <v>31</v>
      </c>
      <c r="M398" s="6" t="s">
        <v>32</v>
      </c>
      <c r="N398" s="6">
        <v>4.5</v>
      </c>
      <c r="O398" s="6">
        <v>16</v>
      </c>
    </row>
    <row r="399" spans="1:15" ht="14.25" customHeight="1" x14ac:dyDescent="0.3">
      <c r="A399" s="6" t="s">
        <v>851</v>
      </c>
      <c r="B399" s="6">
        <v>22</v>
      </c>
      <c r="C399" s="6" t="s">
        <v>16</v>
      </c>
      <c r="D399" s="6" t="s">
        <v>26</v>
      </c>
      <c r="E399" s="6" t="s">
        <v>48</v>
      </c>
      <c r="F399" s="6">
        <v>1398</v>
      </c>
      <c r="G399" s="6">
        <v>92174.65</v>
      </c>
      <c r="H399" s="7">
        <v>37932</v>
      </c>
      <c r="I399" s="6" t="s">
        <v>66</v>
      </c>
      <c r="J399" s="6" t="s">
        <v>852</v>
      </c>
      <c r="K399" s="6" t="s">
        <v>37</v>
      </c>
      <c r="L399" s="6" t="s">
        <v>38</v>
      </c>
      <c r="M399" s="6" t="s">
        <v>39</v>
      </c>
      <c r="N399" s="6">
        <v>3.88</v>
      </c>
      <c r="O399" s="6">
        <v>42</v>
      </c>
    </row>
    <row r="400" spans="1:15" ht="14.25" customHeight="1" x14ac:dyDescent="0.3">
      <c r="A400" s="6" t="s">
        <v>853</v>
      </c>
      <c r="B400" s="6">
        <v>41</v>
      </c>
      <c r="C400" s="6" t="s">
        <v>25</v>
      </c>
      <c r="D400" s="6" t="s">
        <v>69</v>
      </c>
      <c r="E400" s="6" t="s">
        <v>18</v>
      </c>
      <c r="F400" s="6">
        <v>1399</v>
      </c>
      <c r="G400" s="6">
        <v>152633.64000000001</v>
      </c>
      <c r="H400" s="7">
        <v>38467</v>
      </c>
      <c r="I400" s="6" t="s">
        <v>70</v>
      </c>
      <c r="J400" s="6" t="s">
        <v>854</v>
      </c>
      <c r="K400" s="6" t="s">
        <v>43</v>
      </c>
      <c r="L400" s="6" t="s">
        <v>44</v>
      </c>
      <c r="M400" s="6" t="s">
        <v>45</v>
      </c>
      <c r="N400" s="6">
        <v>3.8</v>
      </c>
      <c r="O400" s="6">
        <v>39</v>
      </c>
    </row>
    <row r="401" spans="1:15" ht="14.25" customHeight="1" x14ac:dyDescent="0.3">
      <c r="A401" s="6" t="s">
        <v>855</v>
      </c>
      <c r="B401" s="6">
        <v>58</v>
      </c>
      <c r="C401" s="6" t="s">
        <v>62</v>
      </c>
      <c r="D401" s="6" t="s">
        <v>26</v>
      </c>
      <c r="E401" s="6" t="s">
        <v>34</v>
      </c>
      <c r="F401" s="6">
        <v>1400</v>
      </c>
      <c r="G401" s="6">
        <v>189097.28</v>
      </c>
      <c r="H401" s="7">
        <v>42024</v>
      </c>
      <c r="I401" s="6" t="s">
        <v>73</v>
      </c>
      <c r="J401" s="6" t="s">
        <v>856</v>
      </c>
      <c r="K401" s="6" t="s">
        <v>51</v>
      </c>
      <c r="L401" s="6" t="s">
        <v>52</v>
      </c>
      <c r="M401" s="6" t="s">
        <v>53</v>
      </c>
      <c r="N401" s="6">
        <v>1.48</v>
      </c>
      <c r="O401" s="6">
        <v>41</v>
      </c>
    </row>
    <row r="402" spans="1:15" ht="14.25" customHeight="1" x14ac:dyDescent="0.3">
      <c r="A402" s="6" t="s">
        <v>857</v>
      </c>
      <c r="B402" s="6">
        <v>39</v>
      </c>
      <c r="C402" s="6" t="s">
        <v>25</v>
      </c>
      <c r="D402" s="6" t="s">
        <v>26</v>
      </c>
      <c r="E402" s="6" t="s">
        <v>27</v>
      </c>
      <c r="F402" s="6">
        <v>1401</v>
      </c>
      <c r="G402" s="6">
        <v>56287.66</v>
      </c>
      <c r="H402" s="7">
        <v>40219</v>
      </c>
      <c r="I402" s="6" t="s">
        <v>19</v>
      </c>
      <c r="J402" s="6" t="s">
        <v>858</v>
      </c>
      <c r="K402" s="6" t="s">
        <v>21</v>
      </c>
      <c r="L402" s="6" t="s">
        <v>22</v>
      </c>
      <c r="M402" s="6" t="s">
        <v>23</v>
      </c>
      <c r="N402" s="6">
        <v>3.25</v>
      </c>
      <c r="O402" s="6">
        <v>150</v>
      </c>
    </row>
    <row r="403" spans="1:15" ht="14.25" customHeight="1" x14ac:dyDescent="0.3">
      <c r="A403" s="6" t="s">
        <v>859</v>
      </c>
      <c r="B403" s="6">
        <v>42</v>
      </c>
      <c r="C403" s="6" t="s">
        <v>62</v>
      </c>
      <c r="D403" s="6" t="s">
        <v>17</v>
      </c>
      <c r="E403" s="6" t="s">
        <v>48</v>
      </c>
      <c r="F403" s="6">
        <v>1402</v>
      </c>
      <c r="G403" s="6">
        <v>100083.47</v>
      </c>
      <c r="H403" s="7">
        <v>42495</v>
      </c>
      <c r="I403" s="6" t="s">
        <v>28</v>
      </c>
      <c r="J403" s="6" t="s">
        <v>860</v>
      </c>
      <c r="K403" s="6" t="s">
        <v>30</v>
      </c>
      <c r="L403" s="6" t="s">
        <v>31</v>
      </c>
      <c r="M403" s="6" t="s">
        <v>32</v>
      </c>
      <c r="N403" s="6">
        <v>3.22</v>
      </c>
      <c r="O403" s="6">
        <v>137</v>
      </c>
    </row>
    <row r="404" spans="1:15" ht="14.25" customHeight="1" x14ac:dyDescent="0.3">
      <c r="A404" s="6" t="s">
        <v>861</v>
      </c>
      <c r="B404" s="6">
        <v>25</v>
      </c>
      <c r="C404" s="6" t="s">
        <v>25</v>
      </c>
      <c r="D404" s="6" t="s">
        <v>69</v>
      </c>
      <c r="E404" s="6" t="s">
        <v>34</v>
      </c>
      <c r="F404" s="6">
        <v>1403</v>
      </c>
      <c r="G404" s="6">
        <v>120298.18</v>
      </c>
      <c r="H404" s="7">
        <v>44219</v>
      </c>
      <c r="I404" s="6" t="s">
        <v>35</v>
      </c>
      <c r="J404" s="6" t="s">
        <v>862</v>
      </c>
      <c r="K404" s="6" t="s">
        <v>37</v>
      </c>
      <c r="L404" s="6" t="s">
        <v>38</v>
      </c>
      <c r="M404" s="6" t="s">
        <v>39</v>
      </c>
      <c r="N404" s="6">
        <v>3.04</v>
      </c>
      <c r="O404" s="6">
        <v>173</v>
      </c>
    </row>
    <row r="405" spans="1:15" ht="14.25" customHeight="1" x14ac:dyDescent="0.3">
      <c r="A405" s="6" t="s">
        <v>863</v>
      </c>
      <c r="B405" s="6">
        <v>64</v>
      </c>
      <c r="C405" s="6" t="s">
        <v>62</v>
      </c>
      <c r="D405" s="6" t="s">
        <v>69</v>
      </c>
      <c r="E405" s="6" t="s">
        <v>80</v>
      </c>
      <c r="F405" s="6">
        <v>1404</v>
      </c>
      <c r="G405" s="6">
        <v>158702.24</v>
      </c>
      <c r="H405" s="7">
        <v>40812</v>
      </c>
      <c r="I405" s="6" t="s">
        <v>41</v>
      </c>
      <c r="J405" s="6" t="s">
        <v>864</v>
      </c>
      <c r="K405" s="6" t="s">
        <v>43</v>
      </c>
      <c r="L405" s="6" t="s">
        <v>44</v>
      </c>
      <c r="M405" s="6" t="s">
        <v>45</v>
      </c>
      <c r="N405" s="6">
        <v>1.1299999999999999</v>
      </c>
      <c r="O405" s="6">
        <v>67</v>
      </c>
    </row>
    <row r="406" spans="1:15" ht="14.25" customHeight="1" x14ac:dyDescent="0.3">
      <c r="A406" s="6" t="s">
        <v>865</v>
      </c>
      <c r="B406" s="6">
        <v>23</v>
      </c>
      <c r="C406" s="6" t="s">
        <v>25</v>
      </c>
      <c r="D406" s="6" t="s">
        <v>17</v>
      </c>
      <c r="E406" s="6" t="s">
        <v>80</v>
      </c>
      <c r="F406" s="6">
        <v>1405</v>
      </c>
      <c r="G406" s="6">
        <v>77263.34</v>
      </c>
      <c r="H406" s="7">
        <v>44586</v>
      </c>
      <c r="I406" s="6" t="s">
        <v>49</v>
      </c>
      <c r="J406" s="6" t="s">
        <v>866</v>
      </c>
      <c r="K406" s="6" t="s">
        <v>51</v>
      </c>
      <c r="L406" s="6" t="s">
        <v>52</v>
      </c>
      <c r="M406" s="6" t="s">
        <v>53</v>
      </c>
      <c r="N406" s="6">
        <v>4.07</v>
      </c>
      <c r="O406" s="6">
        <v>145</v>
      </c>
    </row>
    <row r="407" spans="1:15" ht="14.25" customHeight="1" x14ac:dyDescent="0.3">
      <c r="A407" s="6" t="s">
        <v>867</v>
      </c>
      <c r="B407" s="6">
        <v>42</v>
      </c>
      <c r="C407" s="6" t="s">
        <v>16</v>
      </c>
      <c r="D407" s="6" t="s">
        <v>69</v>
      </c>
      <c r="E407" s="6" t="s">
        <v>27</v>
      </c>
      <c r="F407" s="6">
        <v>1406</v>
      </c>
      <c r="G407" s="6">
        <v>81558.710000000006</v>
      </c>
      <c r="H407" s="7">
        <v>43449</v>
      </c>
      <c r="I407" s="6" t="s">
        <v>56</v>
      </c>
      <c r="J407" s="6" t="s">
        <v>868</v>
      </c>
      <c r="K407" s="6" t="s">
        <v>21</v>
      </c>
      <c r="L407" s="6" t="s">
        <v>22</v>
      </c>
      <c r="M407" s="6" t="s">
        <v>23</v>
      </c>
      <c r="N407" s="6">
        <v>2.29</v>
      </c>
      <c r="O407" s="6">
        <v>169</v>
      </c>
    </row>
    <row r="408" spans="1:15" ht="14.25" customHeight="1" x14ac:dyDescent="0.3">
      <c r="A408" s="6" t="s">
        <v>869</v>
      </c>
      <c r="B408" s="6">
        <v>58</v>
      </c>
      <c r="C408" s="6" t="s">
        <v>62</v>
      </c>
      <c r="D408" s="6" t="s">
        <v>55</v>
      </c>
      <c r="E408" s="6" t="s">
        <v>27</v>
      </c>
      <c r="F408" s="6">
        <v>1407</v>
      </c>
      <c r="G408" s="6">
        <v>72396.899999999994</v>
      </c>
      <c r="H408" s="7">
        <v>41277</v>
      </c>
      <c r="I408" s="6" t="s">
        <v>63</v>
      </c>
      <c r="J408" s="6" t="s">
        <v>870</v>
      </c>
      <c r="K408" s="6" t="s">
        <v>30</v>
      </c>
      <c r="L408" s="6" t="s">
        <v>31</v>
      </c>
      <c r="M408" s="6" t="s">
        <v>32</v>
      </c>
      <c r="N408" s="6">
        <v>2.75</v>
      </c>
      <c r="O408" s="6">
        <v>140</v>
      </c>
    </row>
    <row r="409" spans="1:15" ht="14.25" customHeight="1" x14ac:dyDescent="0.3">
      <c r="A409" s="6" t="s">
        <v>871</v>
      </c>
      <c r="B409" s="6">
        <v>26</v>
      </c>
      <c r="C409" s="6" t="s">
        <v>25</v>
      </c>
      <c r="D409" s="6" t="s">
        <v>47</v>
      </c>
      <c r="E409" s="6" t="s">
        <v>80</v>
      </c>
      <c r="F409" s="6">
        <v>1408</v>
      </c>
      <c r="G409" s="6">
        <v>78211.460000000006</v>
      </c>
      <c r="H409" s="7">
        <v>44051</v>
      </c>
      <c r="I409" s="6" t="s">
        <v>66</v>
      </c>
      <c r="J409" s="6" t="s">
        <v>872</v>
      </c>
      <c r="K409" s="6" t="s">
        <v>37</v>
      </c>
      <c r="L409" s="6" t="s">
        <v>38</v>
      </c>
      <c r="M409" s="6" t="s">
        <v>39</v>
      </c>
      <c r="N409" s="6">
        <v>4.53</v>
      </c>
      <c r="O409" s="6">
        <v>141</v>
      </c>
    </row>
    <row r="410" spans="1:15" ht="14.25" customHeight="1" x14ac:dyDescent="0.3">
      <c r="A410" s="6" t="s">
        <v>873</v>
      </c>
      <c r="B410" s="6">
        <v>38</v>
      </c>
      <c r="C410" s="6" t="s">
        <v>25</v>
      </c>
      <c r="D410" s="6" t="s">
        <v>47</v>
      </c>
      <c r="E410" s="6" t="s">
        <v>27</v>
      </c>
      <c r="F410" s="6">
        <v>1409</v>
      </c>
      <c r="G410" s="6">
        <v>91186.13</v>
      </c>
      <c r="H410" s="7">
        <v>42871</v>
      </c>
      <c r="I410" s="6" t="s">
        <v>70</v>
      </c>
      <c r="J410" s="6" t="s">
        <v>874</v>
      </c>
      <c r="K410" s="6" t="s">
        <v>43</v>
      </c>
      <c r="L410" s="6" t="s">
        <v>44</v>
      </c>
      <c r="M410" s="6" t="s">
        <v>45</v>
      </c>
      <c r="N410" s="6">
        <v>4.7300000000000004</v>
      </c>
      <c r="O410" s="6">
        <v>19</v>
      </c>
    </row>
    <row r="411" spans="1:15" ht="14.25" customHeight="1" x14ac:dyDescent="0.3">
      <c r="A411" s="6" t="s">
        <v>875</v>
      </c>
      <c r="B411" s="6">
        <v>32</v>
      </c>
      <c r="C411" s="6" t="s">
        <v>25</v>
      </c>
      <c r="D411" s="6" t="s">
        <v>69</v>
      </c>
      <c r="E411" s="6" t="s">
        <v>80</v>
      </c>
      <c r="F411" s="6">
        <v>1410</v>
      </c>
      <c r="G411" s="6">
        <v>198921.42</v>
      </c>
      <c r="H411" s="7">
        <v>40695</v>
      </c>
      <c r="I411" s="6" t="s">
        <v>73</v>
      </c>
      <c r="J411" s="6" t="s">
        <v>876</v>
      </c>
      <c r="K411" s="6" t="s">
        <v>51</v>
      </c>
      <c r="L411" s="6" t="s">
        <v>52</v>
      </c>
      <c r="M411" s="6" t="s">
        <v>53</v>
      </c>
      <c r="N411" s="6">
        <v>1.05</v>
      </c>
      <c r="O411" s="6">
        <v>118</v>
      </c>
    </row>
    <row r="412" spans="1:15" ht="14.25" customHeight="1" x14ac:dyDescent="0.3">
      <c r="A412" s="6" t="s">
        <v>877</v>
      </c>
      <c r="B412" s="6">
        <v>62</v>
      </c>
      <c r="C412" s="6" t="s">
        <v>25</v>
      </c>
      <c r="D412" s="6" t="s">
        <v>47</v>
      </c>
      <c r="E412" s="6" t="s">
        <v>48</v>
      </c>
      <c r="F412" s="6">
        <v>1411</v>
      </c>
      <c r="G412" s="6">
        <v>56218.77</v>
      </c>
      <c r="H412" s="7">
        <v>43986</v>
      </c>
      <c r="I412" s="6" t="s">
        <v>19</v>
      </c>
      <c r="J412" s="6" t="s">
        <v>878</v>
      </c>
      <c r="K412" s="6" t="s">
        <v>21</v>
      </c>
      <c r="L412" s="6" t="s">
        <v>22</v>
      </c>
      <c r="M412" s="6" t="s">
        <v>23</v>
      </c>
      <c r="N412" s="6">
        <v>4.3600000000000003</v>
      </c>
      <c r="O412" s="6">
        <v>116</v>
      </c>
    </row>
    <row r="413" spans="1:15" ht="14.25" customHeight="1" x14ac:dyDescent="0.3">
      <c r="A413" s="6" t="s">
        <v>879</v>
      </c>
      <c r="B413" s="6">
        <v>52</v>
      </c>
      <c r="C413" s="6" t="s">
        <v>16</v>
      </c>
      <c r="D413" s="6" t="s">
        <v>26</v>
      </c>
      <c r="E413" s="6" t="s">
        <v>34</v>
      </c>
      <c r="F413" s="6">
        <v>1412</v>
      </c>
      <c r="G413" s="6">
        <v>90202.02</v>
      </c>
      <c r="H413" s="7">
        <v>42890</v>
      </c>
      <c r="I413" s="6" t="s">
        <v>28</v>
      </c>
      <c r="J413" s="6" t="s">
        <v>880</v>
      </c>
      <c r="K413" s="6" t="s">
        <v>30</v>
      </c>
      <c r="L413" s="6" t="s">
        <v>31</v>
      </c>
      <c r="M413" s="6" t="s">
        <v>32</v>
      </c>
      <c r="N413" s="6">
        <v>4.04</v>
      </c>
      <c r="O413" s="6">
        <v>26</v>
      </c>
    </row>
    <row r="414" spans="1:15" ht="14.25" customHeight="1" x14ac:dyDescent="0.3">
      <c r="A414" s="6" t="s">
        <v>881</v>
      </c>
      <c r="B414" s="6">
        <v>49</v>
      </c>
      <c r="C414" s="6" t="s">
        <v>16</v>
      </c>
      <c r="D414" s="6" t="s">
        <v>26</v>
      </c>
      <c r="E414" s="6" t="s">
        <v>48</v>
      </c>
      <c r="F414" s="6">
        <v>1413</v>
      </c>
      <c r="G414" s="6">
        <v>113204.39</v>
      </c>
      <c r="H414" s="7">
        <v>41689</v>
      </c>
      <c r="I414" s="6" t="s">
        <v>35</v>
      </c>
      <c r="J414" s="6" t="s">
        <v>882</v>
      </c>
      <c r="K414" s="6" t="s">
        <v>37</v>
      </c>
      <c r="L414" s="6" t="s">
        <v>38</v>
      </c>
      <c r="M414" s="6" t="s">
        <v>39</v>
      </c>
      <c r="N414" s="6">
        <v>4.83</v>
      </c>
      <c r="O414" s="6">
        <v>69</v>
      </c>
    </row>
    <row r="415" spans="1:15" ht="14.25" customHeight="1" x14ac:dyDescent="0.3">
      <c r="A415" s="6" t="s">
        <v>883</v>
      </c>
      <c r="B415" s="6">
        <v>53</v>
      </c>
      <c r="C415" s="6" t="s">
        <v>62</v>
      </c>
      <c r="D415" s="6" t="s">
        <v>55</v>
      </c>
      <c r="E415" s="6" t="s">
        <v>80</v>
      </c>
      <c r="F415" s="6">
        <v>1414</v>
      </c>
      <c r="G415" s="6">
        <v>190124.27</v>
      </c>
      <c r="H415" s="7">
        <v>42865</v>
      </c>
      <c r="I415" s="6" t="s">
        <v>41</v>
      </c>
      <c r="J415" s="6" t="s">
        <v>884</v>
      </c>
      <c r="K415" s="6" t="s">
        <v>43</v>
      </c>
      <c r="L415" s="6" t="s">
        <v>44</v>
      </c>
      <c r="M415" s="6" t="s">
        <v>45</v>
      </c>
      <c r="N415" s="6">
        <v>4.83</v>
      </c>
      <c r="O415" s="6">
        <v>181</v>
      </c>
    </row>
    <row r="416" spans="1:15" ht="14.25" customHeight="1" x14ac:dyDescent="0.3">
      <c r="A416" s="6" t="s">
        <v>885</v>
      </c>
      <c r="B416" s="6">
        <v>42</v>
      </c>
      <c r="C416" s="6" t="s">
        <v>62</v>
      </c>
      <c r="D416" s="6" t="s">
        <v>17</v>
      </c>
      <c r="E416" s="6" t="s">
        <v>48</v>
      </c>
      <c r="F416" s="6">
        <v>1415</v>
      </c>
      <c r="G416" s="6">
        <v>90825.03</v>
      </c>
      <c r="H416" s="7">
        <v>37962</v>
      </c>
      <c r="I416" s="6" t="s">
        <v>49</v>
      </c>
      <c r="J416" s="6" t="s">
        <v>886</v>
      </c>
      <c r="K416" s="6" t="s">
        <v>51</v>
      </c>
      <c r="L416" s="6" t="s">
        <v>52</v>
      </c>
      <c r="M416" s="6" t="s">
        <v>53</v>
      </c>
      <c r="N416" s="6">
        <v>4.8600000000000003</v>
      </c>
      <c r="O416" s="6">
        <v>130</v>
      </c>
    </row>
    <row r="417" spans="1:15" ht="14.25" customHeight="1" x14ac:dyDescent="0.3">
      <c r="A417" s="6" t="s">
        <v>887</v>
      </c>
      <c r="B417" s="6">
        <v>28</v>
      </c>
      <c r="C417" s="6" t="s">
        <v>25</v>
      </c>
      <c r="D417" s="6" t="s">
        <v>47</v>
      </c>
      <c r="E417" s="6" t="s">
        <v>80</v>
      </c>
      <c r="F417" s="6">
        <v>1416</v>
      </c>
      <c r="G417" s="6">
        <v>102098.94</v>
      </c>
      <c r="H417" s="7">
        <v>43703</v>
      </c>
      <c r="I417" s="6" t="s">
        <v>56</v>
      </c>
      <c r="J417" s="6" t="s">
        <v>888</v>
      </c>
      <c r="K417" s="6" t="s">
        <v>21</v>
      </c>
      <c r="L417" s="6" t="s">
        <v>22</v>
      </c>
      <c r="M417" s="6" t="s">
        <v>23</v>
      </c>
      <c r="N417" s="6">
        <v>4.22</v>
      </c>
      <c r="O417" s="6">
        <v>134</v>
      </c>
    </row>
    <row r="418" spans="1:15" ht="14.25" customHeight="1" x14ac:dyDescent="0.3">
      <c r="A418" s="6" t="s">
        <v>889</v>
      </c>
      <c r="B418" s="6">
        <v>31</v>
      </c>
      <c r="C418" s="6" t="s">
        <v>62</v>
      </c>
      <c r="D418" s="6" t="s">
        <v>55</v>
      </c>
      <c r="E418" s="6" t="s">
        <v>48</v>
      </c>
      <c r="F418" s="6">
        <v>1417</v>
      </c>
      <c r="G418" s="6">
        <v>126445.75</v>
      </c>
      <c r="H418" s="7">
        <v>44165</v>
      </c>
      <c r="I418" s="6" t="s">
        <v>63</v>
      </c>
      <c r="J418" s="6" t="s">
        <v>890</v>
      </c>
      <c r="K418" s="6" t="s">
        <v>30</v>
      </c>
      <c r="L418" s="6" t="s">
        <v>31</v>
      </c>
      <c r="M418" s="6" t="s">
        <v>32</v>
      </c>
      <c r="N418" s="6">
        <v>4.88</v>
      </c>
      <c r="O418" s="6">
        <v>67</v>
      </c>
    </row>
    <row r="419" spans="1:15" ht="14.25" customHeight="1" x14ac:dyDescent="0.3">
      <c r="A419" s="6" t="s">
        <v>891</v>
      </c>
      <c r="B419" s="6">
        <v>49</v>
      </c>
      <c r="C419" s="6" t="s">
        <v>25</v>
      </c>
      <c r="D419" s="6" t="s">
        <v>47</v>
      </c>
      <c r="E419" s="6" t="s">
        <v>34</v>
      </c>
      <c r="F419" s="6">
        <v>1418</v>
      </c>
      <c r="G419" s="6">
        <v>59994.86</v>
      </c>
      <c r="H419" s="7">
        <v>39039</v>
      </c>
      <c r="I419" s="6" t="s">
        <v>66</v>
      </c>
      <c r="J419" s="6" t="s">
        <v>892</v>
      </c>
      <c r="K419" s="6" t="s">
        <v>37</v>
      </c>
      <c r="L419" s="6" t="s">
        <v>38</v>
      </c>
      <c r="M419" s="6" t="s">
        <v>39</v>
      </c>
      <c r="N419" s="6">
        <v>1.58</v>
      </c>
      <c r="O419" s="6">
        <v>3</v>
      </c>
    </row>
    <row r="420" spans="1:15" ht="14.25" customHeight="1" x14ac:dyDescent="0.3">
      <c r="A420" s="6" t="s">
        <v>893</v>
      </c>
      <c r="B420" s="6">
        <v>57</v>
      </c>
      <c r="C420" s="6" t="s">
        <v>62</v>
      </c>
      <c r="D420" s="6" t="s">
        <v>26</v>
      </c>
      <c r="E420" s="6" t="s">
        <v>80</v>
      </c>
      <c r="F420" s="6">
        <v>1419</v>
      </c>
      <c r="G420" s="6">
        <v>63513.69</v>
      </c>
      <c r="H420" s="7">
        <v>38292</v>
      </c>
      <c r="I420" s="6" t="s">
        <v>70</v>
      </c>
      <c r="J420" s="6" t="s">
        <v>894</v>
      </c>
      <c r="K420" s="6" t="s">
        <v>43</v>
      </c>
      <c r="L420" s="6" t="s">
        <v>44</v>
      </c>
      <c r="M420" s="6" t="s">
        <v>45</v>
      </c>
      <c r="N420" s="6">
        <v>3.27</v>
      </c>
      <c r="O420" s="6">
        <v>45</v>
      </c>
    </row>
    <row r="421" spans="1:15" ht="14.25" customHeight="1" x14ac:dyDescent="0.3">
      <c r="A421" s="6" t="s">
        <v>895</v>
      </c>
      <c r="B421" s="6">
        <v>41</v>
      </c>
      <c r="C421" s="6" t="s">
        <v>62</v>
      </c>
      <c r="D421" s="6" t="s">
        <v>55</v>
      </c>
      <c r="E421" s="6" t="s">
        <v>27</v>
      </c>
      <c r="F421" s="6">
        <v>1420</v>
      </c>
      <c r="G421" s="6">
        <v>77863.98</v>
      </c>
      <c r="H421" s="7">
        <v>42036</v>
      </c>
      <c r="I421" s="6" t="s">
        <v>73</v>
      </c>
      <c r="J421" s="6" t="s">
        <v>896</v>
      </c>
      <c r="K421" s="6" t="s">
        <v>51</v>
      </c>
      <c r="L421" s="6" t="s">
        <v>52</v>
      </c>
      <c r="M421" s="6" t="s">
        <v>53</v>
      </c>
      <c r="N421" s="6">
        <v>4.2</v>
      </c>
      <c r="O421" s="6">
        <v>118</v>
      </c>
    </row>
    <row r="422" spans="1:15" ht="14.25" customHeight="1" x14ac:dyDescent="0.3">
      <c r="A422" s="6" t="s">
        <v>897</v>
      </c>
      <c r="B422" s="6">
        <v>34</v>
      </c>
      <c r="C422" s="6" t="s">
        <v>25</v>
      </c>
      <c r="D422" s="6" t="s">
        <v>55</v>
      </c>
      <c r="E422" s="6" t="s">
        <v>27</v>
      </c>
      <c r="F422" s="6">
        <v>1421</v>
      </c>
      <c r="G422" s="6">
        <v>89280.19</v>
      </c>
      <c r="H422" s="7">
        <v>38143</v>
      </c>
      <c r="I422" s="6" t="s">
        <v>19</v>
      </c>
      <c r="J422" s="6" t="s">
        <v>898</v>
      </c>
      <c r="K422" s="6" t="s">
        <v>21</v>
      </c>
      <c r="L422" s="6" t="s">
        <v>22</v>
      </c>
      <c r="M422" s="6" t="s">
        <v>23</v>
      </c>
      <c r="N422" s="6">
        <v>1.76</v>
      </c>
      <c r="O422" s="6">
        <v>40</v>
      </c>
    </row>
    <row r="423" spans="1:15" ht="14.25" customHeight="1" x14ac:dyDescent="0.3">
      <c r="A423" s="6" t="s">
        <v>899</v>
      </c>
      <c r="B423" s="6">
        <v>40</v>
      </c>
      <c r="C423" s="6" t="s">
        <v>16</v>
      </c>
      <c r="D423" s="6" t="s">
        <v>17</v>
      </c>
      <c r="E423" s="6" t="s">
        <v>27</v>
      </c>
      <c r="F423" s="6">
        <v>1422</v>
      </c>
      <c r="G423" s="6">
        <v>127788.99</v>
      </c>
      <c r="H423" s="7">
        <v>36611</v>
      </c>
      <c r="I423" s="6" t="s">
        <v>28</v>
      </c>
      <c r="J423" s="6" t="s">
        <v>900</v>
      </c>
      <c r="K423" s="6" t="s">
        <v>30</v>
      </c>
      <c r="L423" s="6" t="s">
        <v>31</v>
      </c>
      <c r="M423" s="6" t="s">
        <v>32</v>
      </c>
      <c r="N423" s="6">
        <v>2.38</v>
      </c>
      <c r="O423" s="6">
        <v>50</v>
      </c>
    </row>
    <row r="424" spans="1:15" ht="14.25" customHeight="1" x14ac:dyDescent="0.3">
      <c r="A424" s="6" t="s">
        <v>901</v>
      </c>
      <c r="B424" s="6">
        <v>32</v>
      </c>
      <c r="C424" s="6" t="s">
        <v>25</v>
      </c>
      <c r="D424" s="6" t="s">
        <v>26</v>
      </c>
      <c r="E424" s="6" t="s">
        <v>80</v>
      </c>
      <c r="F424" s="6">
        <v>1423</v>
      </c>
      <c r="G424" s="6">
        <v>130275.07</v>
      </c>
      <c r="H424" s="7">
        <v>42283</v>
      </c>
      <c r="I424" s="6" t="s">
        <v>35</v>
      </c>
      <c r="J424" s="6" t="s">
        <v>902</v>
      </c>
      <c r="K424" s="6" t="s">
        <v>37</v>
      </c>
      <c r="L424" s="6" t="s">
        <v>38</v>
      </c>
      <c r="M424" s="6" t="s">
        <v>39</v>
      </c>
      <c r="N424" s="6">
        <v>1.54</v>
      </c>
      <c r="O424" s="6">
        <v>147</v>
      </c>
    </row>
    <row r="425" spans="1:15" ht="14.25" customHeight="1" x14ac:dyDescent="0.3">
      <c r="A425" s="6" t="s">
        <v>903</v>
      </c>
      <c r="B425" s="6">
        <v>56</v>
      </c>
      <c r="C425" s="6" t="s">
        <v>16</v>
      </c>
      <c r="D425" s="6" t="s">
        <v>55</v>
      </c>
      <c r="E425" s="6" t="s">
        <v>27</v>
      </c>
      <c r="F425" s="6">
        <v>1424</v>
      </c>
      <c r="G425" s="6">
        <v>164451.89000000001</v>
      </c>
      <c r="H425" s="7">
        <v>42873</v>
      </c>
      <c r="I425" s="6" t="s">
        <v>41</v>
      </c>
      <c r="J425" s="6" t="s">
        <v>904</v>
      </c>
      <c r="K425" s="6" t="s">
        <v>43</v>
      </c>
      <c r="L425" s="6" t="s">
        <v>44</v>
      </c>
      <c r="M425" s="6" t="s">
        <v>45</v>
      </c>
      <c r="N425" s="6">
        <v>3.49</v>
      </c>
      <c r="O425" s="6">
        <v>81</v>
      </c>
    </row>
    <row r="426" spans="1:15" ht="14.25" customHeight="1" x14ac:dyDescent="0.3">
      <c r="A426" s="6" t="s">
        <v>905</v>
      </c>
      <c r="B426" s="6">
        <v>55</v>
      </c>
      <c r="C426" s="6" t="s">
        <v>62</v>
      </c>
      <c r="D426" s="6" t="s">
        <v>26</v>
      </c>
      <c r="E426" s="6" t="s">
        <v>18</v>
      </c>
      <c r="F426" s="6">
        <v>1425</v>
      </c>
      <c r="G426" s="6">
        <v>117560.82</v>
      </c>
      <c r="H426" s="7">
        <v>36935</v>
      </c>
      <c r="I426" s="6" t="s">
        <v>49</v>
      </c>
      <c r="J426" s="6" t="s">
        <v>906</v>
      </c>
      <c r="K426" s="6" t="s">
        <v>51</v>
      </c>
      <c r="L426" s="6" t="s">
        <v>52</v>
      </c>
      <c r="M426" s="6" t="s">
        <v>53</v>
      </c>
      <c r="N426" s="6">
        <v>1.83</v>
      </c>
      <c r="O426" s="6">
        <v>18</v>
      </c>
    </row>
    <row r="427" spans="1:15" ht="14.25" customHeight="1" x14ac:dyDescent="0.3">
      <c r="A427" s="6" t="s">
        <v>907</v>
      </c>
      <c r="B427" s="6">
        <v>25</v>
      </c>
      <c r="C427" s="6" t="s">
        <v>16</v>
      </c>
      <c r="D427" s="6" t="s">
        <v>26</v>
      </c>
      <c r="E427" s="6" t="s">
        <v>34</v>
      </c>
      <c r="F427" s="6">
        <v>1426</v>
      </c>
      <c r="G427" s="6">
        <v>155677.67000000001</v>
      </c>
      <c r="H427" s="7">
        <v>42933</v>
      </c>
      <c r="I427" s="6" t="s">
        <v>56</v>
      </c>
      <c r="J427" s="6" t="s">
        <v>908</v>
      </c>
      <c r="K427" s="6" t="s">
        <v>21</v>
      </c>
      <c r="L427" s="6" t="s">
        <v>22</v>
      </c>
      <c r="M427" s="6" t="s">
        <v>23</v>
      </c>
      <c r="N427" s="6">
        <v>4.05</v>
      </c>
      <c r="O427" s="6">
        <v>112</v>
      </c>
    </row>
    <row r="428" spans="1:15" ht="14.25" customHeight="1" x14ac:dyDescent="0.3">
      <c r="A428" s="6" t="s">
        <v>909</v>
      </c>
      <c r="B428" s="6">
        <v>34</v>
      </c>
      <c r="C428" s="6" t="s">
        <v>25</v>
      </c>
      <c r="D428" s="6" t="s">
        <v>69</v>
      </c>
      <c r="E428" s="6" t="s">
        <v>18</v>
      </c>
      <c r="F428" s="6">
        <v>1427</v>
      </c>
      <c r="G428" s="6">
        <v>156137.44</v>
      </c>
      <c r="H428" s="7">
        <v>39578</v>
      </c>
      <c r="I428" s="6" t="s">
        <v>63</v>
      </c>
      <c r="J428" s="6" t="s">
        <v>910</v>
      </c>
      <c r="K428" s="6" t="s">
        <v>30</v>
      </c>
      <c r="L428" s="6" t="s">
        <v>31</v>
      </c>
      <c r="M428" s="6" t="s">
        <v>32</v>
      </c>
      <c r="N428" s="6">
        <v>3.74</v>
      </c>
      <c r="O428" s="6">
        <v>182</v>
      </c>
    </row>
    <row r="429" spans="1:15" ht="14.25" customHeight="1" x14ac:dyDescent="0.3">
      <c r="A429" s="6" t="s">
        <v>911</v>
      </c>
      <c r="B429" s="6">
        <v>58</v>
      </c>
      <c r="C429" s="6" t="s">
        <v>62</v>
      </c>
      <c r="D429" s="6" t="s">
        <v>69</v>
      </c>
      <c r="E429" s="6" t="s">
        <v>80</v>
      </c>
      <c r="F429" s="6">
        <v>1428</v>
      </c>
      <c r="G429" s="6">
        <v>194305.68</v>
      </c>
      <c r="H429" s="7">
        <v>40091</v>
      </c>
      <c r="I429" s="6" t="s">
        <v>66</v>
      </c>
      <c r="J429" s="6" t="s">
        <v>912</v>
      </c>
      <c r="K429" s="6" t="s">
        <v>37</v>
      </c>
      <c r="L429" s="6" t="s">
        <v>38</v>
      </c>
      <c r="M429" s="6" t="s">
        <v>39</v>
      </c>
      <c r="N429" s="6">
        <v>3.97</v>
      </c>
      <c r="O429" s="6">
        <v>85</v>
      </c>
    </row>
    <row r="430" spans="1:15" ht="14.25" customHeight="1" x14ac:dyDescent="0.3">
      <c r="A430" s="6" t="s">
        <v>913</v>
      </c>
      <c r="B430" s="6">
        <v>23</v>
      </c>
      <c r="C430" s="6" t="s">
        <v>16</v>
      </c>
      <c r="D430" s="6" t="s">
        <v>17</v>
      </c>
      <c r="E430" s="6" t="s">
        <v>80</v>
      </c>
      <c r="F430" s="6">
        <v>1429</v>
      </c>
      <c r="G430" s="6">
        <v>99504.05</v>
      </c>
      <c r="H430" s="7">
        <v>40504</v>
      </c>
      <c r="I430" s="6" t="s">
        <v>70</v>
      </c>
      <c r="J430" s="6" t="s">
        <v>914</v>
      </c>
      <c r="K430" s="6" t="s">
        <v>43</v>
      </c>
      <c r="L430" s="6" t="s">
        <v>44</v>
      </c>
      <c r="M430" s="6" t="s">
        <v>45</v>
      </c>
      <c r="N430" s="6">
        <v>3.36</v>
      </c>
      <c r="O430" s="6">
        <v>85</v>
      </c>
    </row>
    <row r="431" spans="1:15" ht="14.25" customHeight="1" x14ac:dyDescent="0.3">
      <c r="A431" s="6" t="s">
        <v>915</v>
      </c>
      <c r="B431" s="6">
        <v>22</v>
      </c>
      <c r="C431" s="6" t="s">
        <v>16</v>
      </c>
      <c r="D431" s="6" t="s">
        <v>26</v>
      </c>
      <c r="E431" s="6" t="s">
        <v>34</v>
      </c>
      <c r="F431" s="6">
        <v>1430</v>
      </c>
      <c r="G431" s="6">
        <v>103949.47</v>
      </c>
      <c r="H431" s="7">
        <v>36823</v>
      </c>
      <c r="I431" s="6" t="s">
        <v>73</v>
      </c>
      <c r="J431" s="6" t="s">
        <v>916</v>
      </c>
      <c r="K431" s="6" t="s">
        <v>51</v>
      </c>
      <c r="L431" s="6" t="s">
        <v>52</v>
      </c>
      <c r="M431" s="6" t="s">
        <v>53</v>
      </c>
      <c r="N431" s="6">
        <v>1.02</v>
      </c>
      <c r="O431" s="6">
        <v>34</v>
      </c>
    </row>
    <row r="432" spans="1:15" ht="14.25" customHeight="1" x14ac:dyDescent="0.3">
      <c r="A432" s="6" t="s">
        <v>917</v>
      </c>
      <c r="B432" s="6">
        <v>61</v>
      </c>
      <c r="C432" s="6" t="s">
        <v>25</v>
      </c>
      <c r="D432" s="6" t="s">
        <v>69</v>
      </c>
      <c r="E432" s="6" t="s">
        <v>48</v>
      </c>
      <c r="F432" s="6">
        <v>1431</v>
      </c>
      <c r="G432" s="6">
        <v>154358.57999999999</v>
      </c>
      <c r="H432" s="7">
        <v>40058</v>
      </c>
      <c r="I432" s="6" t="s">
        <v>19</v>
      </c>
      <c r="J432" s="6" t="s">
        <v>918</v>
      </c>
      <c r="K432" s="6" t="s">
        <v>21</v>
      </c>
      <c r="L432" s="6" t="s">
        <v>22</v>
      </c>
      <c r="M432" s="6" t="s">
        <v>23</v>
      </c>
      <c r="N432" s="6">
        <v>1.45</v>
      </c>
      <c r="O432" s="6">
        <v>137</v>
      </c>
    </row>
    <row r="433" spans="1:15" ht="14.25" customHeight="1" x14ac:dyDescent="0.3">
      <c r="A433" s="6" t="s">
        <v>919</v>
      </c>
      <c r="B433" s="6">
        <v>46</v>
      </c>
      <c r="C433" s="6" t="s">
        <v>62</v>
      </c>
      <c r="D433" s="6" t="s">
        <v>47</v>
      </c>
      <c r="E433" s="6" t="s">
        <v>34</v>
      </c>
      <c r="F433" s="6">
        <v>1432</v>
      </c>
      <c r="G433" s="6">
        <v>105989.57</v>
      </c>
      <c r="H433" s="7">
        <v>44408</v>
      </c>
      <c r="I433" s="6" t="s">
        <v>28</v>
      </c>
      <c r="J433" s="6" t="s">
        <v>920</v>
      </c>
      <c r="K433" s="6" t="s">
        <v>30</v>
      </c>
      <c r="L433" s="6" t="s">
        <v>31</v>
      </c>
      <c r="M433" s="6" t="s">
        <v>32</v>
      </c>
      <c r="N433" s="6">
        <v>2.0299999999999998</v>
      </c>
      <c r="O433" s="6">
        <v>154</v>
      </c>
    </row>
    <row r="434" spans="1:15" ht="14.25" customHeight="1" x14ac:dyDescent="0.3">
      <c r="A434" s="6" t="s">
        <v>921</v>
      </c>
      <c r="B434" s="6">
        <v>58</v>
      </c>
      <c r="C434" s="6" t="s">
        <v>62</v>
      </c>
      <c r="D434" s="6" t="s">
        <v>26</v>
      </c>
      <c r="E434" s="6" t="s">
        <v>18</v>
      </c>
      <c r="F434" s="6">
        <v>1433</v>
      </c>
      <c r="G434" s="6">
        <v>174286.48</v>
      </c>
      <c r="H434" s="7">
        <v>41427</v>
      </c>
      <c r="I434" s="6" t="s">
        <v>35</v>
      </c>
      <c r="J434" s="6" t="s">
        <v>922</v>
      </c>
      <c r="K434" s="6" t="s">
        <v>37</v>
      </c>
      <c r="L434" s="6" t="s">
        <v>38</v>
      </c>
      <c r="M434" s="6" t="s">
        <v>39</v>
      </c>
      <c r="N434" s="6">
        <v>4.03</v>
      </c>
      <c r="O434" s="6">
        <v>163</v>
      </c>
    </row>
    <row r="435" spans="1:15" ht="14.25" customHeight="1" x14ac:dyDescent="0.3">
      <c r="A435" s="6" t="s">
        <v>923</v>
      </c>
      <c r="B435" s="6">
        <v>57</v>
      </c>
      <c r="C435" s="6" t="s">
        <v>16</v>
      </c>
      <c r="D435" s="6" t="s">
        <v>55</v>
      </c>
      <c r="E435" s="6" t="s">
        <v>18</v>
      </c>
      <c r="F435" s="6">
        <v>1434</v>
      </c>
      <c r="G435" s="6">
        <v>63463.66</v>
      </c>
      <c r="H435" s="7">
        <v>40362</v>
      </c>
      <c r="I435" s="6" t="s">
        <v>41</v>
      </c>
      <c r="J435" s="6" t="s">
        <v>924</v>
      </c>
      <c r="K435" s="6" t="s">
        <v>43</v>
      </c>
      <c r="L435" s="6" t="s">
        <v>44</v>
      </c>
      <c r="M435" s="6" t="s">
        <v>45</v>
      </c>
      <c r="N435" s="6">
        <v>3.73</v>
      </c>
      <c r="O435" s="6">
        <v>100</v>
      </c>
    </row>
    <row r="436" spans="1:15" ht="14.25" customHeight="1" x14ac:dyDescent="0.3">
      <c r="A436" s="6" t="s">
        <v>925</v>
      </c>
      <c r="B436" s="6">
        <v>27</v>
      </c>
      <c r="C436" s="6" t="s">
        <v>16</v>
      </c>
      <c r="D436" s="6" t="s">
        <v>26</v>
      </c>
      <c r="E436" s="6" t="s">
        <v>18</v>
      </c>
      <c r="F436" s="6">
        <v>1435</v>
      </c>
      <c r="G436" s="6">
        <v>154150.01999999999</v>
      </c>
      <c r="H436" s="7">
        <v>41575</v>
      </c>
      <c r="I436" s="6" t="s">
        <v>49</v>
      </c>
      <c r="J436" s="6" t="s">
        <v>926</v>
      </c>
      <c r="K436" s="6" t="s">
        <v>51</v>
      </c>
      <c r="L436" s="6" t="s">
        <v>52</v>
      </c>
      <c r="M436" s="6" t="s">
        <v>53</v>
      </c>
      <c r="N436" s="6">
        <v>1.65</v>
      </c>
      <c r="O436" s="6">
        <v>19</v>
      </c>
    </row>
    <row r="437" spans="1:15" ht="14.25" customHeight="1" x14ac:dyDescent="0.3">
      <c r="A437" s="6" t="s">
        <v>927</v>
      </c>
      <c r="B437" s="6">
        <v>28</v>
      </c>
      <c r="C437" s="6" t="s">
        <v>16</v>
      </c>
      <c r="D437" s="6" t="s">
        <v>55</v>
      </c>
      <c r="E437" s="6" t="s">
        <v>18</v>
      </c>
      <c r="F437" s="6">
        <v>1436</v>
      </c>
      <c r="G437" s="6">
        <v>73321.13</v>
      </c>
      <c r="H437" s="7">
        <v>39911</v>
      </c>
      <c r="I437" s="6" t="s">
        <v>56</v>
      </c>
      <c r="J437" s="6" t="s">
        <v>928</v>
      </c>
      <c r="K437" s="6" t="s">
        <v>21</v>
      </c>
      <c r="L437" s="6" t="s">
        <v>22</v>
      </c>
      <c r="M437" s="6" t="s">
        <v>23</v>
      </c>
      <c r="N437" s="6">
        <v>3.07</v>
      </c>
      <c r="O437" s="6">
        <v>134</v>
      </c>
    </row>
    <row r="438" spans="1:15" ht="14.25" customHeight="1" x14ac:dyDescent="0.3">
      <c r="A438" s="6" t="s">
        <v>929</v>
      </c>
      <c r="B438" s="6">
        <v>25</v>
      </c>
      <c r="C438" s="6" t="s">
        <v>62</v>
      </c>
      <c r="D438" s="6" t="s">
        <v>17</v>
      </c>
      <c r="E438" s="6" t="s">
        <v>48</v>
      </c>
      <c r="F438" s="6">
        <v>1437</v>
      </c>
      <c r="G438" s="6">
        <v>132586.35999999999</v>
      </c>
      <c r="H438" s="7">
        <v>37593</v>
      </c>
      <c r="I438" s="6" t="s">
        <v>63</v>
      </c>
      <c r="J438" s="6" t="s">
        <v>930</v>
      </c>
      <c r="K438" s="6" t="s">
        <v>30</v>
      </c>
      <c r="L438" s="6" t="s">
        <v>31</v>
      </c>
      <c r="M438" s="6" t="s">
        <v>32</v>
      </c>
      <c r="N438" s="6">
        <v>1.08</v>
      </c>
      <c r="O438" s="6">
        <v>173</v>
      </c>
    </row>
    <row r="439" spans="1:15" ht="14.25" customHeight="1" x14ac:dyDescent="0.3">
      <c r="A439" s="6" t="s">
        <v>931</v>
      </c>
      <c r="B439" s="6">
        <v>56</v>
      </c>
      <c r="C439" s="6" t="s">
        <v>16</v>
      </c>
      <c r="D439" s="6" t="s">
        <v>69</v>
      </c>
      <c r="E439" s="6" t="s">
        <v>80</v>
      </c>
      <c r="F439" s="6">
        <v>1438</v>
      </c>
      <c r="G439" s="6">
        <v>125927.47</v>
      </c>
      <c r="H439" s="7">
        <v>42246</v>
      </c>
      <c r="I439" s="6" t="s">
        <v>66</v>
      </c>
      <c r="J439" s="6" t="s">
        <v>932</v>
      </c>
      <c r="K439" s="6" t="s">
        <v>37</v>
      </c>
      <c r="L439" s="6" t="s">
        <v>38</v>
      </c>
      <c r="M439" s="6" t="s">
        <v>39</v>
      </c>
      <c r="N439" s="6">
        <v>2.7</v>
      </c>
      <c r="O439" s="6">
        <v>152</v>
      </c>
    </row>
    <row r="440" spans="1:15" ht="14.25" customHeight="1" x14ac:dyDescent="0.3">
      <c r="A440" s="6" t="s">
        <v>933</v>
      </c>
      <c r="B440" s="6">
        <v>62</v>
      </c>
      <c r="C440" s="6" t="s">
        <v>16</v>
      </c>
      <c r="D440" s="6" t="s">
        <v>47</v>
      </c>
      <c r="E440" s="6" t="s">
        <v>80</v>
      </c>
      <c r="F440" s="6">
        <v>1439</v>
      </c>
      <c r="G440" s="6">
        <v>151680.64000000001</v>
      </c>
      <c r="H440" s="7">
        <v>42290</v>
      </c>
      <c r="I440" s="6" t="s">
        <v>70</v>
      </c>
      <c r="J440" s="6" t="s">
        <v>934</v>
      </c>
      <c r="K440" s="6" t="s">
        <v>43</v>
      </c>
      <c r="L440" s="6" t="s">
        <v>44</v>
      </c>
      <c r="M440" s="6" t="s">
        <v>45</v>
      </c>
      <c r="N440" s="6">
        <v>4.08</v>
      </c>
      <c r="O440" s="6">
        <v>185</v>
      </c>
    </row>
    <row r="441" spans="1:15" ht="14.25" customHeight="1" x14ac:dyDescent="0.3">
      <c r="A441" s="6" t="s">
        <v>935</v>
      </c>
      <c r="B441" s="6">
        <v>55</v>
      </c>
      <c r="C441" s="6" t="s">
        <v>62</v>
      </c>
      <c r="D441" s="6" t="s">
        <v>69</v>
      </c>
      <c r="E441" s="6" t="s">
        <v>34</v>
      </c>
      <c r="F441" s="6">
        <v>1440</v>
      </c>
      <c r="G441" s="6">
        <v>134217.37</v>
      </c>
      <c r="H441" s="7">
        <v>42887</v>
      </c>
      <c r="I441" s="6" t="s">
        <v>73</v>
      </c>
      <c r="J441" s="6" t="s">
        <v>936</v>
      </c>
      <c r="K441" s="6" t="s">
        <v>51</v>
      </c>
      <c r="L441" s="6" t="s">
        <v>52</v>
      </c>
      <c r="M441" s="6" t="s">
        <v>53</v>
      </c>
      <c r="N441" s="6">
        <v>1.56</v>
      </c>
      <c r="O441" s="6">
        <v>162</v>
      </c>
    </row>
    <row r="442" spans="1:15" ht="14.25" customHeight="1" x14ac:dyDescent="0.3">
      <c r="A442" s="6" t="s">
        <v>937</v>
      </c>
      <c r="B442" s="6">
        <v>50</v>
      </c>
      <c r="C442" s="6" t="s">
        <v>62</v>
      </c>
      <c r="D442" s="6" t="s">
        <v>55</v>
      </c>
      <c r="E442" s="6" t="s">
        <v>80</v>
      </c>
      <c r="F442" s="6">
        <v>1441</v>
      </c>
      <c r="G442" s="6">
        <v>131330.39000000001</v>
      </c>
      <c r="H442" s="7">
        <v>38601</v>
      </c>
      <c r="I442" s="6" t="s">
        <v>19</v>
      </c>
      <c r="J442" s="6" t="s">
        <v>938</v>
      </c>
      <c r="K442" s="6" t="s">
        <v>21</v>
      </c>
      <c r="L442" s="6" t="s">
        <v>22</v>
      </c>
      <c r="M442" s="6" t="s">
        <v>23</v>
      </c>
      <c r="N442" s="6">
        <v>3.2</v>
      </c>
      <c r="O442" s="6">
        <v>95</v>
      </c>
    </row>
    <row r="443" spans="1:15" ht="14.25" customHeight="1" x14ac:dyDescent="0.3">
      <c r="A443" s="6" t="s">
        <v>939</v>
      </c>
      <c r="B443" s="6">
        <v>26</v>
      </c>
      <c r="C443" s="6" t="s">
        <v>25</v>
      </c>
      <c r="D443" s="6" t="s">
        <v>17</v>
      </c>
      <c r="E443" s="6" t="s">
        <v>80</v>
      </c>
      <c r="F443" s="6">
        <v>1442</v>
      </c>
      <c r="G443" s="6">
        <v>126730.18</v>
      </c>
      <c r="H443" s="7">
        <v>44569</v>
      </c>
      <c r="I443" s="6" t="s">
        <v>28</v>
      </c>
      <c r="J443" s="6" t="s">
        <v>940</v>
      </c>
      <c r="K443" s="6" t="s">
        <v>30</v>
      </c>
      <c r="L443" s="6" t="s">
        <v>31</v>
      </c>
      <c r="M443" s="6" t="s">
        <v>32</v>
      </c>
      <c r="N443" s="6">
        <v>4.03</v>
      </c>
      <c r="O443" s="6">
        <v>163</v>
      </c>
    </row>
    <row r="444" spans="1:15" ht="14.25" customHeight="1" x14ac:dyDescent="0.3">
      <c r="A444" s="6" t="s">
        <v>941</v>
      </c>
      <c r="B444" s="6">
        <v>48</v>
      </c>
      <c r="C444" s="6" t="s">
        <v>62</v>
      </c>
      <c r="D444" s="6" t="s">
        <v>55</v>
      </c>
      <c r="E444" s="6" t="s">
        <v>80</v>
      </c>
      <c r="F444" s="6">
        <v>1443</v>
      </c>
      <c r="G444" s="6">
        <v>166801.68</v>
      </c>
      <c r="H444" s="7">
        <v>43631</v>
      </c>
      <c r="I444" s="6" t="s">
        <v>35</v>
      </c>
      <c r="J444" s="6" t="s">
        <v>942</v>
      </c>
      <c r="K444" s="6" t="s">
        <v>37</v>
      </c>
      <c r="L444" s="6" t="s">
        <v>38</v>
      </c>
      <c r="M444" s="6" t="s">
        <v>39</v>
      </c>
      <c r="N444" s="6">
        <v>3.77</v>
      </c>
      <c r="O444" s="6">
        <v>30</v>
      </c>
    </row>
    <row r="445" spans="1:15" ht="14.25" customHeight="1" x14ac:dyDescent="0.3">
      <c r="A445" s="6" t="s">
        <v>943</v>
      </c>
      <c r="B445" s="6">
        <v>54</v>
      </c>
      <c r="C445" s="6" t="s">
        <v>62</v>
      </c>
      <c r="D445" s="6" t="s">
        <v>17</v>
      </c>
      <c r="E445" s="6" t="s">
        <v>48</v>
      </c>
      <c r="F445" s="6">
        <v>1444</v>
      </c>
      <c r="G445" s="6">
        <v>90293.06</v>
      </c>
      <c r="H445" s="7">
        <v>42159</v>
      </c>
      <c r="I445" s="6" t="s">
        <v>41</v>
      </c>
      <c r="J445" s="6" t="s">
        <v>944</v>
      </c>
      <c r="K445" s="6" t="s">
        <v>43</v>
      </c>
      <c r="L445" s="6" t="s">
        <v>44</v>
      </c>
      <c r="M445" s="6" t="s">
        <v>45</v>
      </c>
      <c r="N445" s="6">
        <v>1.72</v>
      </c>
      <c r="O445" s="6">
        <v>127</v>
      </c>
    </row>
    <row r="446" spans="1:15" ht="14.25" customHeight="1" x14ac:dyDescent="0.3">
      <c r="A446" s="6" t="s">
        <v>945</v>
      </c>
      <c r="B446" s="6">
        <v>31</v>
      </c>
      <c r="C446" s="6" t="s">
        <v>25</v>
      </c>
      <c r="D446" s="6" t="s">
        <v>17</v>
      </c>
      <c r="E446" s="6" t="s">
        <v>48</v>
      </c>
      <c r="F446" s="6">
        <v>1445</v>
      </c>
      <c r="G446" s="6">
        <v>74141.320000000007</v>
      </c>
      <c r="H446" s="7">
        <v>44584</v>
      </c>
      <c r="I446" s="6" t="s">
        <v>49</v>
      </c>
      <c r="J446" s="6" t="s">
        <v>946</v>
      </c>
      <c r="K446" s="6" t="s">
        <v>51</v>
      </c>
      <c r="L446" s="6" t="s">
        <v>52</v>
      </c>
      <c r="M446" s="6" t="s">
        <v>53</v>
      </c>
      <c r="N446" s="6">
        <v>4.7699999999999996</v>
      </c>
      <c r="O446" s="6">
        <v>13</v>
      </c>
    </row>
    <row r="447" spans="1:15" ht="14.25" customHeight="1" x14ac:dyDescent="0.3">
      <c r="A447" s="6" t="s">
        <v>947</v>
      </c>
      <c r="B447" s="6">
        <v>27</v>
      </c>
      <c r="C447" s="6" t="s">
        <v>62</v>
      </c>
      <c r="D447" s="6" t="s">
        <v>47</v>
      </c>
      <c r="E447" s="6" t="s">
        <v>80</v>
      </c>
      <c r="F447" s="6">
        <v>1446</v>
      </c>
      <c r="G447" s="6">
        <v>51891.32</v>
      </c>
      <c r="H447" s="7">
        <v>40932</v>
      </c>
      <c r="I447" s="6" t="s">
        <v>56</v>
      </c>
      <c r="J447" s="6" t="s">
        <v>948</v>
      </c>
      <c r="K447" s="6" t="s">
        <v>21</v>
      </c>
      <c r="L447" s="6" t="s">
        <v>22</v>
      </c>
      <c r="M447" s="6" t="s">
        <v>23</v>
      </c>
      <c r="N447" s="6">
        <v>4.2</v>
      </c>
      <c r="O447" s="6">
        <v>43</v>
      </c>
    </row>
    <row r="448" spans="1:15" ht="14.25" customHeight="1" x14ac:dyDescent="0.3">
      <c r="A448" s="6" t="s">
        <v>949</v>
      </c>
      <c r="B448" s="6">
        <v>55</v>
      </c>
      <c r="C448" s="6" t="s">
        <v>25</v>
      </c>
      <c r="D448" s="6" t="s">
        <v>47</v>
      </c>
      <c r="E448" s="6" t="s">
        <v>18</v>
      </c>
      <c r="F448" s="6">
        <v>1447</v>
      </c>
      <c r="G448" s="6">
        <v>69781.47</v>
      </c>
      <c r="H448" s="7">
        <v>40643</v>
      </c>
      <c r="I448" s="6" t="s">
        <v>63</v>
      </c>
      <c r="J448" s="6" t="s">
        <v>950</v>
      </c>
      <c r="K448" s="6" t="s">
        <v>30</v>
      </c>
      <c r="L448" s="6" t="s">
        <v>31</v>
      </c>
      <c r="M448" s="6" t="s">
        <v>32</v>
      </c>
      <c r="N448" s="6">
        <v>1.74</v>
      </c>
      <c r="O448" s="6">
        <v>72</v>
      </c>
    </row>
    <row r="449" spans="1:15" ht="14.25" customHeight="1" x14ac:dyDescent="0.3">
      <c r="A449" s="6" t="s">
        <v>951</v>
      </c>
      <c r="B449" s="6">
        <v>29</v>
      </c>
      <c r="C449" s="6" t="s">
        <v>62</v>
      </c>
      <c r="D449" s="6" t="s">
        <v>69</v>
      </c>
      <c r="E449" s="6" t="s">
        <v>80</v>
      </c>
      <c r="F449" s="6">
        <v>1448</v>
      </c>
      <c r="G449" s="6">
        <v>146761.14000000001</v>
      </c>
      <c r="H449" s="7">
        <v>43823</v>
      </c>
      <c r="I449" s="6" t="s">
        <v>66</v>
      </c>
      <c r="J449" s="6" t="s">
        <v>952</v>
      </c>
      <c r="K449" s="6" t="s">
        <v>37</v>
      </c>
      <c r="L449" s="6" t="s">
        <v>38</v>
      </c>
      <c r="M449" s="6" t="s">
        <v>39</v>
      </c>
      <c r="N449" s="6">
        <v>4.13</v>
      </c>
      <c r="O449" s="6">
        <v>69</v>
      </c>
    </row>
    <row r="450" spans="1:15" ht="14.25" customHeight="1" x14ac:dyDescent="0.3">
      <c r="A450" s="6" t="s">
        <v>953</v>
      </c>
      <c r="B450" s="6">
        <v>52</v>
      </c>
      <c r="C450" s="6" t="s">
        <v>25</v>
      </c>
      <c r="D450" s="6" t="s">
        <v>47</v>
      </c>
      <c r="E450" s="6" t="s">
        <v>34</v>
      </c>
      <c r="F450" s="6">
        <v>1449</v>
      </c>
      <c r="G450" s="6">
        <v>158157.91</v>
      </c>
      <c r="H450" s="7">
        <v>41707</v>
      </c>
      <c r="I450" s="6" t="s">
        <v>70</v>
      </c>
      <c r="J450" s="6" t="s">
        <v>954</v>
      </c>
      <c r="K450" s="6" t="s">
        <v>43</v>
      </c>
      <c r="L450" s="6" t="s">
        <v>44</v>
      </c>
      <c r="M450" s="6" t="s">
        <v>45</v>
      </c>
      <c r="N450" s="6">
        <v>2.0299999999999998</v>
      </c>
      <c r="O450" s="6">
        <v>172</v>
      </c>
    </row>
    <row r="451" spans="1:15" ht="14.25" customHeight="1" x14ac:dyDescent="0.3">
      <c r="A451" s="6" t="s">
        <v>955</v>
      </c>
      <c r="B451" s="6">
        <v>30</v>
      </c>
      <c r="C451" s="6" t="s">
        <v>16</v>
      </c>
      <c r="D451" s="6" t="s">
        <v>55</v>
      </c>
      <c r="E451" s="6" t="s">
        <v>27</v>
      </c>
      <c r="F451" s="6">
        <v>1450</v>
      </c>
      <c r="G451" s="6">
        <v>144438.03</v>
      </c>
      <c r="H451" s="7">
        <v>36799</v>
      </c>
      <c r="I451" s="6" t="s">
        <v>73</v>
      </c>
      <c r="J451" s="6" t="s">
        <v>956</v>
      </c>
      <c r="K451" s="6" t="s">
        <v>51</v>
      </c>
      <c r="L451" s="6" t="s">
        <v>52</v>
      </c>
      <c r="M451" s="6" t="s">
        <v>53</v>
      </c>
      <c r="N451" s="6">
        <v>4.62</v>
      </c>
      <c r="O451" s="6">
        <v>65</v>
      </c>
    </row>
    <row r="452" spans="1:15" ht="14.25" customHeight="1" x14ac:dyDescent="0.3">
      <c r="A452" s="6" t="s">
        <v>957</v>
      </c>
      <c r="B452" s="6">
        <v>42</v>
      </c>
      <c r="C452" s="6" t="s">
        <v>16</v>
      </c>
      <c r="D452" s="6" t="s">
        <v>55</v>
      </c>
      <c r="E452" s="6" t="s">
        <v>34</v>
      </c>
      <c r="F452" s="6">
        <v>1451</v>
      </c>
      <c r="G452" s="6">
        <v>60293.13</v>
      </c>
      <c r="H452" s="7">
        <v>41777</v>
      </c>
      <c r="I452" s="6" t="s">
        <v>19</v>
      </c>
      <c r="J452" s="6" t="s">
        <v>958</v>
      </c>
      <c r="K452" s="6" t="s">
        <v>21</v>
      </c>
      <c r="L452" s="6" t="s">
        <v>22</v>
      </c>
      <c r="M452" s="6" t="s">
        <v>23</v>
      </c>
      <c r="N452" s="6">
        <v>4.4000000000000004</v>
      </c>
      <c r="O452" s="6">
        <v>65</v>
      </c>
    </row>
    <row r="453" spans="1:15" ht="14.25" customHeight="1" x14ac:dyDescent="0.3">
      <c r="A453" s="6" t="s">
        <v>959</v>
      </c>
      <c r="B453" s="6">
        <v>29</v>
      </c>
      <c r="C453" s="6" t="s">
        <v>16</v>
      </c>
      <c r="D453" s="6" t="s">
        <v>17</v>
      </c>
      <c r="E453" s="6" t="s">
        <v>27</v>
      </c>
      <c r="F453" s="6">
        <v>1452</v>
      </c>
      <c r="G453" s="6">
        <v>165890.32999999999</v>
      </c>
      <c r="H453" s="7">
        <v>41932</v>
      </c>
      <c r="I453" s="6" t="s">
        <v>28</v>
      </c>
      <c r="J453" s="6" t="s">
        <v>960</v>
      </c>
      <c r="K453" s="6" t="s">
        <v>30</v>
      </c>
      <c r="L453" s="6" t="s">
        <v>31</v>
      </c>
      <c r="M453" s="6" t="s">
        <v>32</v>
      </c>
      <c r="N453" s="6">
        <v>3.55</v>
      </c>
      <c r="O453" s="6">
        <v>39</v>
      </c>
    </row>
    <row r="454" spans="1:15" ht="14.25" customHeight="1" x14ac:dyDescent="0.3">
      <c r="A454" s="6" t="s">
        <v>961</v>
      </c>
      <c r="B454" s="6">
        <v>25</v>
      </c>
      <c r="C454" s="6" t="s">
        <v>25</v>
      </c>
      <c r="D454" s="6" t="s">
        <v>69</v>
      </c>
      <c r="E454" s="6" t="s">
        <v>48</v>
      </c>
      <c r="F454" s="6">
        <v>1453</v>
      </c>
      <c r="G454" s="6">
        <v>127434.94</v>
      </c>
      <c r="H454" s="7">
        <v>36698</v>
      </c>
      <c r="I454" s="6" t="s">
        <v>35</v>
      </c>
      <c r="J454" s="6" t="s">
        <v>962</v>
      </c>
      <c r="K454" s="6" t="s">
        <v>37</v>
      </c>
      <c r="L454" s="6" t="s">
        <v>38</v>
      </c>
      <c r="M454" s="6" t="s">
        <v>39</v>
      </c>
      <c r="N454" s="6">
        <v>3.62</v>
      </c>
      <c r="O454" s="6">
        <v>178</v>
      </c>
    </row>
    <row r="455" spans="1:15" ht="14.25" customHeight="1" x14ac:dyDescent="0.3">
      <c r="A455" s="6" t="s">
        <v>963</v>
      </c>
      <c r="B455" s="6">
        <v>43</v>
      </c>
      <c r="C455" s="6" t="s">
        <v>16</v>
      </c>
      <c r="D455" s="6" t="s">
        <v>69</v>
      </c>
      <c r="E455" s="6" t="s">
        <v>48</v>
      </c>
      <c r="F455" s="6">
        <v>1454</v>
      </c>
      <c r="G455" s="6">
        <v>86011.97</v>
      </c>
      <c r="H455" s="7">
        <v>39904</v>
      </c>
      <c r="I455" s="6" t="s">
        <v>41</v>
      </c>
      <c r="J455" s="6" t="s">
        <v>964</v>
      </c>
      <c r="K455" s="6" t="s">
        <v>43</v>
      </c>
      <c r="L455" s="6" t="s">
        <v>44</v>
      </c>
      <c r="M455" s="6" t="s">
        <v>45</v>
      </c>
      <c r="N455" s="6">
        <v>1.29</v>
      </c>
      <c r="O455" s="6">
        <v>73</v>
      </c>
    </row>
    <row r="456" spans="1:15" ht="14.25" customHeight="1" x14ac:dyDescent="0.3">
      <c r="A456" s="6" t="s">
        <v>965</v>
      </c>
      <c r="B456" s="6">
        <v>49</v>
      </c>
      <c r="C456" s="6" t="s">
        <v>62</v>
      </c>
      <c r="D456" s="6" t="s">
        <v>69</v>
      </c>
      <c r="E456" s="6" t="s">
        <v>80</v>
      </c>
      <c r="F456" s="6">
        <v>1455</v>
      </c>
      <c r="G456" s="6">
        <v>137986.93</v>
      </c>
      <c r="H456" s="7">
        <v>43262</v>
      </c>
      <c r="I456" s="6" t="s">
        <v>49</v>
      </c>
      <c r="J456" s="6" t="s">
        <v>966</v>
      </c>
      <c r="K456" s="6" t="s">
        <v>51</v>
      </c>
      <c r="L456" s="6" t="s">
        <v>52</v>
      </c>
      <c r="M456" s="6" t="s">
        <v>53</v>
      </c>
      <c r="N456" s="6">
        <v>2.34</v>
      </c>
      <c r="O456" s="6">
        <v>49</v>
      </c>
    </row>
    <row r="457" spans="1:15" ht="14.25" customHeight="1" x14ac:dyDescent="0.3">
      <c r="A457" s="6" t="s">
        <v>967</v>
      </c>
      <c r="B457" s="6">
        <v>25</v>
      </c>
      <c r="C457" s="6" t="s">
        <v>25</v>
      </c>
      <c r="D457" s="6" t="s">
        <v>17</v>
      </c>
      <c r="E457" s="6" t="s">
        <v>27</v>
      </c>
      <c r="F457" s="6">
        <v>1456</v>
      </c>
      <c r="G457" s="6">
        <v>112388.59</v>
      </c>
      <c r="H457" s="7">
        <v>40967</v>
      </c>
      <c r="I457" s="6" t="s">
        <v>56</v>
      </c>
      <c r="J457" s="6" t="s">
        <v>968</v>
      </c>
      <c r="K457" s="6" t="s">
        <v>21</v>
      </c>
      <c r="L457" s="6" t="s">
        <v>22</v>
      </c>
      <c r="M457" s="6" t="s">
        <v>23</v>
      </c>
      <c r="N457" s="6">
        <v>4.55</v>
      </c>
      <c r="O457" s="6">
        <v>71</v>
      </c>
    </row>
    <row r="458" spans="1:15" ht="14.25" customHeight="1" x14ac:dyDescent="0.3">
      <c r="A458" s="6" t="s">
        <v>969</v>
      </c>
      <c r="B458" s="6">
        <v>60</v>
      </c>
      <c r="C458" s="6" t="s">
        <v>62</v>
      </c>
      <c r="D458" s="6" t="s">
        <v>47</v>
      </c>
      <c r="E458" s="6" t="s">
        <v>48</v>
      </c>
      <c r="F458" s="6">
        <v>1457</v>
      </c>
      <c r="G458" s="6">
        <v>154603.26</v>
      </c>
      <c r="H458" s="7">
        <v>38153</v>
      </c>
      <c r="I458" s="6" t="s">
        <v>63</v>
      </c>
      <c r="J458" s="6" t="s">
        <v>970</v>
      </c>
      <c r="K458" s="6" t="s">
        <v>30</v>
      </c>
      <c r="L458" s="6" t="s">
        <v>31</v>
      </c>
      <c r="M458" s="6" t="s">
        <v>32</v>
      </c>
      <c r="N458" s="6">
        <v>2.25</v>
      </c>
      <c r="O458" s="6">
        <v>117</v>
      </c>
    </row>
    <row r="459" spans="1:15" ht="14.25" customHeight="1" x14ac:dyDescent="0.3">
      <c r="A459" s="6" t="s">
        <v>971</v>
      </c>
      <c r="B459" s="6">
        <v>42</v>
      </c>
      <c r="C459" s="6" t="s">
        <v>62</v>
      </c>
      <c r="D459" s="6" t="s">
        <v>26</v>
      </c>
      <c r="E459" s="6" t="s">
        <v>48</v>
      </c>
      <c r="F459" s="6">
        <v>1458</v>
      </c>
      <c r="G459" s="6">
        <v>124353.39</v>
      </c>
      <c r="H459" s="7">
        <v>38242</v>
      </c>
      <c r="I459" s="6" t="s">
        <v>66</v>
      </c>
      <c r="J459" s="6" t="s">
        <v>972</v>
      </c>
      <c r="K459" s="6" t="s">
        <v>37</v>
      </c>
      <c r="L459" s="6" t="s">
        <v>38</v>
      </c>
      <c r="M459" s="6" t="s">
        <v>39</v>
      </c>
      <c r="N459" s="6">
        <v>2.2000000000000002</v>
      </c>
      <c r="O459" s="6">
        <v>56</v>
      </c>
    </row>
    <row r="460" spans="1:15" ht="14.25" customHeight="1" x14ac:dyDescent="0.3">
      <c r="A460" s="6" t="s">
        <v>973</v>
      </c>
      <c r="B460" s="6">
        <v>29</v>
      </c>
      <c r="C460" s="6" t="s">
        <v>62</v>
      </c>
      <c r="D460" s="6" t="s">
        <v>55</v>
      </c>
      <c r="E460" s="6" t="s">
        <v>80</v>
      </c>
      <c r="F460" s="6">
        <v>1459</v>
      </c>
      <c r="G460" s="6">
        <v>55397.05</v>
      </c>
      <c r="H460" s="7">
        <v>42936</v>
      </c>
      <c r="I460" s="6" t="s">
        <v>70</v>
      </c>
      <c r="J460" s="6" t="s">
        <v>974</v>
      </c>
      <c r="K460" s="6" t="s">
        <v>43</v>
      </c>
      <c r="L460" s="6" t="s">
        <v>44</v>
      </c>
      <c r="M460" s="6" t="s">
        <v>45</v>
      </c>
      <c r="N460" s="6">
        <v>2.84</v>
      </c>
      <c r="O460" s="6">
        <v>21</v>
      </c>
    </row>
    <row r="461" spans="1:15" ht="14.25" customHeight="1" x14ac:dyDescent="0.3">
      <c r="A461" s="6" t="s">
        <v>975</v>
      </c>
      <c r="B461" s="6">
        <v>41</v>
      </c>
      <c r="C461" s="6" t="s">
        <v>25</v>
      </c>
      <c r="D461" s="6" t="s">
        <v>17</v>
      </c>
      <c r="E461" s="6" t="s">
        <v>48</v>
      </c>
      <c r="F461" s="6">
        <v>1460</v>
      </c>
      <c r="G461" s="6">
        <v>146694</v>
      </c>
      <c r="H461" s="7">
        <v>44335</v>
      </c>
      <c r="I461" s="6" t="s">
        <v>73</v>
      </c>
      <c r="J461" s="6" t="s">
        <v>976</v>
      </c>
      <c r="K461" s="6" t="s">
        <v>51</v>
      </c>
      <c r="L461" s="6" t="s">
        <v>52</v>
      </c>
      <c r="M461" s="6" t="s">
        <v>53</v>
      </c>
      <c r="N461" s="6">
        <v>1.75</v>
      </c>
      <c r="O461" s="6">
        <v>109</v>
      </c>
    </row>
    <row r="462" spans="1:15" ht="14.25" customHeight="1" x14ac:dyDescent="0.3">
      <c r="A462" s="6" t="s">
        <v>977</v>
      </c>
      <c r="B462" s="6">
        <v>53</v>
      </c>
      <c r="C462" s="6" t="s">
        <v>62</v>
      </c>
      <c r="D462" s="6" t="s">
        <v>55</v>
      </c>
      <c r="E462" s="6" t="s">
        <v>27</v>
      </c>
      <c r="F462" s="6">
        <v>1461</v>
      </c>
      <c r="G462" s="6">
        <v>156708.01</v>
      </c>
      <c r="H462" s="7">
        <v>40184</v>
      </c>
      <c r="I462" s="6" t="s">
        <v>19</v>
      </c>
      <c r="J462" s="6" t="s">
        <v>978</v>
      </c>
      <c r="K462" s="6" t="s">
        <v>21</v>
      </c>
      <c r="L462" s="6" t="s">
        <v>22</v>
      </c>
      <c r="M462" s="6" t="s">
        <v>23</v>
      </c>
      <c r="N462" s="6">
        <v>4.5</v>
      </c>
      <c r="O462" s="6">
        <v>186</v>
      </c>
    </row>
    <row r="463" spans="1:15" ht="14.25" customHeight="1" x14ac:dyDescent="0.3">
      <c r="A463" s="6" t="s">
        <v>979</v>
      </c>
      <c r="B463" s="6">
        <v>22</v>
      </c>
      <c r="C463" s="6" t="s">
        <v>16</v>
      </c>
      <c r="D463" s="6" t="s">
        <v>47</v>
      </c>
      <c r="E463" s="6" t="s">
        <v>34</v>
      </c>
      <c r="F463" s="6">
        <v>1462</v>
      </c>
      <c r="G463" s="6">
        <v>147059.89000000001</v>
      </c>
      <c r="H463" s="7">
        <v>38103</v>
      </c>
      <c r="I463" s="6" t="s">
        <v>28</v>
      </c>
      <c r="J463" s="6" t="s">
        <v>980</v>
      </c>
      <c r="K463" s="6" t="s">
        <v>30</v>
      </c>
      <c r="L463" s="6" t="s">
        <v>31</v>
      </c>
      <c r="M463" s="6" t="s">
        <v>32</v>
      </c>
      <c r="N463" s="6">
        <v>4.13</v>
      </c>
      <c r="O463" s="6">
        <v>2</v>
      </c>
    </row>
    <row r="464" spans="1:15" ht="14.25" customHeight="1" x14ac:dyDescent="0.3">
      <c r="A464" s="6" t="s">
        <v>981</v>
      </c>
      <c r="B464" s="6">
        <v>27</v>
      </c>
      <c r="C464" s="6" t="s">
        <v>25</v>
      </c>
      <c r="D464" s="6" t="s">
        <v>47</v>
      </c>
      <c r="E464" s="6" t="s">
        <v>48</v>
      </c>
      <c r="F464" s="6">
        <v>1463</v>
      </c>
      <c r="G464" s="6">
        <v>187200.93</v>
      </c>
      <c r="H464" s="7">
        <v>37656</v>
      </c>
      <c r="I464" s="6" t="s">
        <v>35</v>
      </c>
      <c r="J464" s="6" t="s">
        <v>982</v>
      </c>
      <c r="K464" s="6" t="s">
        <v>37</v>
      </c>
      <c r="L464" s="6" t="s">
        <v>38</v>
      </c>
      <c r="M464" s="6" t="s">
        <v>39</v>
      </c>
      <c r="N464" s="6">
        <v>1.52</v>
      </c>
      <c r="O464" s="6">
        <v>106</v>
      </c>
    </row>
    <row r="465" spans="1:15" ht="14.25" customHeight="1" x14ac:dyDescent="0.3">
      <c r="A465" s="6" t="s">
        <v>983</v>
      </c>
      <c r="B465" s="6">
        <v>49</v>
      </c>
      <c r="C465" s="6" t="s">
        <v>16</v>
      </c>
      <c r="D465" s="6" t="s">
        <v>17</v>
      </c>
      <c r="E465" s="6" t="s">
        <v>18</v>
      </c>
      <c r="F465" s="6">
        <v>1464</v>
      </c>
      <c r="G465" s="6">
        <v>99966.81</v>
      </c>
      <c r="H465" s="7">
        <v>40139</v>
      </c>
      <c r="I465" s="6" t="s">
        <v>41</v>
      </c>
      <c r="J465" s="6" t="s">
        <v>984</v>
      </c>
      <c r="K465" s="6" t="s">
        <v>43</v>
      </c>
      <c r="L465" s="6" t="s">
        <v>44</v>
      </c>
      <c r="M465" s="6" t="s">
        <v>45</v>
      </c>
      <c r="N465" s="6">
        <v>2.29</v>
      </c>
      <c r="O465" s="6">
        <v>5</v>
      </c>
    </row>
    <row r="466" spans="1:15" ht="14.25" customHeight="1" x14ac:dyDescent="0.3">
      <c r="A466" s="6" t="s">
        <v>985</v>
      </c>
      <c r="B466" s="6">
        <v>52</v>
      </c>
      <c r="C466" s="6" t="s">
        <v>25</v>
      </c>
      <c r="D466" s="6" t="s">
        <v>17</v>
      </c>
      <c r="E466" s="6" t="s">
        <v>48</v>
      </c>
      <c r="F466" s="6">
        <v>1465</v>
      </c>
      <c r="G466" s="6">
        <v>84205.47</v>
      </c>
      <c r="H466" s="7">
        <v>43648</v>
      </c>
      <c r="I466" s="6" t="s">
        <v>49</v>
      </c>
      <c r="J466" s="6" t="s">
        <v>986</v>
      </c>
      <c r="K466" s="6" t="s">
        <v>51</v>
      </c>
      <c r="L466" s="6" t="s">
        <v>52</v>
      </c>
      <c r="M466" s="6" t="s">
        <v>53</v>
      </c>
      <c r="N466" s="6">
        <v>1.59</v>
      </c>
      <c r="O466" s="6">
        <v>93</v>
      </c>
    </row>
    <row r="467" spans="1:15" ht="14.25" customHeight="1" x14ac:dyDescent="0.3">
      <c r="A467" s="6" t="s">
        <v>987</v>
      </c>
      <c r="B467" s="6">
        <v>31</v>
      </c>
      <c r="C467" s="6" t="s">
        <v>62</v>
      </c>
      <c r="D467" s="6" t="s">
        <v>26</v>
      </c>
      <c r="E467" s="6" t="s">
        <v>34</v>
      </c>
      <c r="F467" s="6">
        <v>1466</v>
      </c>
      <c r="G467" s="6">
        <v>126542.11</v>
      </c>
      <c r="H467" s="7">
        <v>40186</v>
      </c>
      <c r="I467" s="6" t="s">
        <v>56</v>
      </c>
      <c r="J467" s="6" t="s">
        <v>988</v>
      </c>
      <c r="K467" s="6" t="s">
        <v>21</v>
      </c>
      <c r="L467" s="6" t="s">
        <v>22</v>
      </c>
      <c r="M467" s="6" t="s">
        <v>23</v>
      </c>
      <c r="N467" s="6">
        <v>2.5499999999999998</v>
      </c>
      <c r="O467" s="6">
        <v>66</v>
      </c>
    </row>
    <row r="468" spans="1:15" ht="14.25" customHeight="1" x14ac:dyDescent="0.3">
      <c r="A468" s="6" t="s">
        <v>989</v>
      </c>
      <c r="B468" s="6">
        <v>41</v>
      </c>
      <c r="C468" s="6" t="s">
        <v>16</v>
      </c>
      <c r="D468" s="6" t="s">
        <v>69</v>
      </c>
      <c r="E468" s="6" t="s">
        <v>80</v>
      </c>
      <c r="F468" s="6">
        <v>1467</v>
      </c>
      <c r="G468" s="6">
        <v>171027.43</v>
      </c>
      <c r="H468" s="7">
        <v>36718</v>
      </c>
      <c r="I468" s="6" t="s">
        <v>63</v>
      </c>
      <c r="J468" s="6" t="s">
        <v>990</v>
      </c>
      <c r="K468" s="6" t="s">
        <v>30</v>
      </c>
      <c r="L468" s="6" t="s">
        <v>31</v>
      </c>
      <c r="M468" s="6" t="s">
        <v>32</v>
      </c>
      <c r="N468" s="6">
        <v>3.61</v>
      </c>
      <c r="O468" s="6">
        <v>84</v>
      </c>
    </row>
    <row r="469" spans="1:15" ht="14.25" customHeight="1" x14ac:dyDescent="0.3">
      <c r="A469" s="6" t="s">
        <v>991</v>
      </c>
      <c r="B469" s="6">
        <v>29</v>
      </c>
      <c r="C469" s="6" t="s">
        <v>25</v>
      </c>
      <c r="D469" s="6" t="s">
        <v>26</v>
      </c>
      <c r="E469" s="6" t="s">
        <v>80</v>
      </c>
      <c r="F469" s="6">
        <v>1468</v>
      </c>
      <c r="G469" s="6">
        <v>153019.21</v>
      </c>
      <c r="H469" s="7">
        <v>38588</v>
      </c>
      <c r="I469" s="6" t="s">
        <v>66</v>
      </c>
      <c r="J469" s="6" t="s">
        <v>992</v>
      </c>
      <c r="K469" s="6" t="s">
        <v>37</v>
      </c>
      <c r="L469" s="6" t="s">
        <v>38</v>
      </c>
      <c r="M469" s="6" t="s">
        <v>39</v>
      </c>
      <c r="N469" s="6">
        <v>2.04</v>
      </c>
      <c r="O469" s="6">
        <v>175</v>
      </c>
    </row>
    <row r="470" spans="1:15" ht="14.25" customHeight="1" x14ac:dyDescent="0.3">
      <c r="A470" s="6" t="s">
        <v>993</v>
      </c>
      <c r="B470" s="6">
        <v>43</v>
      </c>
      <c r="C470" s="6" t="s">
        <v>62</v>
      </c>
      <c r="D470" s="6" t="s">
        <v>17</v>
      </c>
      <c r="E470" s="6" t="s">
        <v>34</v>
      </c>
      <c r="F470" s="6">
        <v>1469</v>
      </c>
      <c r="G470" s="6">
        <v>113713.19</v>
      </c>
      <c r="H470" s="7">
        <v>38584</v>
      </c>
      <c r="I470" s="6" t="s">
        <v>70</v>
      </c>
      <c r="J470" s="6" t="s">
        <v>994</v>
      </c>
      <c r="K470" s="6" t="s">
        <v>43</v>
      </c>
      <c r="L470" s="6" t="s">
        <v>44</v>
      </c>
      <c r="M470" s="6" t="s">
        <v>45</v>
      </c>
      <c r="N470" s="6">
        <v>4.0599999999999996</v>
      </c>
      <c r="O470" s="6">
        <v>67</v>
      </c>
    </row>
    <row r="471" spans="1:15" ht="14.25" customHeight="1" x14ac:dyDescent="0.3">
      <c r="A471" s="6" t="s">
        <v>995</v>
      </c>
      <c r="B471" s="6">
        <v>59</v>
      </c>
      <c r="C471" s="6" t="s">
        <v>62</v>
      </c>
      <c r="D471" s="6" t="s">
        <v>26</v>
      </c>
      <c r="E471" s="6" t="s">
        <v>80</v>
      </c>
      <c r="F471" s="6">
        <v>1470</v>
      </c>
      <c r="G471" s="6">
        <v>75135.62</v>
      </c>
      <c r="H471" s="7">
        <v>38058</v>
      </c>
      <c r="I471" s="6" t="s">
        <v>73</v>
      </c>
      <c r="J471" s="6" t="s">
        <v>996</v>
      </c>
      <c r="K471" s="6" t="s">
        <v>51</v>
      </c>
      <c r="L471" s="6" t="s">
        <v>52</v>
      </c>
      <c r="M471" s="6" t="s">
        <v>53</v>
      </c>
      <c r="N471" s="6">
        <v>4.8600000000000003</v>
      </c>
      <c r="O471" s="6">
        <v>145</v>
      </c>
    </row>
    <row r="472" spans="1:15" ht="14.25" customHeight="1" x14ac:dyDescent="0.3">
      <c r="A472" s="6" t="s">
        <v>997</v>
      </c>
      <c r="B472" s="6">
        <v>50</v>
      </c>
      <c r="C472" s="6" t="s">
        <v>25</v>
      </c>
      <c r="D472" s="6" t="s">
        <v>55</v>
      </c>
      <c r="E472" s="6" t="s">
        <v>48</v>
      </c>
      <c r="F472" s="6">
        <v>1471</v>
      </c>
      <c r="G472" s="6">
        <v>75361.929999999993</v>
      </c>
      <c r="H472" s="7">
        <v>42092</v>
      </c>
      <c r="I472" s="6" t="s">
        <v>19</v>
      </c>
      <c r="J472" s="6" t="s">
        <v>998</v>
      </c>
      <c r="K472" s="6" t="s">
        <v>21</v>
      </c>
      <c r="L472" s="6" t="s">
        <v>22</v>
      </c>
      <c r="M472" s="6" t="s">
        <v>23</v>
      </c>
      <c r="N472" s="6">
        <v>3.44</v>
      </c>
      <c r="O472" s="6">
        <v>48</v>
      </c>
    </row>
    <row r="473" spans="1:15" ht="14.25" customHeight="1" x14ac:dyDescent="0.3">
      <c r="A473" s="6" t="s">
        <v>999</v>
      </c>
      <c r="B473" s="6">
        <v>30</v>
      </c>
      <c r="C473" s="6" t="s">
        <v>25</v>
      </c>
      <c r="D473" s="6" t="s">
        <v>47</v>
      </c>
      <c r="E473" s="6" t="s">
        <v>27</v>
      </c>
      <c r="F473" s="6">
        <v>1472</v>
      </c>
      <c r="G473" s="6">
        <v>115512.88</v>
      </c>
      <c r="H473" s="7">
        <v>43442</v>
      </c>
      <c r="I473" s="6" t="s">
        <v>28</v>
      </c>
      <c r="J473" s="6" t="s">
        <v>1000</v>
      </c>
      <c r="K473" s="6" t="s">
        <v>30</v>
      </c>
      <c r="L473" s="6" t="s">
        <v>31</v>
      </c>
      <c r="M473" s="6" t="s">
        <v>32</v>
      </c>
      <c r="N473" s="6">
        <v>2.33</v>
      </c>
      <c r="O473" s="6">
        <v>17</v>
      </c>
    </row>
    <row r="474" spans="1:15" ht="14.25" customHeight="1" x14ac:dyDescent="0.3">
      <c r="A474" s="6" t="s">
        <v>1001</v>
      </c>
      <c r="B474" s="6">
        <v>22</v>
      </c>
      <c r="C474" s="6" t="s">
        <v>25</v>
      </c>
      <c r="D474" s="6" t="s">
        <v>47</v>
      </c>
      <c r="E474" s="6" t="s">
        <v>48</v>
      </c>
      <c r="F474" s="6">
        <v>1473</v>
      </c>
      <c r="G474" s="6">
        <v>184602.8</v>
      </c>
      <c r="H474" s="7">
        <v>43387</v>
      </c>
      <c r="I474" s="6" t="s">
        <v>35</v>
      </c>
      <c r="J474" s="6" t="s">
        <v>1002</v>
      </c>
      <c r="K474" s="6" t="s">
        <v>37</v>
      </c>
      <c r="L474" s="6" t="s">
        <v>38</v>
      </c>
      <c r="M474" s="6" t="s">
        <v>39</v>
      </c>
      <c r="N474" s="6">
        <v>3.93</v>
      </c>
      <c r="O474" s="6">
        <v>76</v>
      </c>
    </row>
    <row r="475" spans="1:15" ht="14.25" customHeight="1" x14ac:dyDescent="0.3">
      <c r="A475" s="6" t="s">
        <v>1003</v>
      </c>
      <c r="B475" s="6">
        <v>62</v>
      </c>
      <c r="C475" s="6" t="s">
        <v>25</v>
      </c>
      <c r="D475" s="6" t="s">
        <v>26</v>
      </c>
      <c r="E475" s="6" t="s">
        <v>27</v>
      </c>
      <c r="F475" s="6">
        <v>1474</v>
      </c>
      <c r="G475" s="6">
        <v>113763.54</v>
      </c>
      <c r="H475" s="7">
        <v>41305</v>
      </c>
      <c r="I475" s="6" t="s">
        <v>41</v>
      </c>
      <c r="J475" s="6" t="s">
        <v>1004</v>
      </c>
      <c r="K475" s="6" t="s">
        <v>43</v>
      </c>
      <c r="L475" s="6" t="s">
        <v>44</v>
      </c>
      <c r="M475" s="6" t="s">
        <v>45</v>
      </c>
      <c r="N475" s="6">
        <v>2.06</v>
      </c>
      <c r="O475" s="6">
        <v>149</v>
      </c>
    </row>
    <row r="476" spans="1:15" ht="14.25" customHeight="1" x14ac:dyDescent="0.3">
      <c r="A476" s="6" t="s">
        <v>1005</v>
      </c>
      <c r="B476" s="6">
        <v>60</v>
      </c>
      <c r="C476" s="6" t="s">
        <v>16</v>
      </c>
      <c r="D476" s="6" t="s">
        <v>69</v>
      </c>
      <c r="E476" s="6" t="s">
        <v>18</v>
      </c>
      <c r="F476" s="6">
        <v>1475</v>
      </c>
      <c r="G476" s="6">
        <v>190227.15</v>
      </c>
      <c r="H476" s="7">
        <v>42078</v>
      </c>
      <c r="I476" s="6" t="s">
        <v>49</v>
      </c>
      <c r="J476" s="6" t="s">
        <v>1006</v>
      </c>
      <c r="K476" s="6" t="s">
        <v>51</v>
      </c>
      <c r="L476" s="6" t="s">
        <v>52</v>
      </c>
      <c r="M476" s="6" t="s">
        <v>53</v>
      </c>
      <c r="N476" s="6">
        <v>4.54</v>
      </c>
      <c r="O476" s="6">
        <v>160</v>
      </c>
    </row>
    <row r="477" spans="1:15" ht="14.25" customHeight="1" x14ac:dyDescent="0.3">
      <c r="A477" s="6" t="s">
        <v>1007</v>
      </c>
      <c r="B477" s="6">
        <v>47</v>
      </c>
      <c r="C477" s="6" t="s">
        <v>25</v>
      </c>
      <c r="D477" s="6" t="s">
        <v>17</v>
      </c>
      <c r="E477" s="6" t="s">
        <v>34</v>
      </c>
      <c r="F477" s="6">
        <v>1476</v>
      </c>
      <c r="G477" s="6">
        <v>120272.36</v>
      </c>
      <c r="H477" s="7">
        <v>37900</v>
      </c>
      <c r="I477" s="6" t="s">
        <v>56</v>
      </c>
      <c r="J477" s="6" t="s">
        <v>1008</v>
      </c>
      <c r="K477" s="6" t="s">
        <v>21</v>
      </c>
      <c r="L477" s="6" t="s">
        <v>22</v>
      </c>
      <c r="M477" s="6" t="s">
        <v>23</v>
      </c>
      <c r="N477" s="6">
        <v>4.05</v>
      </c>
      <c r="O477" s="6">
        <v>105</v>
      </c>
    </row>
    <row r="478" spans="1:15" ht="14.25" customHeight="1" x14ac:dyDescent="0.3">
      <c r="A478" s="6" t="s">
        <v>1009</v>
      </c>
      <c r="B478" s="6">
        <v>32</v>
      </c>
      <c r="C478" s="6" t="s">
        <v>62</v>
      </c>
      <c r="D478" s="6" t="s">
        <v>47</v>
      </c>
      <c r="E478" s="6" t="s">
        <v>34</v>
      </c>
      <c r="F478" s="6">
        <v>1477</v>
      </c>
      <c r="G478" s="6">
        <v>55507.31</v>
      </c>
      <c r="H478" s="7">
        <v>43153</v>
      </c>
      <c r="I478" s="6" t="s">
        <v>63</v>
      </c>
      <c r="J478" s="6" t="s">
        <v>1010</v>
      </c>
      <c r="K478" s="6" t="s">
        <v>30</v>
      </c>
      <c r="L478" s="6" t="s">
        <v>31</v>
      </c>
      <c r="M478" s="6" t="s">
        <v>32</v>
      </c>
      <c r="N478" s="6">
        <v>2.68</v>
      </c>
      <c r="O478" s="6">
        <v>122</v>
      </c>
    </row>
    <row r="479" spans="1:15" ht="14.25" customHeight="1" x14ac:dyDescent="0.3">
      <c r="A479" s="6" t="s">
        <v>1011</v>
      </c>
      <c r="B479" s="6">
        <v>56</v>
      </c>
      <c r="C479" s="6" t="s">
        <v>16</v>
      </c>
      <c r="D479" s="6" t="s">
        <v>26</v>
      </c>
      <c r="E479" s="6" t="s">
        <v>48</v>
      </c>
      <c r="F479" s="6">
        <v>1478</v>
      </c>
      <c r="G479" s="6">
        <v>89186.42</v>
      </c>
      <c r="H479" s="7">
        <v>40187</v>
      </c>
      <c r="I479" s="6" t="s">
        <v>66</v>
      </c>
      <c r="J479" s="6" t="s">
        <v>1012</v>
      </c>
      <c r="K479" s="6" t="s">
        <v>37</v>
      </c>
      <c r="L479" s="6" t="s">
        <v>38</v>
      </c>
      <c r="M479" s="6" t="s">
        <v>39</v>
      </c>
      <c r="N479" s="6">
        <v>3.93</v>
      </c>
      <c r="O479" s="6">
        <v>143</v>
      </c>
    </row>
    <row r="480" spans="1:15" ht="14.25" customHeight="1" x14ac:dyDescent="0.3">
      <c r="A480" s="6" t="s">
        <v>1013</v>
      </c>
      <c r="B480" s="6">
        <v>45</v>
      </c>
      <c r="C480" s="6" t="s">
        <v>62</v>
      </c>
      <c r="D480" s="6" t="s">
        <v>17</v>
      </c>
      <c r="E480" s="6" t="s">
        <v>80</v>
      </c>
      <c r="F480" s="6">
        <v>1479</v>
      </c>
      <c r="G480" s="6">
        <v>51788.23</v>
      </c>
      <c r="H480" s="7">
        <v>41993</v>
      </c>
      <c r="I480" s="6" t="s">
        <v>70</v>
      </c>
      <c r="J480" s="6" t="s">
        <v>1014</v>
      </c>
      <c r="K480" s="6" t="s">
        <v>43</v>
      </c>
      <c r="L480" s="6" t="s">
        <v>44</v>
      </c>
      <c r="M480" s="6" t="s">
        <v>45</v>
      </c>
      <c r="N480" s="6">
        <v>1</v>
      </c>
      <c r="O480" s="6">
        <v>167</v>
      </c>
    </row>
    <row r="481" spans="1:15" ht="14.25" customHeight="1" x14ac:dyDescent="0.3">
      <c r="A481" s="6" t="s">
        <v>1015</v>
      </c>
      <c r="B481" s="6">
        <v>54</v>
      </c>
      <c r="C481" s="6" t="s">
        <v>62</v>
      </c>
      <c r="D481" s="6" t="s">
        <v>47</v>
      </c>
      <c r="E481" s="6" t="s">
        <v>34</v>
      </c>
      <c r="F481" s="6">
        <v>1480</v>
      </c>
      <c r="G481" s="6">
        <v>79831.399999999994</v>
      </c>
      <c r="H481" s="7">
        <v>36565</v>
      </c>
      <c r="I481" s="6" t="s">
        <v>73</v>
      </c>
      <c r="J481" s="6" t="s">
        <v>1016</v>
      </c>
      <c r="K481" s="6" t="s">
        <v>51</v>
      </c>
      <c r="L481" s="6" t="s">
        <v>52</v>
      </c>
      <c r="M481" s="6" t="s">
        <v>53</v>
      </c>
      <c r="N481" s="6">
        <v>4.13</v>
      </c>
      <c r="O481" s="6">
        <v>140</v>
      </c>
    </row>
    <row r="482" spans="1:15" ht="14.25" customHeight="1" x14ac:dyDescent="0.3">
      <c r="A482" s="6" t="s">
        <v>1017</v>
      </c>
      <c r="B482" s="6">
        <v>41</v>
      </c>
      <c r="C482" s="6" t="s">
        <v>25</v>
      </c>
      <c r="D482" s="6" t="s">
        <v>26</v>
      </c>
      <c r="E482" s="6" t="s">
        <v>27</v>
      </c>
      <c r="F482" s="6">
        <v>1481</v>
      </c>
      <c r="G482" s="6">
        <v>119117.35</v>
      </c>
      <c r="H482" s="7">
        <v>40023</v>
      </c>
      <c r="I482" s="6" t="s">
        <v>19</v>
      </c>
      <c r="J482" s="6" t="s">
        <v>1018</v>
      </c>
      <c r="K482" s="6" t="s">
        <v>21</v>
      </c>
      <c r="L482" s="6" t="s">
        <v>22</v>
      </c>
      <c r="M482" s="6" t="s">
        <v>23</v>
      </c>
      <c r="N482" s="6">
        <v>3.96</v>
      </c>
      <c r="O482" s="6">
        <v>14</v>
      </c>
    </row>
    <row r="483" spans="1:15" ht="14.25" customHeight="1" x14ac:dyDescent="0.3">
      <c r="A483" s="6" t="s">
        <v>1019</v>
      </c>
      <c r="B483" s="6">
        <v>48</v>
      </c>
      <c r="C483" s="6" t="s">
        <v>16</v>
      </c>
      <c r="D483" s="6" t="s">
        <v>17</v>
      </c>
      <c r="E483" s="6" t="s">
        <v>80</v>
      </c>
      <c r="F483" s="6">
        <v>1482</v>
      </c>
      <c r="G483" s="6">
        <v>121215.02</v>
      </c>
      <c r="H483" s="7">
        <v>36543</v>
      </c>
      <c r="I483" s="6" t="s">
        <v>28</v>
      </c>
      <c r="J483" s="6" t="s">
        <v>1020</v>
      </c>
      <c r="K483" s="6" t="s">
        <v>30</v>
      </c>
      <c r="L483" s="6" t="s">
        <v>31</v>
      </c>
      <c r="M483" s="6" t="s">
        <v>32</v>
      </c>
      <c r="N483" s="6">
        <v>2.5099999999999998</v>
      </c>
      <c r="O483" s="6">
        <v>47</v>
      </c>
    </row>
    <row r="484" spans="1:15" ht="14.25" customHeight="1" x14ac:dyDescent="0.3">
      <c r="A484" s="6" t="s">
        <v>1021</v>
      </c>
      <c r="B484" s="6">
        <v>36</v>
      </c>
      <c r="C484" s="6" t="s">
        <v>25</v>
      </c>
      <c r="D484" s="6" t="s">
        <v>69</v>
      </c>
      <c r="E484" s="6" t="s">
        <v>27</v>
      </c>
      <c r="F484" s="6">
        <v>1483</v>
      </c>
      <c r="G484" s="6">
        <v>198606.98</v>
      </c>
      <c r="H484" s="7">
        <v>39507</v>
      </c>
      <c r="I484" s="6" t="s">
        <v>35</v>
      </c>
      <c r="J484" s="6" t="s">
        <v>1022</v>
      </c>
      <c r="K484" s="6" t="s">
        <v>37</v>
      </c>
      <c r="L484" s="6" t="s">
        <v>38</v>
      </c>
      <c r="M484" s="6" t="s">
        <v>39</v>
      </c>
      <c r="N484" s="6">
        <v>1.27</v>
      </c>
      <c r="O484" s="6">
        <v>1</v>
      </c>
    </row>
    <row r="485" spans="1:15" ht="14.25" customHeight="1" x14ac:dyDescent="0.3">
      <c r="A485" s="6" t="s">
        <v>1023</v>
      </c>
      <c r="B485" s="6">
        <v>54</v>
      </c>
      <c r="C485" s="6" t="s">
        <v>62</v>
      </c>
      <c r="D485" s="6" t="s">
        <v>26</v>
      </c>
      <c r="E485" s="6" t="s">
        <v>34</v>
      </c>
      <c r="F485" s="6">
        <v>1484</v>
      </c>
      <c r="G485" s="6">
        <v>70899.87</v>
      </c>
      <c r="H485" s="7">
        <v>44848</v>
      </c>
      <c r="I485" s="6" t="s">
        <v>41</v>
      </c>
      <c r="J485" s="6" t="s">
        <v>1024</v>
      </c>
      <c r="K485" s="6" t="s">
        <v>43</v>
      </c>
      <c r="L485" s="6" t="s">
        <v>44</v>
      </c>
      <c r="M485" s="6" t="s">
        <v>45</v>
      </c>
      <c r="N485" s="6">
        <v>2.72</v>
      </c>
      <c r="O485" s="6">
        <v>169</v>
      </c>
    </row>
    <row r="486" spans="1:15" ht="14.25" customHeight="1" x14ac:dyDescent="0.3">
      <c r="A486" s="6" t="s">
        <v>1025</v>
      </c>
      <c r="B486" s="6">
        <v>28</v>
      </c>
      <c r="C486" s="6" t="s">
        <v>25</v>
      </c>
      <c r="D486" s="6" t="s">
        <v>26</v>
      </c>
      <c r="E486" s="6" t="s">
        <v>27</v>
      </c>
      <c r="F486" s="6">
        <v>1485</v>
      </c>
      <c r="G486" s="6">
        <v>138019.17000000001</v>
      </c>
      <c r="H486" s="7">
        <v>38506</v>
      </c>
      <c r="I486" s="6" t="s">
        <v>49</v>
      </c>
      <c r="J486" s="6" t="s">
        <v>1026</v>
      </c>
      <c r="K486" s="6" t="s">
        <v>51</v>
      </c>
      <c r="L486" s="6" t="s">
        <v>52</v>
      </c>
      <c r="M486" s="6" t="s">
        <v>53</v>
      </c>
      <c r="N486" s="6">
        <v>1.01</v>
      </c>
      <c r="O486" s="6">
        <v>8</v>
      </c>
    </row>
    <row r="487" spans="1:15" ht="14.25" customHeight="1" x14ac:dyDescent="0.3">
      <c r="A487" s="6" t="s">
        <v>1027</v>
      </c>
      <c r="B487" s="6">
        <v>55</v>
      </c>
      <c r="C487" s="6" t="s">
        <v>25</v>
      </c>
      <c r="D487" s="6" t="s">
        <v>26</v>
      </c>
      <c r="E487" s="6" t="s">
        <v>18</v>
      </c>
      <c r="F487" s="6">
        <v>1486</v>
      </c>
      <c r="G487" s="6">
        <v>66822.259999999995</v>
      </c>
      <c r="H487" s="7">
        <v>38951</v>
      </c>
      <c r="I487" s="6" t="s">
        <v>56</v>
      </c>
      <c r="J487" s="6" t="s">
        <v>1028</v>
      </c>
      <c r="K487" s="6" t="s">
        <v>21</v>
      </c>
      <c r="L487" s="6" t="s">
        <v>22</v>
      </c>
      <c r="M487" s="6" t="s">
        <v>23</v>
      </c>
      <c r="N487" s="6">
        <v>1.54</v>
      </c>
      <c r="O487" s="6">
        <v>141</v>
      </c>
    </row>
    <row r="488" spans="1:15" ht="14.25" customHeight="1" x14ac:dyDescent="0.3">
      <c r="A488" s="6" t="s">
        <v>1029</v>
      </c>
      <c r="B488" s="6">
        <v>63</v>
      </c>
      <c r="C488" s="6" t="s">
        <v>25</v>
      </c>
      <c r="D488" s="6" t="s">
        <v>47</v>
      </c>
      <c r="E488" s="6" t="s">
        <v>27</v>
      </c>
      <c r="F488" s="6">
        <v>1487</v>
      </c>
      <c r="G488" s="6">
        <v>102914.86</v>
      </c>
      <c r="H488" s="7">
        <v>44824</v>
      </c>
      <c r="I488" s="6" t="s">
        <v>63</v>
      </c>
      <c r="J488" s="6" t="s">
        <v>1030</v>
      </c>
      <c r="K488" s="6" t="s">
        <v>30</v>
      </c>
      <c r="L488" s="6" t="s">
        <v>31</v>
      </c>
      <c r="M488" s="6" t="s">
        <v>32</v>
      </c>
      <c r="N488" s="6">
        <v>2.0299999999999998</v>
      </c>
      <c r="O488" s="6">
        <v>125</v>
      </c>
    </row>
    <row r="489" spans="1:15" ht="14.25" customHeight="1" x14ac:dyDescent="0.3">
      <c r="A489" s="6" t="s">
        <v>1031</v>
      </c>
      <c r="B489" s="6">
        <v>26</v>
      </c>
      <c r="C489" s="6" t="s">
        <v>25</v>
      </c>
      <c r="D489" s="6" t="s">
        <v>69</v>
      </c>
      <c r="E489" s="6" t="s">
        <v>48</v>
      </c>
      <c r="F489" s="6">
        <v>1488</v>
      </c>
      <c r="G489" s="6">
        <v>148622.15</v>
      </c>
      <c r="H489" s="7">
        <v>42353</v>
      </c>
      <c r="I489" s="6" t="s">
        <v>66</v>
      </c>
      <c r="J489" s="6" t="s">
        <v>1032</v>
      </c>
      <c r="K489" s="6" t="s">
        <v>37</v>
      </c>
      <c r="L489" s="6" t="s">
        <v>38</v>
      </c>
      <c r="M489" s="6" t="s">
        <v>39</v>
      </c>
      <c r="N489" s="6">
        <v>1.1499999999999999</v>
      </c>
      <c r="O489" s="6">
        <v>2</v>
      </c>
    </row>
    <row r="490" spans="1:15" ht="14.25" customHeight="1" x14ac:dyDescent="0.3">
      <c r="A490" s="6" t="s">
        <v>1033</v>
      </c>
      <c r="B490" s="6">
        <v>51</v>
      </c>
      <c r="C490" s="6" t="s">
        <v>25</v>
      </c>
      <c r="D490" s="6" t="s">
        <v>69</v>
      </c>
      <c r="E490" s="6" t="s">
        <v>18</v>
      </c>
      <c r="F490" s="6">
        <v>1489</v>
      </c>
      <c r="G490" s="6">
        <v>135477.45000000001</v>
      </c>
      <c r="H490" s="7">
        <v>41898</v>
      </c>
      <c r="I490" s="6" t="s">
        <v>70</v>
      </c>
      <c r="J490" s="6" t="s">
        <v>1034</v>
      </c>
      <c r="K490" s="6" t="s">
        <v>43</v>
      </c>
      <c r="L490" s="6" t="s">
        <v>44</v>
      </c>
      <c r="M490" s="6" t="s">
        <v>45</v>
      </c>
      <c r="N490" s="6">
        <v>3.43</v>
      </c>
      <c r="O490" s="6">
        <v>147</v>
      </c>
    </row>
    <row r="491" spans="1:15" ht="14.25" customHeight="1" x14ac:dyDescent="0.3">
      <c r="A491" s="6" t="s">
        <v>1035</v>
      </c>
      <c r="B491" s="6">
        <v>49</v>
      </c>
      <c r="C491" s="6" t="s">
        <v>25</v>
      </c>
      <c r="D491" s="6" t="s">
        <v>26</v>
      </c>
      <c r="E491" s="6" t="s">
        <v>48</v>
      </c>
      <c r="F491" s="6">
        <v>1490</v>
      </c>
      <c r="G491" s="6">
        <v>99591.17</v>
      </c>
      <c r="H491" s="7">
        <v>36954</v>
      </c>
      <c r="I491" s="6" t="s">
        <v>73</v>
      </c>
      <c r="J491" s="6" t="s">
        <v>1036</v>
      </c>
      <c r="K491" s="6" t="s">
        <v>51</v>
      </c>
      <c r="L491" s="6" t="s">
        <v>52</v>
      </c>
      <c r="M491" s="6" t="s">
        <v>53</v>
      </c>
      <c r="N491" s="6">
        <v>4.59</v>
      </c>
      <c r="O491" s="6">
        <v>45</v>
      </c>
    </row>
    <row r="492" spans="1:15" ht="14.25" customHeight="1" x14ac:dyDescent="0.3">
      <c r="A492" s="6" t="s">
        <v>1037</v>
      </c>
      <c r="B492" s="6">
        <v>39</v>
      </c>
      <c r="C492" s="6" t="s">
        <v>16</v>
      </c>
      <c r="D492" s="6" t="s">
        <v>26</v>
      </c>
      <c r="E492" s="6" t="s">
        <v>27</v>
      </c>
      <c r="F492" s="6">
        <v>1491</v>
      </c>
      <c r="G492" s="6">
        <v>150677.26</v>
      </c>
      <c r="H492" s="7">
        <v>37163</v>
      </c>
      <c r="I492" s="6" t="s">
        <v>19</v>
      </c>
      <c r="J492" s="6" t="s">
        <v>1038</v>
      </c>
      <c r="K492" s="6" t="s">
        <v>21</v>
      </c>
      <c r="L492" s="6" t="s">
        <v>22</v>
      </c>
      <c r="M492" s="6" t="s">
        <v>23</v>
      </c>
      <c r="N492" s="6">
        <v>2.63</v>
      </c>
      <c r="O492" s="6">
        <v>68</v>
      </c>
    </row>
    <row r="493" spans="1:15" ht="14.25" customHeight="1" x14ac:dyDescent="0.3">
      <c r="A493" s="6" t="s">
        <v>1039</v>
      </c>
      <c r="B493" s="6">
        <v>57</v>
      </c>
      <c r="C493" s="6" t="s">
        <v>25</v>
      </c>
      <c r="D493" s="6" t="s">
        <v>69</v>
      </c>
      <c r="E493" s="6" t="s">
        <v>80</v>
      </c>
      <c r="F493" s="6">
        <v>1492</v>
      </c>
      <c r="G493" s="6">
        <v>152633.1</v>
      </c>
      <c r="H493" s="7">
        <v>44666</v>
      </c>
      <c r="I493" s="6" t="s">
        <v>28</v>
      </c>
      <c r="J493" s="6" t="s">
        <v>1040</v>
      </c>
      <c r="K493" s="6" t="s">
        <v>30</v>
      </c>
      <c r="L493" s="6" t="s">
        <v>31</v>
      </c>
      <c r="M493" s="6" t="s">
        <v>32</v>
      </c>
      <c r="N493" s="6">
        <v>3.79</v>
      </c>
      <c r="O493" s="6">
        <v>175</v>
      </c>
    </row>
    <row r="494" spans="1:15" ht="14.25" customHeight="1" x14ac:dyDescent="0.3">
      <c r="A494" s="6" t="s">
        <v>1041</v>
      </c>
      <c r="B494" s="6">
        <v>24</v>
      </c>
      <c r="C494" s="6" t="s">
        <v>16</v>
      </c>
      <c r="D494" s="6" t="s">
        <v>17</v>
      </c>
      <c r="E494" s="6" t="s">
        <v>48</v>
      </c>
      <c r="F494" s="6">
        <v>1493</v>
      </c>
      <c r="G494" s="6">
        <v>82335</v>
      </c>
      <c r="H494" s="7">
        <v>37766</v>
      </c>
      <c r="I494" s="6" t="s">
        <v>35</v>
      </c>
      <c r="J494" s="6" t="s">
        <v>1042</v>
      </c>
      <c r="K494" s="6" t="s">
        <v>37</v>
      </c>
      <c r="L494" s="6" t="s">
        <v>38</v>
      </c>
      <c r="M494" s="6" t="s">
        <v>39</v>
      </c>
      <c r="N494" s="6">
        <v>1.47</v>
      </c>
      <c r="O494" s="6">
        <v>67</v>
      </c>
    </row>
    <row r="495" spans="1:15" ht="14.25" customHeight="1" x14ac:dyDescent="0.3">
      <c r="A495" s="6" t="s">
        <v>1043</v>
      </c>
      <c r="B495" s="6">
        <v>42</v>
      </c>
      <c r="C495" s="6" t="s">
        <v>25</v>
      </c>
      <c r="D495" s="6" t="s">
        <v>26</v>
      </c>
      <c r="E495" s="6" t="s">
        <v>80</v>
      </c>
      <c r="F495" s="6">
        <v>1494</v>
      </c>
      <c r="G495" s="6">
        <v>109142.71</v>
      </c>
      <c r="H495" s="7">
        <v>40234</v>
      </c>
      <c r="I495" s="6" t="s">
        <v>41</v>
      </c>
      <c r="J495" s="6" t="s">
        <v>1044</v>
      </c>
      <c r="K495" s="6" t="s">
        <v>43</v>
      </c>
      <c r="L495" s="6" t="s">
        <v>44</v>
      </c>
      <c r="M495" s="6" t="s">
        <v>45</v>
      </c>
      <c r="N495" s="6">
        <v>4.74</v>
      </c>
      <c r="O495" s="6">
        <v>151</v>
      </c>
    </row>
    <row r="496" spans="1:15" ht="14.25" customHeight="1" x14ac:dyDescent="0.3">
      <c r="A496" s="6" t="s">
        <v>1045</v>
      </c>
      <c r="B496" s="6">
        <v>37</v>
      </c>
      <c r="C496" s="6" t="s">
        <v>16</v>
      </c>
      <c r="D496" s="6" t="s">
        <v>69</v>
      </c>
      <c r="E496" s="6" t="s">
        <v>18</v>
      </c>
      <c r="F496" s="6">
        <v>1495</v>
      </c>
      <c r="G496" s="6">
        <v>110719.86</v>
      </c>
      <c r="H496" s="7">
        <v>38395</v>
      </c>
      <c r="I496" s="6" t="s">
        <v>49</v>
      </c>
      <c r="J496" s="6" t="s">
        <v>1046</v>
      </c>
      <c r="K496" s="6" t="s">
        <v>51</v>
      </c>
      <c r="L496" s="6" t="s">
        <v>52</v>
      </c>
      <c r="M496" s="6" t="s">
        <v>53</v>
      </c>
      <c r="N496" s="6">
        <v>4.45</v>
      </c>
      <c r="O496" s="6">
        <v>125</v>
      </c>
    </row>
    <row r="497" spans="1:15" ht="14.25" customHeight="1" x14ac:dyDescent="0.3">
      <c r="A497" s="6" t="s">
        <v>1047</v>
      </c>
      <c r="B497" s="6">
        <v>58</v>
      </c>
      <c r="C497" s="6" t="s">
        <v>62</v>
      </c>
      <c r="D497" s="6" t="s">
        <v>47</v>
      </c>
      <c r="E497" s="6" t="s">
        <v>27</v>
      </c>
      <c r="F497" s="6">
        <v>1496</v>
      </c>
      <c r="G497" s="6">
        <v>182157.79</v>
      </c>
      <c r="H497" s="7">
        <v>41137</v>
      </c>
      <c r="I497" s="6" t="s">
        <v>56</v>
      </c>
      <c r="J497" s="6" t="s">
        <v>1048</v>
      </c>
      <c r="K497" s="6" t="s">
        <v>21</v>
      </c>
      <c r="L497" s="6" t="s">
        <v>22</v>
      </c>
      <c r="M497" s="6" t="s">
        <v>23</v>
      </c>
      <c r="N497" s="6">
        <v>4.47</v>
      </c>
      <c r="O497" s="6">
        <v>155</v>
      </c>
    </row>
    <row r="498" spans="1:15" ht="14.25" customHeight="1" x14ac:dyDescent="0.3">
      <c r="A498" s="6" t="s">
        <v>1049</v>
      </c>
      <c r="B498" s="6">
        <v>63</v>
      </c>
      <c r="C498" s="6" t="s">
        <v>16</v>
      </c>
      <c r="D498" s="6" t="s">
        <v>69</v>
      </c>
      <c r="E498" s="6" t="s">
        <v>80</v>
      </c>
      <c r="F498" s="6">
        <v>1497</v>
      </c>
      <c r="G498" s="6">
        <v>147571.76</v>
      </c>
      <c r="H498" s="7">
        <v>43776</v>
      </c>
      <c r="I498" s="6" t="s">
        <v>63</v>
      </c>
      <c r="J498" s="6" t="s">
        <v>1050</v>
      </c>
      <c r="K498" s="6" t="s">
        <v>30</v>
      </c>
      <c r="L498" s="6" t="s">
        <v>31</v>
      </c>
      <c r="M498" s="6" t="s">
        <v>32</v>
      </c>
      <c r="N498" s="6">
        <v>4.82</v>
      </c>
      <c r="O498" s="6">
        <v>190</v>
      </c>
    </row>
    <row r="499" spans="1:15" ht="14.25" customHeight="1" x14ac:dyDescent="0.3">
      <c r="A499" s="6" t="s">
        <v>1051</v>
      </c>
      <c r="B499" s="6">
        <v>26</v>
      </c>
      <c r="C499" s="6" t="s">
        <v>16</v>
      </c>
      <c r="D499" s="6" t="s">
        <v>17</v>
      </c>
      <c r="E499" s="6" t="s">
        <v>48</v>
      </c>
      <c r="F499" s="6">
        <v>1498</v>
      </c>
      <c r="G499" s="6">
        <v>154991.28</v>
      </c>
      <c r="H499" s="7">
        <v>37026</v>
      </c>
      <c r="I499" s="6" t="s">
        <v>66</v>
      </c>
      <c r="J499" s="6" t="s">
        <v>1052</v>
      </c>
      <c r="K499" s="6" t="s">
        <v>37</v>
      </c>
      <c r="L499" s="6" t="s">
        <v>38</v>
      </c>
      <c r="M499" s="6" t="s">
        <v>39</v>
      </c>
      <c r="N499" s="6">
        <v>4.88</v>
      </c>
      <c r="O499" s="6">
        <v>19</v>
      </c>
    </row>
    <row r="500" spans="1:15" ht="14.25" customHeight="1" x14ac:dyDescent="0.3">
      <c r="A500" s="6" t="s">
        <v>1053</v>
      </c>
      <c r="B500" s="6">
        <v>35</v>
      </c>
      <c r="C500" s="6" t="s">
        <v>62</v>
      </c>
      <c r="D500" s="6" t="s">
        <v>26</v>
      </c>
      <c r="E500" s="6" t="s">
        <v>34</v>
      </c>
      <c r="F500" s="6">
        <v>1499</v>
      </c>
      <c r="G500" s="6">
        <v>76122.87</v>
      </c>
      <c r="H500" s="7">
        <v>43011</v>
      </c>
      <c r="I500" s="6" t="s">
        <v>70</v>
      </c>
      <c r="J500" s="6" t="s">
        <v>1054</v>
      </c>
      <c r="K500" s="6" t="s">
        <v>43</v>
      </c>
      <c r="L500" s="6" t="s">
        <v>44</v>
      </c>
      <c r="M500" s="6" t="s">
        <v>45</v>
      </c>
      <c r="N500" s="6">
        <v>4.6399999999999997</v>
      </c>
      <c r="O500" s="6">
        <v>163</v>
      </c>
    </row>
    <row r="501" spans="1:15" ht="14.25" customHeight="1" x14ac:dyDescent="0.3">
      <c r="A501" s="6" t="s">
        <v>1055</v>
      </c>
      <c r="B501" s="6">
        <v>52</v>
      </c>
      <c r="C501" s="6" t="s">
        <v>25</v>
      </c>
      <c r="D501" s="6" t="s">
        <v>69</v>
      </c>
      <c r="E501" s="6" t="s">
        <v>18</v>
      </c>
      <c r="F501" s="6">
        <v>1500</v>
      </c>
      <c r="G501" s="6">
        <v>198098.61</v>
      </c>
      <c r="H501" s="7">
        <v>39187</v>
      </c>
      <c r="I501" s="6" t="s">
        <v>73</v>
      </c>
      <c r="J501" s="6" t="s">
        <v>1056</v>
      </c>
      <c r="K501" s="6" t="s">
        <v>51</v>
      </c>
      <c r="L501" s="6" t="s">
        <v>52</v>
      </c>
      <c r="M501" s="6" t="s">
        <v>53</v>
      </c>
      <c r="N501" s="6">
        <v>4.83</v>
      </c>
      <c r="O501" s="6">
        <v>52</v>
      </c>
    </row>
    <row r="502" spans="1:15" ht="14.25" customHeight="1" x14ac:dyDescent="0.3">
      <c r="A502" s="6" t="s">
        <v>1057</v>
      </c>
      <c r="B502" s="6">
        <v>45</v>
      </c>
      <c r="C502" s="6" t="s">
        <v>25</v>
      </c>
      <c r="D502" s="6" t="s">
        <v>55</v>
      </c>
      <c r="E502" s="6" t="s">
        <v>18</v>
      </c>
      <c r="F502" s="6">
        <v>1501</v>
      </c>
      <c r="G502" s="6">
        <v>96385.88</v>
      </c>
      <c r="H502" s="7">
        <v>41097</v>
      </c>
      <c r="I502" s="6" t="s">
        <v>19</v>
      </c>
      <c r="J502" s="6" t="s">
        <v>1058</v>
      </c>
      <c r="K502" s="6" t="s">
        <v>21</v>
      </c>
      <c r="L502" s="6" t="s">
        <v>22</v>
      </c>
      <c r="M502" s="6" t="s">
        <v>23</v>
      </c>
      <c r="N502" s="6">
        <v>2.11</v>
      </c>
      <c r="O502" s="6">
        <v>68</v>
      </c>
    </row>
    <row r="503" spans="1:15" ht="14.25" customHeight="1" x14ac:dyDescent="0.3">
      <c r="A503" s="6" t="s">
        <v>1059</v>
      </c>
      <c r="B503" s="6">
        <v>56</v>
      </c>
      <c r="C503" s="6" t="s">
        <v>16</v>
      </c>
      <c r="D503" s="6" t="s">
        <v>26</v>
      </c>
      <c r="E503" s="6" t="s">
        <v>80</v>
      </c>
      <c r="F503" s="6">
        <v>1502</v>
      </c>
      <c r="G503" s="6">
        <v>126163.48</v>
      </c>
      <c r="H503" s="7">
        <v>40507</v>
      </c>
      <c r="I503" s="6" t="s">
        <v>28</v>
      </c>
      <c r="J503" s="6" t="s">
        <v>1060</v>
      </c>
      <c r="K503" s="6" t="s">
        <v>30</v>
      </c>
      <c r="L503" s="6" t="s">
        <v>31</v>
      </c>
      <c r="M503" s="6" t="s">
        <v>32</v>
      </c>
      <c r="N503" s="6">
        <v>3.76</v>
      </c>
      <c r="O503" s="6">
        <v>42</v>
      </c>
    </row>
    <row r="504" spans="1:15" ht="14.25" customHeight="1" x14ac:dyDescent="0.3">
      <c r="A504" s="6" t="s">
        <v>1061</v>
      </c>
      <c r="B504" s="6">
        <v>57</v>
      </c>
      <c r="C504" s="6" t="s">
        <v>25</v>
      </c>
      <c r="D504" s="6" t="s">
        <v>26</v>
      </c>
      <c r="E504" s="6" t="s">
        <v>18</v>
      </c>
      <c r="F504" s="6">
        <v>1503</v>
      </c>
      <c r="G504" s="6">
        <v>66406.78</v>
      </c>
      <c r="H504" s="7">
        <v>43516</v>
      </c>
      <c r="I504" s="6" t="s">
        <v>35</v>
      </c>
      <c r="J504" s="6" t="s">
        <v>1062</v>
      </c>
      <c r="K504" s="6" t="s">
        <v>37</v>
      </c>
      <c r="L504" s="6" t="s">
        <v>38</v>
      </c>
      <c r="M504" s="6" t="s">
        <v>39</v>
      </c>
      <c r="N504" s="6">
        <v>4.34</v>
      </c>
      <c r="O504" s="6">
        <v>39</v>
      </c>
    </row>
    <row r="505" spans="1:15" ht="14.25" customHeight="1" x14ac:dyDescent="0.3">
      <c r="A505" s="6" t="s">
        <v>1063</v>
      </c>
      <c r="B505" s="6">
        <v>31</v>
      </c>
      <c r="C505" s="6" t="s">
        <v>25</v>
      </c>
      <c r="D505" s="6" t="s">
        <v>55</v>
      </c>
      <c r="E505" s="6" t="s">
        <v>27</v>
      </c>
      <c r="F505" s="6">
        <v>1504</v>
      </c>
      <c r="G505" s="6">
        <v>87081.07</v>
      </c>
      <c r="H505" s="7">
        <v>41660</v>
      </c>
      <c r="I505" s="6" t="s">
        <v>41</v>
      </c>
      <c r="J505" s="6" t="s">
        <v>1064</v>
      </c>
      <c r="K505" s="6" t="s">
        <v>43</v>
      </c>
      <c r="L505" s="6" t="s">
        <v>44</v>
      </c>
      <c r="M505" s="6" t="s">
        <v>45</v>
      </c>
      <c r="N505" s="6">
        <v>4.82</v>
      </c>
      <c r="O505" s="6">
        <v>113</v>
      </c>
    </row>
    <row r="506" spans="1:15" ht="14.25" customHeight="1" x14ac:dyDescent="0.3">
      <c r="A506" s="6" t="s">
        <v>1065</v>
      </c>
      <c r="B506" s="6">
        <v>48</v>
      </c>
      <c r="C506" s="6" t="s">
        <v>62</v>
      </c>
      <c r="D506" s="6" t="s">
        <v>26</v>
      </c>
      <c r="E506" s="6" t="s">
        <v>18</v>
      </c>
      <c r="F506" s="6">
        <v>1505</v>
      </c>
      <c r="G506" s="6">
        <v>75125.34</v>
      </c>
      <c r="H506" s="7">
        <v>38755</v>
      </c>
      <c r="I506" s="6" t="s">
        <v>49</v>
      </c>
      <c r="J506" s="6" t="s">
        <v>1066</v>
      </c>
      <c r="K506" s="6" t="s">
        <v>51</v>
      </c>
      <c r="L506" s="6" t="s">
        <v>52</v>
      </c>
      <c r="M506" s="6" t="s">
        <v>53</v>
      </c>
      <c r="N506" s="6">
        <v>1.85</v>
      </c>
      <c r="O506" s="6">
        <v>30</v>
      </c>
    </row>
    <row r="507" spans="1:15" ht="14.25" customHeight="1" x14ac:dyDescent="0.3">
      <c r="A507" s="6" t="s">
        <v>1067</v>
      </c>
      <c r="B507" s="6">
        <v>48</v>
      </c>
      <c r="C507" s="6" t="s">
        <v>25</v>
      </c>
      <c r="D507" s="6" t="s">
        <v>47</v>
      </c>
      <c r="E507" s="6" t="s">
        <v>27</v>
      </c>
      <c r="F507" s="6">
        <v>1506</v>
      </c>
      <c r="G507" s="6">
        <v>167094.56</v>
      </c>
      <c r="H507" s="7">
        <v>40911</v>
      </c>
      <c r="I507" s="6" t="s">
        <v>56</v>
      </c>
      <c r="J507" s="6" t="s">
        <v>1068</v>
      </c>
      <c r="K507" s="6" t="s">
        <v>21</v>
      </c>
      <c r="L507" s="6" t="s">
        <v>22</v>
      </c>
      <c r="M507" s="6" t="s">
        <v>23</v>
      </c>
      <c r="N507" s="6">
        <v>4.4000000000000004</v>
      </c>
      <c r="O507" s="6">
        <v>66</v>
      </c>
    </row>
    <row r="508" spans="1:15" ht="14.25" customHeight="1" x14ac:dyDescent="0.3">
      <c r="A508" s="6" t="s">
        <v>1069</v>
      </c>
      <c r="B508" s="6">
        <v>44</v>
      </c>
      <c r="C508" s="6" t="s">
        <v>25</v>
      </c>
      <c r="D508" s="6" t="s">
        <v>47</v>
      </c>
      <c r="E508" s="6" t="s">
        <v>18</v>
      </c>
      <c r="F508" s="6">
        <v>1507</v>
      </c>
      <c r="G508" s="6">
        <v>189006.14</v>
      </c>
      <c r="H508" s="7">
        <v>42616</v>
      </c>
      <c r="I508" s="6" t="s">
        <v>63</v>
      </c>
      <c r="J508" s="6" t="s">
        <v>1070</v>
      </c>
      <c r="K508" s="6" t="s">
        <v>30</v>
      </c>
      <c r="L508" s="6" t="s">
        <v>31</v>
      </c>
      <c r="M508" s="6" t="s">
        <v>32</v>
      </c>
      <c r="N508" s="6">
        <v>2.4900000000000002</v>
      </c>
      <c r="O508" s="6">
        <v>53</v>
      </c>
    </row>
    <row r="509" spans="1:15" ht="14.25" customHeight="1" x14ac:dyDescent="0.3">
      <c r="A509" s="6" t="s">
        <v>1071</v>
      </c>
      <c r="B509" s="6">
        <v>34</v>
      </c>
      <c r="C509" s="6" t="s">
        <v>16</v>
      </c>
      <c r="D509" s="6" t="s">
        <v>17</v>
      </c>
      <c r="E509" s="6" t="s">
        <v>27</v>
      </c>
      <c r="F509" s="6">
        <v>1508</v>
      </c>
      <c r="G509" s="6">
        <v>151604.91</v>
      </c>
      <c r="H509" s="7">
        <v>43728</v>
      </c>
      <c r="I509" s="6" t="s">
        <v>66</v>
      </c>
      <c r="J509" s="6" t="s">
        <v>1072</v>
      </c>
      <c r="K509" s="6" t="s">
        <v>37</v>
      </c>
      <c r="L509" s="6" t="s">
        <v>38</v>
      </c>
      <c r="M509" s="6" t="s">
        <v>39</v>
      </c>
      <c r="N509" s="6">
        <v>3.43</v>
      </c>
      <c r="O509" s="6">
        <v>32</v>
      </c>
    </row>
    <row r="510" spans="1:15" ht="14.25" customHeight="1" x14ac:dyDescent="0.3">
      <c r="A510" s="6" t="s">
        <v>1073</v>
      </c>
      <c r="B510" s="6">
        <v>37</v>
      </c>
      <c r="C510" s="6" t="s">
        <v>25</v>
      </c>
      <c r="D510" s="6" t="s">
        <v>17</v>
      </c>
      <c r="E510" s="6" t="s">
        <v>48</v>
      </c>
      <c r="F510" s="6">
        <v>1509</v>
      </c>
      <c r="G510" s="6">
        <v>168991.2</v>
      </c>
      <c r="H510" s="7">
        <v>43367</v>
      </c>
      <c r="I510" s="6" t="s">
        <v>70</v>
      </c>
      <c r="J510" s="6" t="s">
        <v>1074</v>
      </c>
      <c r="K510" s="6" t="s">
        <v>43</v>
      </c>
      <c r="L510" s="6" t="s">
        <v>44</v>
      </c>
      <c r="M510" s="6" t="s">
        <v>45</v>
      </c>
      <c r="N510" s="6">
        <v>2.39</v>
      </c>
      <c r="O510" s="6">
        <v>156</v>
      </c>
    </row>
    <row r="511" spans="1:15" ht="14.25" customHeight="1" x14ac:dyDescent="0.3">
      <c r="A511" s="6" t="s">
        <v>1075</v>
      </c>
      <c r="B511" s="6">
        <v>56</v>
      </c>
      <c r="C511" s="6" t="s">
        <v>25</v>
      </c>
      <c r="D511" s="6" t="s">
        <v>69</v>
      </c>
      <c r="E511" s="6" t="s">
        <v>48</v>
      </c>
      <c r="F511" s="6">
        <v>1510</v>
      </c>
      <c r="G511" s="6">
        <v>74633.440000000002</v>
      </c>
      <c r="H511" s="7">
        <v>44658</v>
      </c>
      <c r="I511" s="6" t="s">
        <v>73</v>
      </c>
      <c r="J511" s="6" t="s">
        <v>1076</v>
      </c>
      <c r="K511" s="6" t="s">
        <v>51</v>
      </c>
      <c r="L511" s="6" t="s">
        <v>52</v>
      </c>
      <c r="M511" s="6" t="s">
        <v>53</v>
      </c>
      <c r="N511" s="6">
        <v>4.1900000000000004</v>
      </c>
      <c r="O511" s="6">
        <v>128</v>
      </c>
    </row>
    <row r="512" spans="1:15" ht="14.25" customHeight="1" x14ac:dyDescent="0.3">
      <c r="A512" s="6" t="s">
        <v>1077</v>
      </c>
      <c r="B512" s="6">
        <v>48</v>
      </c>
      <c r="C512" s="6" t="s">
        <v>16</v>
      </c>
      <c r="D512" s="6" t="s">
        <v>69</v>
      </c>
      <c r="E512" s="6" t="s">
        <v>18</v>
      </c>
      <c r="F512" s="6">
        <v>1511</v>
      </c>
      <c r="G512" s="6">
        <v>115998.24</v>
      </c>
      <c r="H512" s="7">
        <v>44220</v>
      </c>
      <c r="I512" s="6" t="s">
        <v>19</v>
      </c>
      <c r="J512" s="6" t="s">
        <v>1078</v>
      </c>
      <c r="K512" s="6" t="s">
        <v>21</v>
      </c>
      <c r="L512" s="6" t="s">
        <v>22</v>
      </c>
      <c r="M512" s="6" t="s">
        <v>23</v>
      </c>
      <c r="N512" s="6">
        <v>1.1100000000000001</v>
      </c>
      <c r="O512" s="6">
        <v>9</v>
      </c>
    </row>
    <row r="513" spans="1:15" ht="14.25" customHeight="1" x14ac:dyDescent="0.3">
      <c r="A513" s="6" t="s">
        <v>1079</v>
      </c>
      <c r="B513" s="6">
        <v>60</v>
      </c>
      <c r="C513" s="6" t="s">
        <v>16</v>
      </c>
      <c r="D513" s="6" t="s">
        <v>47</v>
      </c>
      <c r="E513" s="6" t="s">
        <v>18</v>
      </c>
      <c r="F513" s="6">
        <v>1512</v>
      </c>
      <c r="G513" s="6">
        <v>65451.54</v>
      </c>
      <c r="H513" s="7">
        <v>38414</v>
      </c>
      <c r="I513" s="6" t="s">
        <v>28</v>
      </c>
      <c r="J513" s="6" t="s">
        <v>1080</v>
      </c>
      <c r="K513" s="6" t="s">
        <v>30</v>
      </c>
      <c r="L513" s="6" t="s">
        <v>31</v>
      </c>
      <c r="M513" s="6" t="s">
        <v>32</v>
      </c>
      <c r="N513" s="6">
        <v>2.62</v>
      </c>
      <c r="O513" s="6">
        <v>146</v>
      </c>
    </row>
    <row r="514" spans="1:15" ht="14.25" customHeight="1" x14ac:dyDescent="0.3">
      <c r="A514" s="6" t="s">
        <v>1081</v>
      </c>
      <c r="B514" s="6">
        <v>38</v>
      </c>
      <c r="C514" s="6" t="s">
        <v>16</v>
      </c>
      <c r="D514" s="6" t="s">
        <v>26</v>
      </c>
      <c r="E514" s="6" t="s">
        <v>18</v>
      </c>
      <c r="F514" s="6">
        <v>1513</v>
      </c>
      <c r="G514" s="6">
        <v>188640.81</v>
      </c>
      <c r="H514" s="7">
        <v>42642</v>
      </c>
      <c r="I514" s="6" t="s">
        <v>35</v>
      </c>
      <c r="J514" s="6" t="s">
        <v>1082</v>
      </c>
      <c r="K514" s="6" t="s">
        <v>37</v>
      </c>
      <c r="L514" s="6" t="s">
        <v>38</v>
      </c>
      <c r="M514" s="6" t="s">
        <v>39</v>
      </c>
      <c r="N514" s="6">
        <v>2.4500000000000002</v>
      </c>
      <c r="O514" s="6">
        <v>25</v>
      </c>
    </row>
    <row r="515" spans="1:15" ht="14.25" customHeight="1" x14ac:dyDescent="0.3">
      <c r="A515" s="6" t="s">
        <v>1083</v>
      </c>
      <c r="B515" s="6">
        <v>62</v>
      </c>
      <c r="C515" s="6" t="s">
        <v>25</v>
      </c>
      <c r="D515" s="6" t="s">
        <v>55</v>
      </c>
      <c r="E515" s="6" t="s">
        <v>27</v>
      </c>
      <c r="F515" s="6">
        <v>1514</v>
      </c>
      <c r="G515" s="6">
        <v>152927.76</v>
      </c>
      <c r="H515" s="7">
        <v>37902</v>
      </c>
      <c r="I515" s="6" t="s">
        <v>41</v>
      </c>
      <c r="J515" s="6" t="s">
        <v>1084</v>
      </c>
      <c r="K515" s="6" t="s">
        <v>43</v>
      </c>
      <c r="L515" s="6" t="s">
        <v>44</v>
      </c>
      <c r="M515" s="6" t="s">
        <v>45</v>
      </c>
      <c r="N515" s="6">
        <v>3.57</v>
      </c>
      <c r="O515" s="6">
        <v>7</v>
      </c>
    </row>
    <row r="516" spans="1:15" ht="14.25" customHeight="1" x14ac:dyDescent="0.3">
      <c r="A516" s="6" t="s">
        <v>1085</v>
      </c>
      <c r="B516" s="6">
        <v>22</v>
      </c>
      <c r="C516" s="6" t="s">
        <v>25</v>
      </c>
      <c r="D516" s="6" t="s">
        <v>47</v>
      </c>
      <c r="E516" s="6" t="s">
        <v>34</v>
      </c>
      <c r="F516" s="6">
        <v>1515</v>
      </c>
      <c r="G516" s="6">
        <v>65150.71</v>
      </c>
      <c r="H516" s="7">
        <v>37496</v>
      </c>
      <c r="I516" s="6" t="s">
        <v>49</v>
      </c>
      <c r="J516" s="6" t="s">
        <v>1086</v>
      </c>
      <c r="K516" s="6" t="s">
        <v>51</v>
      </c>
      <c r="L516" s="6" t="s">
        <v>52</v>
      </c>
      <c r="M516" s="6" t="s">
        <v>53</v>
      </c>
      <c r="N516" s="6">
        <v>1.75</v>
      </c>
      <c r="O516" s="6">
        <v>111</v>
      </c>
    </row>
    <row r="517" spans="1:15" ht="14.25" customHeight="1" x14ac:dyDescent="0.3">
      <c r="A517" s="6" t="s">
        <v>1087</v>
      </c>
      <c r="B517" s="6">
        <v>32</v>
      </c>
      <c r="C517" s="6" t="s">
        <v>25</v>
      </c>
      <c r="D517" s="6" t="s">
        <v>17</v>
      </c>
      <c r="E517" s="6" t="s">
        <v>18</v>
      </c>
      <c r="F517" s="6">
        <v>1516</v>
      </c>
      <c r="G517" s="6">
        <v>160695.57</v>
      </c>
      <c r="H517" s="7">
        <v>43628</v>
      </c>
      <c r="I517" s="6" t="s">
        <v>56</v>
      </c>
      <c r="J517" s="6" t="s">
        <v>1088</v>
      </c>
      <c r="K517" s="6" t="s">
        <v>21</v>
      </c>
      <c r="L517" s="6" t="s">
        <v>22</v>
      </c>
      <c r="M517" s="6" t="s">
        <v>23</v>
      </c>
      <c r="N517" s="6">
        <v>3.65</v>
      </c>
      <c r="O517" s="6">
        <v>7</v>
      </c>
    </row>
    <row r="518" spans="1:15" ht="14.25" customHeight="1" x14ac:dyDescent="0.3">
      <c r="A518" s="6" t="s">
        <v>1089</v>
      </c>
      <c r="B518" s="6">
        <v>33</v>
      </c>
      <c r="C518" s="6" t="s">
        <v>25</v>
      </c>
      <c r="D518" s="6" t="s">
        <v>17</v>
      </c>
      <c r="E518" s="6" t="s">
        <v>18</v>
      </c>
      <c r="F518" s="6">
        <v>1517</v>
      </c>
      <c r="G518" s="6">
        <v>95513.48</v>
      </c>
      <c r="H518" s="7">
        <v>42012</v>
      </c>
      <c r="I518" s="6" t="s">
        <v>63</v>
      </c>
      <c r="J518" s="6" t="s">
        <v>1090</v>
      </c>
      <c r="K518" s="6" t="s">
        <v>30</v>
      </c>
      <c r="L518" s="6" t="s">
        <v>31</v>
      </c>
      <c r="M518" s="6" t="s">
        <v>32</v>
      </c>
      <c r="N518" s="6">
        <v>2.2200000000000002</v>
      </c>
      <c r="O518" s="6">
        <v>91</v>
      </c>
    </row>
    <row r="519" spans="1:15" ht="14.25" customHeight="1" x14ac:dyDescent="0.3">
      <c r="A519" s="6" t="s">
        <v>1091</v>
      </c>
      <c r="B519" s="6">
        <v>35</v>
      </c>
      <c r="C519" s="6" t="s">
        <v>25</v>
      </c>
      <c r="D519" s="6" t="s">
        <v>17</v>
      </c>
      <c r="E519" s="6" t="s">
        <v>80</v>
      </c>
      <c r="F519" s="6">
        <v>1518</v>
      </c>
      <c r="G519" s="6">
        <v>188053.94</v>
      </c>
      <c r="H519" s="7">
        <v>43774</v>
      </c>
      <c r="I519" s="6" t="s">
        <v>66</v>
      </c>
      <c r="J519" s="6" t="s">
        <v>1092</v>
      </c>
      <c r="K519" s="6" t="s">
        <v>37</v>
      </c>
      <c r="L519" s="6" t="s">
        <v>38</v>
      </c>
      <c r="M519" s="6" t="s">
        <v>39</v>
      </c>
      <c r="N519" s="6">
        <v>1.04</v>
      </c>
      <c r="O519" s="6">
        <v>140</v>
      </c>
    </row>
    <row r="520" spans="1:15" ht="14.25" customHeight="1" x14ac:dyDescent="0.3">
      <c r="A520" s="6" t="s">
        <v>1093</v>
      </c>
      <c r="B520" s="6">
        <v>29</v>
      </c>
      <c r="C520" s="6" t="s">
        <v>25</v>
      </c>
      <c r="D520" s="6" t="s">
        <v>55</v>
      </c>
      <c r="E520" s="6" t="s">
        <v>18</v>
      </c>
      <c r="F520" s="6">
        <v>1519</v>
      </c>
      <c r="G520" s="6">
        <v>59547.38</v>
      </c>
      <c r="H520" s="7">
        <v>41936</v>
      </c>
      <c r="I520" s="6" t="s">
        <v>70</v>
      </c>
      <c r="J520" s="6" t="s">
        <v>1094</v>
      </c>
      <c r="K520" s="6" t="s">
        <v>43</v>
      </c>
      <c r="L520" s="6" t="s">
        <v>44</v>
      </c>
      <c r="M520" s="6" t="s">
        <v>45</v>
      </c>
      <c r="N520" s="6">
        <v>4.95</v>
      </c>
      <c r="O520" s="6">
        <v>189</v>
      </c>
    </row>
    <row r="521" spans="1:15" ht="14.25" customHeight="1" x14ac:dyDescent="0.3">
      <c r="A521" s="6" t="s">
        <v>1095</v>
      </c>
      <c r="B521" s="6">
        <v>52</v>
      </c>
      <c r="C521" s="6" t="s">
        <v>16</v>
      </c>
      <c r="D521" s="6" t="s">
        <v>17</v>
      </c>
      <c r="E521" s="6" t="s">
        <v>34</v>
      </c>
      <c r="F521" s="6">
        <v>1520</v>
      </c>
      <c r="G521" s="6">
        <v>96702.42</v>
      </c>
      <c r="H521" s="7">
        <v>43815</v>
      </c>
      <c r="I521" s="6" t="s">
        <v>73</v>
      </c>
      <c r="J521" s="6" t="s">
        <v>1096</v>
      </c>
      <c r="K521" s="6" t="s">
        <v>51</v>
      </c>
      <c r="L521" s="6" t="s">
        <v>52</v>
      </c>
      <c r="M521" s="6" t="s">
        <v>53</v>
      </c>
      <c r="N521" s="6">
        <v>4.1399999999999997</v>
      </c>
      <c r="O521" s="6">
        <v>88</v>
      </c>
    </row>
    <row r="522" spans="1:15" ht="14.25" customHeight="1" x14ac:dyDescent="0.3">
      <c r="A522" s="6" t="s">
        <v>1097</v>
      </c>
      <c r="B522" s="6">
        <v>28</v>
      </c>
      <c r="C522" s="6" t="s">
        <v>16</v>
      </c>
      <c r="D522" s="6" t="s">
        <v>17</v>
      </c>
      <c r="E522" s="6" t="s">
        <v>48</v>
      </c>
      <c r="F522" s="6">
        <v>1521</v>
      </c>
      <c r="G522" s="6">
        <v>177881.94</v>
      </c>
      <c r="H522" s="7">
        <v>44233</v>
      </c>
      <c r="I522" s="6" t="s">
        <v>19</v>
      </c>
      <c r="J522" s="6" t="s">
        <v>1098</v>
      </c>
      <c r="K522" s="6" t="s">
        <v>21</v>
      </c>
      <c r="L522" s="6" t="s">
        <v>22</v>
      </c>
      <c r="M522" s="6" t="s">
        <v>23</v>
      </c>
      <c r="N522" s="6">
        <v>4.9400000000000004</v>
      </c>
      <c r="O522" s="6">
        <v>96</v>
      </c>
    </row>
    <row r="523" spans="1:15" ht="14.25" customHeight="1" x14ac:dyDescent="0.3">
      <c r="A523" s="6" t="s">
        <v>1099</v>
      </c>
      <c r="B523" s="6">
        <v>52</v>
      </c>
      <c r="C523" s="6" t="s">
        <v>25</v>
      </c>
      <c r="D523" s="6" t="s">
        <v>69</v>
      </c>
      <c r="E523" s="6" t="s">
        <v>80</v>
      </c>
      <c r="F523" s="6">
        <v>1522</v>
      </c>
      <c r="G523" s="6">
        <v>65496.39</v>
      </c>
      <c r="H523" s="7">
        <v>41207</v>
      </c>
      <c r="I523" s="6" t="s">
        <v>28</v>
      </c>
      <c r="J523" s="6" t="s">
        <v>1100</v>
      </c>
      <c r="K523" s="6" t="s">
        <v>30</v>
      </c>
      <c r="L523" s="6" t="s">
        <v>31</v>
      </c>
      <c r="M523" s="6" t="s">
        <v>32</v>
      </c>
      <c r="N523" s="6">
        <v>4.8</v>
      </c>
      <c r="O523" s="6">
        <v>81</v>
      </c>
    </row>
    <row r="524" spans="1:15" ht="14.25" customHeight="1" x14ac:dyDescent="0.3">
      <c r="A524" s="6" t="s">
        <v>1101</v>
      </c>
      <c r="B524" s="6">
        <v>37</v>
      </c>
      <c r="C524" s="6" t="s">
        <v>62</v>
      </c>
      <c r="D524" s="6" t="s">
        <v>26</v>
      </c>
      <c r="E524" s="6" t="s">
        <v>80</v>
      </c>
      <c r="F524" s="6">
        <v>1523</v>
      </c>
      <c r="G524" s="6">
        <v>91073.46</v>
      </c>
      <c r="H524" s="7">
        <v>44639</v>
      </c>
      <c r="I524" s="6" t="s">
        <v>35</v>
      </c>
      <c r="J524" s="6" t="s">
        <v>1102</v>
      </c>
      <c r="K524" s="6" t="s">
        <v>37</v>
      </c>
      <c r="L524" s="6" t="s">
        <v>38</v>
      </c>
      <c r="M524" s="6" t="s">
        <v>39</v>
      </c>
      <c r="N524" s="6">
        <v>2.91</v>
      </c>
      <c r="O524" s="6">
        <v>30</v>
      </c>
    </row>
    <row r="525" spans="1:15" ht="14.25" customHeight="1" x14ac:dyDescent="0.3">
      <c r="A525" s="6" t="s">
        <v>1103</v>
      </c>
      <c r="B525" s="6">
        <v>63</v>
      </c>
      <c r="C525" s="6" t="s">
        <v>16</v>
      </c>
      <c r="D525" s="6" t="s">
        <v>26</v>
      </c>
      <c r="E525" s="6" t="s">
        <v>80</v>
      </c>
      <c r="F525" s="6">
        <v>1524</v>
      </c>
      <c r="G525" s="6">
        <v>76208.539999999994</v>
      </c>
      <c r="H525" s="7">
        <v>39267</v>
      </c>
      <c r="I525" s="6" t="s">
        <v>41</v>
      </c>
      <c r="J525" s="6" t="s">
        <v>1104</v>
      </c>
      <c r="K525" s="6" t="s">
        <v>43</v>
      </c>
      <c r="L525" s="6" t="s">
        <v>44</v>
      </c>
      <c r="M525" s="6" t="s">
        <v>45</v>
      </c>
      <c r="N525" s="6">
        <v>2.19</v>
      </c>
      <c r="O525" s="6">
        <v>110</v>
      </c>
    </row>
    <row r="526" spans="1:15" ht="14.25" customHeight="1" x14ac:dyDescent="0.3">
      <c r="A526" s="6" t="s">
        <v>1105</v>
      </c>
      <c r="B526" s="6">
        <v>60</v>
      </c>
      <c r="C526" s="6" t="s">
        <v>25</v>
      </c>
      <c r="D526" s="6" t="s">
        <v>55</v>
      </c>
      <c r="E526" s="6" t="s">
        <v>48</v>
      </c>
      <c r="F526" s="6">
        <v>1525</v>
      </c>
      <c r="G526" s="6">
        <v>183878.99</v>
      </c>
      <c r="H526" s="7">
        <v>39596</v>
      </c>
      <c r="I526" s="6" t="s">
        <v>49</v>
      </c>
      <c r="J526" s="6" t="s">
        <v>1106</v>
      </c>
      <c r="K526" s="6" t="s">
        <v>51</v>
      </c>
      <c r="L526" s="6" t="s">
        <v>52</v>
      </c>
      <c r="M526" s="6" t="s">
        <v>53</v>
      </c>
      <c r="N526" s="6">
        <v>4.58</v>
      </c>
      <c r="O526" s="6">
        <v>37</v>
      </c>
    </row>
    <row r="527" spans="1:15" ht="14.25" customHeight="1" x14ac:dyDescent="0.3">
      <c r="A527" s="6" t="s">
        <v>1107</v>
      </c>
      <c r="B527" s="6">
        <v>40</v>
      </c>
      <c r="C527" s="6" t="s">
        <v>16</v>
      </c>
      <c r="D527" s="6" t="s">
        <v>17</v>
      </c>
      <c r="E527" s="6" t="s">
        <v>27</v>
      </c>
      <c r="F527" s="6">
        <v>1526</v>
      </c>
      <c r="G527" s="6">
        <v>121979.56</v>
      </c>
      <c r="H527" s="7">
        <v>38626</v>
      </c>
      <c r="I527" s="6" t="s">
        <v>56</v>
      </c>
      <c r="J527" s="6" t="s">
        <v>1108</v>
      </c>
      <c r="K527" s="6" t="s">
        <v>21</v>
      </c>
      <c r="L527" s="6" t="s">
        <v>22</v>
      </c>
      <c r="M527" s="6" t="s">
        <v>23</v>
      </c>
      <c r="N527" s="6">
        <v>1.08</v>
      </c>
      <c r="O527" s="6">
        <v>90</v>
      </c>
    </row>
    <row r="528" spans="1:15" ht="14.25" customHeight="1" x14ac:dyDescent="0.3">
      <c r="A528" s="6" t="s">
        <v>1109</v>
      </c>
      <c r="B528" s="6">
        <v>29</v>
      </c>
      <c r="C528" s="6" t="s">
        <v>62</v>
      </c>
      <c r="D528" s="6" t="s">
        <v>69</v>
      </c>
      <c r="E528" s="6" t="s">
        <v>27</v>
      </c>
      <c r="F528" s="6">
        <v>1527</v>
      </c>
      <c r="G528" s="6">
        <v>178407.2</v>
      </c>
      <c r="H528" s="7">
        <v>41795</v>
      </c>
      <c r="I528" s="6" t="s">
        <v>63</v>
      </c>
      <c r="J528" s="6" t="s">
        <v>1110</v>
      </c>
      <c r="K528" s="6" t="s">
        <v>30</v>
      </c>
      <c r="L528" s="6" t="s">
        <v>31</v>
      </c>
      <c r="M528" s="6" t="s">
        <v>32</v>
      </c>
      <c r="N528" s="6">
        <v>1.83</v>
      </c>
      <c r="O528" s="6">
        <v>102</v>
      </c>
    </row>
    <row r="529" spans="1:15" ht="14.25" customHeight="1" x14ac:dyDescent="0.3">
      <c r="A529" s="6" t="s">
        <v>1111</v>
      </c>
      <c r="B529" s="6">
        <v>50</v>
      </c>
      <c r="C529" s="6" t="s">
        <v>16</v>
      </c>
      <c r="D529" s="6" t="s">
        <v>26</v>
      </c>
      <c r="E529" s="6" t="s">
        <v>48</v>
      </c>
      <c r="F529" s="6">
        <v>1528</v>
      </c>
      <c r="G529" s="6">
        <v>98966.52</v>
      </c>
      <c r="H529" s="7">
        <v>40470</v>
      </c>
      <c r="I529" s="6" t="s">
        <v>66</v>
      </c>
      <c r="J529" s="6" t="s">
        <v>1112</v>
      </c>
      <c r="K529" s="6" t="s">
        <v>37</v>
      </c>
      <c r="L529" s="6" t="s">
        <v>38</v>
      </c>
      <c r="M529" s="6" t="s">
        <v>39</v>
      </c>
      <c r="N529" s="6">
        <v>3.19</v>
      </c>
      <c r="O529" s="6">
        <v>146</v>
      </c>
    </row>
    <row r="530" spans="1:15" ht="14.25" customHeight="1" x14ac:dyDescent="0.3">
      <c r="A530" s="6" t="s">
        <v>1113</v>
      </c>
      <c r="B530" s="6">
        <v>23</v>
      </c>
      <c r="C530" s="6" t="s">
        <v>16</v>
      </c>
      <c r="D530" s="6" t="s">
        <v>55</v>
      </c>
      <c r="E530" s="6" t="s">
        <v>80</v>
      </c>
      <c r="F530" s="6">
        <v>1529</v>
      </c>
      <c r="G530" s="6">
        <v>150357.47</v>
      </c>
      <c r="H530" s="7">
        <v>36554</v>
      </c>
      <c r="I530" s="6" t="s">
        <v>70</v>
      </c>
      <c r="J530" s="6" t="s">
        <v>1114</v>
      </c>
      <c r="K530" s="6" t="s">
        <v>43</v>
      </c>
      <c r="L530" s="6" t="s">
        <v>44</v>
      </c>
      <c r="M530" s="6" t="s">
        <v>45</v>
      </c>
      <c r="N530" s="6">
        <v>1.78</v>
      </c>
      <c r="O530" s="6">
        <v>147</v>
      </c>
    </row>
    <row r="531" spans="1:15" ht="14.25" customHeight="1" x14ac:dyDescent="0.3">
      <c r="A531" s="6" t="s">
        <v>1115</v>
      </c>
      <c r="B531" s="6">
        <v>63</v>
      </c>
      <c r="C531" s="6" t="s">
        <v>16</v>
      </c>
      <c r="D531" s="6" t="s">
        <v>69</v>
      </c>
      <c r="E531" s="6" t="s">
        <v>34</v>
      </c>
      <c r="F531" s="6">
        <v>1530</v>
      </c>
      <c r="G531" s="6">
        <v>65094.53</v>
      </c>
      <c r="H531" s="7">
        <v>37831</v>
      </c>
      <c r="I531" s="6" t="s">
        <v>73</v>
      </c>
      <c r="J531" s="6" t="s">
        <v>1116</v>
      </c>
      <c r="K531" s="6" t="s">
        <v>51</v>
      </c>
      <c r="L531" s="6" t="s">
        <v>52</v>
      </c>
      <c r="M531" s="6" t="s">
        <v>53</v>
      </c>
      <c r="N531" s="6">
        <v>2.5099999999999998</v>
      </c>
      <c r="O531" s="6">
        <v>174</v>
      </c>
    </row>
    <row r="532" spans="1:15" ht="14.25" customHeight="1" x14ac:dyDescent="0.3">
      <c r="A532" s="6" t="s">
        <v>1117</v>
      </c>
      <c r="B532" s="6">
        <v>24</v>
      </c>
      <c r="C532" s="6" t="s">
        <v>16</v>
      </c>
      <c r="D532" s="6" t="s">
        <v>17</v>
      </c>
      <c r="E532" s="6" t="s">
        <v>48</v>
      </c>
      <c r="F532" s="6">
        <v>1531</v>
      </c>
      <c r="G532" s="6">
        <v>114556.85</v>
      </c>
      <c r="H532" s="7">
        <v>44137</v>
      </c>
      <c r="I532" s="6" t="s">
        <v>19</v>
      </c>
      <c r="J532" s="6" t="s">
        <v>1118</v>
      </c>
      <c r="K532" s="6" t="s">
        <v>21</v>
      </c>
      <c r="L532" s="6" t="s">
        <v>22</v>
      </c>
      <c r="M532" s="6" t="s">
        <v>23</v>
      </c>
      <c r="N532" s="6">
        <v>3.38</v>
      </c>
      <c r="O532" s="6">
        <v>119</v>
      </c>
    </row>
    <row r="533" spans="1:15" ht="14.25" customHeight="1" x14ac:dyDescent="0.3">
      <c r="A533" s="6" t="s">
        <v>1119</v>
      </c>
      <c r="B533" s="6">
        <v>50</v>
      </c>
      <c r="C533" s="6" t="s">
        <v>25</v>
      </c>
      <c r="D533" s="6" t="s">
        <v>55</v>
      </c>
      <c r="E533" s="6" t="s">
        <v>80</v>
      </c>
      <c r="F533" s="6">
        <v>1532</v>
      </c>
      <c r="G533" s="6">
        <v>88674.65</v>
      </c>
      <c r="H533" s="7">
        <v>44180</v>
      </c>
      <c r="I533" s="6" t="s">
        <v>28</v>
      </c>
      <c r="J533" s="6" t="s">
        <v>1120</v>
      </c>
      <c r="K533" s="6" t="s">
        <v>30</v>
      </c>
      <c r="L533" s="6" t="s">
        <v>31</v>
      </c>
      <c r="M533" s="6" t="s">
        <v>32</v>
      </c>
      <c r="N533" s="6">
        <v>4.55</v>
      </c>
      <c r="O533" s="6">
        <v>151</v>
      </c>
    </row>
    <row r="534" spans="1:15" ht="14.25" customHeight="1" x14ac:dyDescent="0.3">
      <c r="A534" s="6" t="s">
        <v>1121</v>
      </c>
      <c r="B534" s="6">
        <v>36</v>
      </c>
      <c r="C534" s="6" t="s">
        <v>62</v>
      </c>
      <c r="D534" s="6" t="s">
        <v>69</v>
      </c>
      <c r="E534" s="6" t="s">
        <v>80</v>
      </c>
      <c r="F534" s="6">
        <v>1533</v>
      </c>
      <c r="G534" s="6">
        <v>90758.03</v>
      </c>
      <c r="H534" s="7">
        <v>39424</v>
      </c>
      <c r="I534" s="6" t="s">
        <v>35</v>
      </c>
      <c r="J534" s="6" t="s">
        <v>1122</v>
      </c>
      <c r="K534" s="6" t="s">
        <v>37</v>
      </c>
      <c r="L534" s="6" t="s">
        <v>38</v>
      </c>
      <c r="M534" s="6" t="s">
        <v>39</v>
      </c>
      <c r="N534" s="6">
        <v>4.33</v>
      </c>
      <c r="O534" s="6">
        <v>60</v>
      </c>
    </row>
    <row r="535" spans="1:15" ht="14.25" customHeight="1" x14ac:dyDescent="0.3">
      <c r="A535" s="6" t="s">
        <v>1123</v>
      </c>
      <c r="B535" s="6">
        <v>59</v>
      </c>
      <c r="C535" s="6" t="s">
        <v>25</v>
      </c>
      <c r="D535" s="6" t="s">
        <v>26</v>
      </c>
      <c r="E535" s="6" t="s">
        <v>18</v>
      </c>
      <c r="F535" s="6">
        <v>1534</v>
      </c>
      <c r="G535" s="6">
        <v>67876.03</v>
      </c>
      <c r="H535" s="7">
        <v>38614</v>
      </c>
      <c r="I535" s="6" t="s">
        <v>41</v>
      </c>
      <c r="J535" s="6" t="s">
        <v>1124</v>
      </c>
      <c r="K535" s="6" t="s">
        <v>43</v>
      </c>
      <c r="L535" s="6" t="s">
        <v>44</v>
      </c>
      <c r="M535" s="6" t="s">
        <v>45</v>
      </c>
      <c r="N535" s="6">
        <v>4.1500000000000004</v>
      </c>
      <c r="O535" s="6">
        <v>3</v>
      </c>
    </row>
    <row r="536" spans="1:15" ht="14.25" customHeight="1" x14ac:dyDescent="0.3">
      <c r="A536" s="6" t="s">
        <v>1125</v>
      </c>
      <c r="B536" s="6">
        <v>49</v>
      </c>
      <c r="C536" s="6" t="s">
        <v>16</v>
      </c>
      <c r="D536" s="6" t="s">
        <v>47</v>
      </c>
      <c r="E536" s="6" t="s">
        <v>48</v>
      </c>
      <c r="F536" s="6">
        <v>1535</v>
      </c>
      <c r="G536" s="6">
        <v>108246.99</v>
      </c>
      <c r="H536" s="7">
        <v>42415</v>
      </c>
      <c r="I536" s="6" t="s">
        <v>49</v>
      </c>
      <c r="J536" s="6" t="s">
        <v>1126</v>
      </c>
      <c r="K536" s="6" t="s">
        <v>51</v>
      </c>
      <c r="L536" s="6" t="s">
        <v>52</v>
      </c>
      <c r="M536" s="6" t="s">
        <v>53</v>
      </c>
      <c r="N536" s="6">
        <v>3.43</v>
      </c>
      <c r="O536" s="6">
        <v>102</v>
      </c>
    </row>
    <row r="537" spans="1:15" ht="14.25" customHeight="1" x14ac:dyDescent="0.3">
      <c r="A537" s="6" t="s">
        <v>1127</v>
      </c>
      <c r="B537" s="6">
        <v>58</v>
      </c>
      <c r="C537" s="6" t="s">
        <v>16</v>
      </c>
      <c r="D537" s="6" t="s">
        <v>26</v>
      </c>
      <c r="E537" s="6" t="s">
        <v>27</v>
      </c>
      <c r="F537" s="6">
        <v>1536</v>
      </c>
      <c r="G537" s="6">
        <v>75886.649999999994</v>
      </c>
      <c r="H537" s="7">
        <v>44254</v>
      </c>
      <c r="I537" s="6" t="s">
        <v>56</v>
      </c>
      <c r="J537" s="6" t="s">
        <v>1128</v>
      </c>
      <c r="K537" s="6" t="s">
        <v>21</v>
      </c>
      <c r="L537" s="6" t="s">
        <v>22</v>
      </c>
      <c r="M537" s="6" t="s">
        <v>23</v>
      </c>
      <c r="N537" s="6">
        <v>4.0999999999999996</v>
      </c>
      <c r="O537" s="6">
        <v>175</v>
      </c>
    </row>
    <row r="538" spans="1:15" ht="14.25" customHeight="1" x14ac:dyDescent="0.3">
      <c r="A538" s="6" t="s">
        <v>1129</v>
      </c>
      <c r="B538" s="6">
        <v>53</v>
      </c>
      <c r="C538" s="6" t="s">
        <v>16</v>
      </c>
      <c r="D538" s="6" t="s">
        <v>47</v>
      </c>
      <c r="E538" s="6" t="s">
        <v>80</v>
      </c>
      <c r="F538" s="6">
        <v>1537</v>
      </c>
      <c r="G538" s="6">
        <v>152481.53</v>
      </c>
      <c r="H538" s="7">
        <v>38762</v>
      </c>
      <c r="I538" s="6" t="s">
        <v>63</v>
      </c>
      <c r="J538" s="6" t="s">
        <v>1130</v>
      </c>
      <c r="K538" s="6" t="s">
        <v>30</v>
      </c>
      <c r="L538" s="6" t="s">
        <v>31</v>
      </c>
      <c r="M538" s="6" t="s">
        <v>32</v>
      </c>
      <c r="N538" s="6">
        <v>1.65</v>
      </c>
      <c r="O538" s="6">
        <v>10</v>
      </c>
    </row>
    <row r="539" spans="1:15" ht="14.25" customHeight="1" x14ac:dyDescent="0.3">
      <c r="A539" s="6" t="s">
        <v>1131</v>
      </c>
      <c r="B539" s="6">
        <v>51</v>
      </c>
      <c r="C539" s="6" t="s">
        <v>62</v>
      </c>
      <c r="D539" s="6" t="s">
        <v>55</v>
      </c>
      <c r="E539" s="6" t="s">
        <v>27</v>
      </c>
      <c r="F539" s="6">
        <v>1538</v>
      </c>
      <c r="G539" s="6">
        <v>127607.52</v>
      </c>
      <c r="H539" s="7">
        <v>42063</v>
      </c>
      <c r="I539" s="6" t="s">
        <v>66</v>
      </c>
      <c r="J539" s="6" t="s">
        <v>1132</v>
      </c>
      <c r="K539" s="6" t="s">
        <v>37</v>
      </c>
      <c r="L539" s="6" t="s">
        <v>38</v>
      </c>
      <c r="M539" s="6" t="s">
        <v>39</v>
      </c>
      <c r="N539" s="6">
        <v>4.34</v>
      </c>
      <c r="O539" s="6">
        <v>169</v>
      </c>
    </row>
    <row r="540" spans="1:15" ht="14.25" customHeight="1" x14ac:dyDescent="0.3">
      <c r="A540" s="6" t="s">
        <v>1133</v>
      </c>
      <c r="B540" s="6">
        <v>51</v>
      </c>
      <c r="C540" s="6" t="s">
        <v>62</v>
      </c>
      <c r="D540" s="6" t="s">
        <v>69</v>
      </c>
      <c r="E540" s="6" t="s">
        <v>27</v>
      </c>
      <c r="F540" s="6">
        <v>1539</v>
      </c>
      <c r="G540" s="6">
        <v>118750.39999999999</v>
      </c>
      <c r="H540" s="7">
        <v>41771</v>
      </c>
      <c r="I540" s="6" t="s">
        <v>70</v>
      </c>
      <c r="J540" s="6" t="s">
        <v>1134</v>
      </c>
      <c r="K540" s="6" t="s">
        <v>43</v>
      </c>
      <c r="L540" s="6" t="s">
        <v>44</v>
      </c>
      <c r="M540" s="6" t="s">
        <v>45</v>
      </c>
      <c r="N540" s="6">
        <v>2.23</v>
      </c>
      <c r="O540" s="6">
        <v>179</v>
      </c>
    </row>
    <row r="541" spans="1:15" ht="14.25" customHeight="1" x14ac:dyDescent="0.3">
      <c r="A541" s="6" t="s">
        <v>1135</v>
      </c>
      <c r="B541" s="6">
        <v>55</v>
      </c>
      <c r="C541" s="6" t="s">
        <v>25</v>
      </c>
      <c r="D541" s="6" t="s">
        <v>69</v>
      </c>
      <c r="E541" s="6" t="s">
        <v>18</v>
      </c>
      <c r="F541" s="6">
        <v>1540</v>
      </c>
      <c r="G541" s="6">
        <v>181100.9</v>
      </c>
      <c r="H541" s="7">
        <v>39509</v>
      </c>
      <c r="I541" s="6" t="s">
        <v>73</v>
      </c>
      <c r="J541" s="6" t="s">
        <v>1136</v>
      </c>
      <c r="K541" s="6" t="s">
        <v>51</v>
      </c>
      <c r="L541" s="6" t="s">
        <v>52</v>
      </c>
      <c r="M541" s="6" t="s">
        <v>53</v>
      </c>
      <c r="N541" s="6">
        <v>1.67</v>
      </c>
      <c r="O541" s="6">
        <v>194</v>
      </c>
    </row>
    <row r="542" spans="1:15" ht="14.25" customHeight="1" x14ac:dyDescent="0.3">
      <c r="A542" s="6" t="s">
        <v>1137</v>
      </c>
      <c r="B542" s="6">
        <v>34</v>
      </c>
      <c r="C542" s="6" t="s">
        <v>16</v>
      </c>
      <c r="D542" s="6" t="s">
        <v>69</v>
      </c>
      <c r="E542" s="6" t="s">
        <v>18</v>
      </c>
      <c r="F542" s="6">
        <v>1541</v>
      </c>
      <c r="G542" s="6">
        <v>77795.33</v>
      </c>
      <c r="H542" s="7">
        <v>36937</v>
      </c>
      <c r="I542" s="6" t="s">
        <v>19</v>
      </c>
      <c r="J542" s="6" t="s">
        <v>1138</v>
      </c>
      <c r="K542" s="6" t="s">
        <v>21</v>
      </c>
      <c r="L542" s="6" t="s">
        <v>22</v>
      </c>
      <c r="M542" s="6" t="s">
        <v>23</v>
      </c>
      <c r="N542" s="6">
        <v>2.56</v>
      </c>
      <c r="O542" s="6">
        <v>156</v>
      </c>
    </row>
    <row r="543" spans="1:15" ht="14.25" customHeight="1" x14ac:dyDescent="0.3">
      <c r="A543" s="6" t="s">
        <v>1139</v>
      </c>
      <c r="B543" s="6">
        <v>54</v>
      </c>
      <c r="C543" s="6" t="s">
        <v>62</v>
      </c>
      <c r="D543" s="6" t="s">
        <v>17</v>
      </c>
      <c r="E543" s="6" t="s">
        <v>48</v>
      </c>
      <c r="F543" s="6">
        <v>1542</v>
      </c>
      <c r="G543" s="6">
        <v>154880.85</v>
      </c>
      <c r="H543" s="7">
        <v>37250</v>
      </c>
      <c r="I543" s="6" t="s">
        <v>28</v>
      </c>
      <c r="J543" s="6" t="s">
        <v>1140</v>
      </c>
      <c r="K543" s="6" t="s">
        <v>30</v>
      </c>
      <c r="L543" s="6" t="s">
        <v>31</v>
      </c>
      <c r="M543" s="6" t="s">
        <v>32</v>
      </c>
      <c r="N543" s="6">
        <v>1.38</v>
      </c>
      <c r="O543" s="6">
        <v>173</v>
      </c>
    </row>
    <row r="544" spans="1:15" ht="14.25" customHeight="1" x14ac:dyDescent="0.3">
      <c r="A544" s="6" t="s">
        <v>1141</v>
      </c>
      <c r="B544" s="6">
        <v>63</v>
      </c>
      <c r="C544" s="6" t="s">
        <v>16</v>
      </c>
      <c r="D544" s="6" t="s">
        <v>26</v>
      </c>
      <c r="E544" s="6" t="s">
        <v>48</v>
      </c>
      <c r="F544" s="6">
        <v>1543</v>
      </c>
      <c r="G544" s="6">
        <v>77774.16</v>
      </c>
      <c r="H544" s="7">
        <v>38215</v>
      </c>
      <c r="I544" s="6" t="s">
        <v>35</v>
      </c>
      <c r="J544" s="6" t="s">
        <v>1142</v>
      </c>
      <c r="K544" s="6" t="s">
        <v>37</v>
      </c>
      <c r="L544" s="6" t="s">
        <v>38</v>
      </c>
      <c r="M544" s="6" t="s">
        <v>39</v>
      </c>
      <c r="N544" s="6">
        <v>4.4800000000000004</v>
      </c>
      <c r="O544" s="6">
        <v>174</v>
      </c>
    </row>
    <row r="545" spans="1:15" ht="14.25" customHeight="1" x14ac:dyDescent="0.3">
      <c r="A545" s="6" t="s">
        <v>1143</v>
      </c>
      <c r="B545" s="6">
        <v>38</v>
      </c>
      <c r="C545" s="6" t="s">
        <v>25</v>
      </c>
      <c r="D545" s="6" t="s">
        <v>47</v>
      </c>
      <c r="E545" s="6" t="s">
        <v>80</v>
      </c>
      <c r="F545" s="6">
        <v>1544</v>
      </c>
      <c r="G545" s="6">
        <v>144280.99</v>
      </c>
      <c r="H545" s="7">
        <v>37886</v>
      </c>
      <c r="I545" s="6" t="s">
        <v>41</v>
      </c>
      <c r="J545" s="6" t="s">
        <v>1144</v>
      </c>
      <c r="K545" s="6" t="s">
        <v>43</v>
      </c>
      <c r="L545" s="6" t="s">
        <v>44</v>
      </c>
      <c r="M545" s="6" t="s">
        <v>45</v>
      </c>
      <c r="N545" s="6">
        <v>2.36</v>
      </c>
      <c r="O545" s="6">
        <v>77</v>
      </c>
    </row>
    <row r="546" spans="1:15" ht="14.25" customHeight="1" x14ac:dyDescent="0.3">
      <c r="A546" s="6" t="s">
        <v>1145</v>
      </c>
      <c r="B546" s="6">
        <v>24</v>
      </c>
      <c r="C546" s="6" t="s">
        <v>25</v>
      </c>
      <c r="D546" s="6" t="s">
        <v>17</v>
      </c>
      <c r="E546" s="6" t="s">
        <v>34</v>
      </c>
      <c r="F546" s="6">
        <v>1545</v>
      </c>
      <c r="G546" s="6">
        <v>55860.97</v>
      </c>
      <c r="H546" s="7">
        <v>43366</v>
      </c>
      <c r="I546" s="6" t="s">
        <v>49</v>
      </c>
      <c r="J546" s="6" t="s">
        <v>1146</v>
      </c>
      <c r="K546" s="6" t="s">
        <v>51</v>
      </c>
      <c r="L546" s="6" t="s">
        <v>52</v>
      </c>
      <c r="M546" s="6" t="s">
        <v>53</v>
      </c>
      <c r="N546" s="6">
        <v>1.63</v>
      </c>
      <c r="O546" s="6">
        <v>7</v>
      </c>
    </row>
    <row r="547" spans="1:15" ht="14.25" customHeight="1" x14ac:dyDescent="0.3">
      <c r="A547" s="6" t="s">
        <v>1147</v>
      </c>
      <c r="B547" s="6">
        <v>30</v>
      </c>
      <c r="C547" s="6" t="s">
        <v>62</v>
      </c>
      <c r="D547" s="6" t="s">
        <v>55</v>
      </c>
      <c r="E547" s="6" t="s">
        <v>80</v>
      </c>
      <c r="F547" s="6">
        <v>1546</v>
      </c>
      <c r="G547" s="6">
        <v>55158.9</v>
      </c>
      <c r="H547" s="7">
        <v>43867</v>
      </c>
      <c r="I547" s="6" t="s">
        <v>56</v>
      </c>
      <c r="J547" s="6" t="s">
        <v>1148</v>
      </c>
      <c r="K547" s="6" t="s">
        <v>21</v>
      </c>
      <c r="L547" s="6" t="s">
        <v>22</v>
      </c>
      <c r="M547" s="6" t="s">
        <v>23</v>
      </c>
      <c r="N547" s="6">
        <v>4.6500000000000004</v>
      </c>
      <c r="O547" s="6">
        <v>112</v>
      </c>
    </row>
    <row r="548" spans="1:15" ht="14.25" customHeight="1" x14ac:dyDescent="0.3">
      <c r="A548" s="6" t="s">
        <v>1149</v>
      </c>
      <c r="B548" s="6">
        <v>32</v>
      </c>
      <c r="C548" s="6" t="s">
        <v>25</v>
      </c>
      <c r="D548" s="6" t="s">
        <v>55</v>
      </c>
      <c r="E548" s="6" t="s">
        <v>27</v>
      </c>
      <c r="F548" s="6">
        <v>1547</v>
      </c>
      <c r="G548" s="6">
        <v>112106.12</v>
      </c>
      <c r="H548" s="7">
        <v>43251</v>
      </c>
      <c r="I548" s="6" t="s">
        <v>63</v>
      </c>
      <c r="J548" s="6" t="s">
        <v>1150</v>
      </c>
      <c r="K548" s="6" t="s">
        <v>30</v>
      </c>
      <c r="L548" s="6" t="s">
        <v>31</v>
      </c>
      <c r="M548" s="6" t="s">
        <v>32</v>
      </c>
      <c r="N548" s="6">
        <v>1.4</v>
      </c>
      <c r="O548" s="6">
        <v>84</v>
      </c>
    </row>
    <row r="549" spans="1:15" ht="14.25" customHeight="1" x14ac:dyDescent="0.3">
      <c r="A549" s="6" t="s">
        <v>1151</v>
      </c>
      <c r="B549" s="6">
        <v>48</v>
      </c>
      <c r="C549" s="6" t="s">
        <v>62</v>
      </c>
      <c r="D549" s="6" t="s">
        <v>17</v>
      </c>
      <c r="E549" s="6" t="s">
        <v>48</v>
      </c>
      <c r="F549" s="6">
        <v>1548</v>
      </c>
      <c r="G549" s="6">
        <v>198979.47</v>
      </c>
      <c r="H549" s="7">
        <v>40368</v>
      </c>
      <c r="I549" s="6" t="s">
        <v>66</v>
      </c>
      <c r="J549" s="6" t="s">
        <v>1152</v>
      </c>
      <c r="K549" s="6" t="s">
        <v>37</v>
      </c>
      <c r="L549" s="6" t="s">
        <v>38</v>
      </c>
      <c r="M549" s="6" t="s">
        <v>39</v>
      </c>
      <c r="N549" s="6">
        <v>4.21</v>
      </c>
      <c r="O549" s="6">
        <v>53</v>
      </c>
    </row>
    <row r="550" spans="1:15" ht="14.25" customHeight="1" x14ac:dyDescent="0.3">
      <c r="A550" s="6" t="s">
        <v>1153</v>
      </c>
      <c r="B550" s="6">
        <v>49</v>
      </c>
      <c r="C550" s="6" t="s">
        <v>16</v>
      </c>
      <c r="D550" s="6" t="s">
        <v>47</v>
      </c>
      <c r="E550" s="6" t="s">
        <v>48</v>
      </c>
      <c r="F550" s="6">
        <v>1549</v>
      </c>
      <c r="G550" s="6">
        <v>72123.34</v>
      </c>
      <c r="H550" s="7">
        <v>43353</v>
      </c>
      <c r="I550" s="6" t="s">
        <v>70</v>
      </c>
      <c r="J550" s="6" t="s">
        <v>1154</v>
      </c>
      <c r="K550" s="6" t="s">
        <v>43</v>
      </c>
      <c r="L550" s="6" t="s">
        <v>44</v>
      </c>
      <c r="M550" s="6" t="s">
        <v>45</v>
      </c>
      <c r="N550" s="6">
        <v>4.17</v>
      </c>
      <c r="O550" s="6">
        <v>41</v>
      </c>
    </row>
    <row r="551" spans="1:15" ht="14.25" customHeight="1" x14ac:dyDescent="0.3">
      <c r="A551" s="6" t="s">
        <v>1155</v>
      </c>
      <c r="B551" s="6">
        <v>23</v>
      </c>
      <c r="C551" s="6" t="s">
        <v>62</v>
      </c>
      <c r="D551" s="6" t="s">
        <v>55</v>
      </c>
      <c r="E551" s="6" t="s">
        <v>48</v>
      </c>
      <c r="F551" s="6">
        <v>1550</v>
      </c>
      <c r="G551" s="6">
        <v>162984.54</v>
      </c>
      <c r="H551" s="7">
        <v>40208</v>
      </c>
      <c r="I551" s="6" t="s">
        <v>73</v>
      </c>
      <c r="J551" s="6" t="s">
        <v>1156</v>
      </c>
      <c r="K551" s="6" t="s">
        <v>51</v>
      </c>
      <c r="L551" s="6" t="s">
        <v>52</v>
      </c>
      <c r="M551" s="6" t="s">
        <v>53</v>
      </c>
      <c r="N551" s="6">
        <v>4.4800000000000004</v>
      </c>
      <c r="O551" s="6">
        <v>176</v>
      </c>
    </row>
    <row r="552" spans="1:15" ht="14.25" customHeight="1" x14ac:dyDescent="0.3">
      <c r="A552" s="6" t="s">
        <v>1157</v>
      </c>
      <c r="B552" s="6">
        <v>22</v>
      </c>
      <c r="C552" s="6" t="s">
        <v>25</v>
      </c>
      <c r="D552" s="6" t="s">
        <v>26</v>
      </c>
      <c r="E552" s="6" t="s">
        <v>48</v>
      </c>
      <c r="F552" s="6">
        <v>1551</v>
      </c>
      <c r="G552" s="6">
        <v>136079.5</v>
      </c>
      <c r="H552" s="7">
        <v>44781</v>
      </c>
      <c r="I552" s="6" t="s">
        <v>19</v>
      </c>
      <c r="J552" s="6" t="s">
        <v>1158</v>
      </c>
      <c r="K552" s="6" t="s">
        <v>21</v>
      </c>
      <c r="L552" s="6" t="s">
        <v>22</v>
      </c>
      <c r="M552" s="6" t="s">
        <v>23</v>
      </c>
      <c r="N552" s="6">
        <v>2.04</v>
      </c>
      <c r="O552" s="6">
        <v>114</v>
      </c>
    </row>
    <row r="553" spans="1:15" ht="14.25" customHeight="1" x14ac:dyDescent="0.3">
      <c r="A553" s="6" t="s">
        <v>1159</v>
      </c>
      <c r="B553" s="6">
        <v>27</v>
      </c>
      <c r="C553" s="6" t="s">
        <v>16</v>
      </c>
      <c r="D553" s="6" t="s">
        <v>55</v>
      </c>
      <c r="E553" s="6" t="s">
        <v>34</v>
      </c>
      <c r="F553" s="6">
        <v>1552</v>
      </c>
      <c r="G553" s="6">
        <v>92116.47</v>
      </c>
      <c r="H553" s="7">
        <v>36774</v>
      </c>
      <c r="I553" s="6" t="s">
        <v>28</v>
      </c>
      <c r="J553" s="6" t="s">
        <v>1160</v>
      </c>
      <c r="K553" s="6" t="s">
        <v>30</v>
      </c>
      <c r="L553" s="6" t="s">
        <v>31</v>
      </c>
      <c r="M553" s="6" t="s">
        <v>32</v>
      </c>
      <c r="N553" s="6">
        <v>4.91</v>
      </c>
      <c r="O553" s="6">
        <v>160</v>
      </c>
    </row>
    <row r="554" spans="1:15" ht="14.25" customHeight="1" x14ac:dyDescent="0.3">
      <c r="A554" s="6" t="s">
        <v>1161</v>
      </c>
      <c r="B554" s="6">
        <v>46</v>
      </c>
      <c r="C554" s="6" t="s">
        <v>25</v>
      </c>
      <c r="D554" s="6" t="s">
        <v>47</v>
      </c>
      <c r="E554" s="6" t="s">
        <v>80</v>
      </c>
      <c r="F554" s="6">
        <v>1553</v>
      </c>
      <c r="G554" s="6">
        <v>165222.51</v>
      </c>
      <c r="H554" s="7">
        <v>37508</v>
      </c>
      <c r="I554" s="6" t="s">
        <v>35</v>
      </c>
      <c r="J554" s="6" t="s">
        <v>1162</v>
      </c>
      <c r="K554" s="6" t="s">
        <v>37</v>
      </c>
      <c r="L554" s="6" t="s">
        <v>38</v>
      </c>
      <c r="M554" s="6" t="s">
        <v>39</v>
      </c>
      <c r="N554" s="6">
        <v>2.78</v>
      </c>
      <c r="O554" s="6">
        <v>192</v>
      </c>
    </row>
    <row r="555" spans="1:15" ht="14.25" customHeight="1" x14ac:dyDescent="0.3">
      <c r="A555" s="6" t="s">
        <v>1163</v>
      </c>
      <c r="B555" s="6">
        <v>56</v>
      </c>
      <c r="C555" s="6" t="s">
        <v>16</v>
      </c>
      <c r="D555" s="6" t="s">
        <v>26</v>
      </c>
      <c r="E555" s="6" t="s">
        <v>48</v>
      </c>
      <c r="F555" s="6">
        <v>1554</v>
      </c>
      <c r="G555" s="6">
        <v>94306.51</v>
      </c>
      <c r="H555" s="7">
        <v>37200</v>
      </c>
      <c r="I555" s="6" t="s">
        <v>41</v>
      </c>
      <c r="J555" s="6" t="s">
        <v>1164</v>
      </c>
      <c r="K555" s="6" t="s">
        <v>43</v>
      </c>
      <c r="L555" s="6" t="s">
        <v>44</v>
      </c>
      <c r="M555" s="6" t="s">
        <v>45</v>
      </c>
      <c r="N555" s="6">
        <v>3.16</v>
      </c>
      <c r="O555" s="6">
        <v>195</v>
      </c>
    </row>
    <row r="556" spans="1:15" ht="14.25" customHeight="1" x14ac:dyDescent="0.3">
      <c r="A556" s="6" t="s">
        <v>1165</v>
      </c>
      <c r="B556" s="6">
        <v>37</v>
      </c>
      <c r="C556" s="6" t="s">
        <v>16</v>
      </c>
      <c r="D556" s="6" t="s">
        <v>17</v>
      </c>
      <c r="E556" s="6" t="s">
        <v>34</v>
      </c>
      <c r="F556" s="6">
        <v>1555</v>
      </c>
      <c r="G556" s="6">
        <v>75310.399999999994</v>
      </c>
      <c r="H556" s="7">
        <v>39141</v>
      </c>
      <c r="I556" s="6" t="s">
        <v>49</v>
      </c>
      <c r="J556" s="6" t="s">
        <v>1166</v>
      </c>
      <c r="K556" s="6" t="s">
        <v>51</v>
      </c>
      <c r="L556" s="6" t="s">
        <v>52</v>
      </c>
      <c r="M556" s="6" t="s">
        <v>53</v>
      </c>
      <c r="N556" s="6">
        <v>1.96</v>
      </c>
      <c r="O556" s="6">
        <v>79</v>
      </c>
    </row>
    <row r="557" spans="1:15" ht="14.25" customHeight="1" x14ac:dyDescent="0.3">
      <c r="A557" s="6" t="s">
        <v>1167</v>
      </c>
      <c r="B557" s="6">
        <v>25</v>
      </c>
      <c r="C557" s="6" t="s">
        <v>16</v>
      </c>
      <c r="D557" s="6" t="s">
        <v>47</v>
      </c>
      <c r="E557" s="6" t="s">
        <v>18</v>
      </c>
      <c r="F557" s="6">
        <v>1556</v>
      </c>
      <c r="G557" s="6">
        <v>79117.16</v>
      </c>
      <c r="H557" s="7">
        <v>43606</v>
      </c>
      <c r="I557" s="6" t="s">
        <v>56</v>
      </c>
      <c r="J557" s="6" t="s">
        <v>1168</v>
      </c>
      <c r="K557" s="6" t="s">
        <v>21</v>
      </c>
      <c r="L557" s="6" t="s">
        <v>22</v>
      </c>
      <c r="M557" s="6" t="s">
        <v>23</v>
      </c>
      <c r="N557" s="6">
        <v>4.4800000000000004</v>
      </c>
      <c r="O557" s="6">
        <v>13</v>
      </c>
    </row>
    <row r="558" spans="1:15" ht="14.25" customHeight="1" x14ac:dyDescent="0.3">
      <c r="A558" s="6" t="s">
        <v>1169</v>
      </c>
      <c r="B558" s="6">
        <v>59</v>
      </c>
      <c r="C558" s="6" t="s">
        <v>16</v>
      </c>
      <c r="D558" s="6" t="s">
        <v>26</v>
      </c>
      <c r="E558" s="6" t="s">
        <v>34</v>
      </c>
      <c r="F558" s="6">
        <v>1557</v>
      </c>
      <c r="G558" s="6">
        <v>78253.77</v>
      </c>
      <c r="H558" s="7">
        <v>44801</v>
      </c>
      <c r="I558" s="6" t="s">
        <v>63</v>
      </c>
      <c r="J558" s="6" t="s">
        <v>1170</v>
      </c>
      <c r="K558" s="6" t="s">
        <v>30</v>
      </c>
      <c r="L558" s="6" t="s">
        <v>31</v>
      </c>
      <c r="M558" s="6" t="s">
        <v>32</v>
      </c>
      <c r="N558" s="6">
        <v>2.4900000000000002</v>
      </c>
      <c r="O558" s="6">
        <v>73</v>
      </c>
    </row>
    <row r="559" spans="1:15" ht="14.25" customHeight="1" x14ac:dyDescent="0.3">
      <c r="A559" s="6" t="s">
        <v>1171</v>
      </c>
      <c r="B559" s="6">
        <v>41</v>
      </c>
      <c r="C559" s="6" t="s">
        <v>25</v>
      </c>
      <c r="D559" s="6" t="s">
        <v>26</v>
      </c>
      <c r="E559" s="6" t="s">
        <v>48</v>
      </c>
      <c r="F559" s="6">
        <v>1558</v>
      </c>
      <c r="G559" s="6">
        <v>163784.25</v>
      </c>
      <c r="H559" s="7">
        <v>38054</v>
      </c>
      <c r="I559" s="6" t="s">
        <v>66</v>
      </c>
      <c r="J559" s="6" t="s">
        <v>1172</v>
      </c>
      <c r="K559" s="6" t="s">
        <v>37</v>
      </c>
      <c r="L559" s="6" t="s">
        <v>38</v>
      </c>
      <c r="M559" s="6" t="s">
        <v>39</v>
      </c>
      <c r="N559" s="6">
        <v>4.7699999999999996</v>
      </c>
      <c r="O559" s="6">
        <v>25</v>
      </c>
    </row>
    <row r="560" spans="1:15" ht="14.25" customHeight="1" x14ac:dyDescent="0.3">
      <c r="A560" s="6" t="s">
        <v>1173</v>
      </c>
      <c r="B560" s="6">
        <v>46</v>
      </c>
      <c r="C560" s="6" t="s">
        <v>62</v>
      </c>
      <c r="D560" s="6" t="s">
        <v>26</v>
      </c>
      <c r="E560" s="6" t="s">
        <v>48</v>
      </c>
      <c r="F560" s="6">
        <v>1559</v>
      </c>
      <c r="G560" s="6">
        <v>129267.95</v>
      </c>
      <c r="H560" s="7">
        <v>40296</v>
      </c>
      <c r="I560" s="6" t="s">
        <v>70</v>
      </c>
      <c r="J560" s="6" t="s">
        <v>1174</v>
      </c>
      <c r="K560" s="6" t="s">
        <v>43</v>
      </c>
      <c r="L560" s="6" t="s">
        <v>44</v>
      </c>
      <c r="M560" s="6" t="s">
        <v>45</v>
      </c>
      <c r="N560" s="6">
        <v>1.36</v>
      </c>
      <c r="O560" s="6">
        <v>116</v>
      </c>
    </row>
    <row r="561" spans="1:15" ht="14.25" customHeight="1" x14ac:dyDescent="0.3">
      <c r="A561" s="6" t="s">
        <v>1175</v>
      </c>
      <c r="B561" s="6">
        <v>28</v>
      </c>
      <c r="C561" s="6" t="s">
        <v>16</v>
      </c>
      <c r="D561" s="6" t="s">
        <v>47</v>
      </c>
      <c r="E561" s="6" t="s">
        <v>34</v>
      </c>
      <c r="F561" s="6">
        <v>1560</v>
      </c>
      <c r="G561" s="6">
        <v>148034.73000000001</v>
      </c>
      <c r="H561" s="7">
        <v>43494</v>
      </c>
      <c r="I561" s="6" t="s">
        <v>73</v>
      </c>
      <c r="J561" s="6" t="s">
        <v>1176</v>
      </c>
      <c r="K561" s="6" t="s">
        <v>51</v>
      </c>
      <c r="L561" s="6" t="s">
        <v>52</v>
      </c>
      <c r="M561" s="6" t="s">
        <v>53</v>
      </c>
      <c r="N561" s="6">
        <v>3.48</v>
      </c>
      <c r="O561" s="6">
        <v>14</v>
      </c>
    </row>
    <row r="562" spans="1:15" ht="14.25" customHeight="1" x14ac:dyDescent="0.3">
      <c r="A562" s="6" t="s">
        <v>1177</v>
      </c>
      <c r="B562" s="6">
        <v>42</v>
      </c>
      <c r="C562" s="6" t="s">
        <v>25</v>
      </c>
      <c r="D562" s="6" t="s">
        <v>69</v>
      </c>
      <c r="E562" s="6" t="s">
        <v>48</v>
      </c>
      <c r="F562" s="6">
        <v>1561</v>
      </c>
      <c r="G562" s="6">
        <v>184148.21</v>
      </c>
      <c r="H562" s="7">
        <v>39586</v>
      </c>
      <c r="I562" s="6" t="s">
        <v>19</v>
      </c>
      <c r="J562" s="6" t="s">
        <v>1178</v>
      </c>
      <c r="K562" s="6" t="s">
        <v>21</v>
      </c>
      <c r="L562" s="6" t="s">
        <v>22</v>
      </c>
      <c r="M562" s="6" t="s">
        <v>23</v>
      </c>
      <c r="N562" s="6">
        <v>2.27</v>
      </c>
      <c r="O562" s="6">
        <v>138</v>
      </c>
    </row>
    <row r="563" spans="1:15" ht="14.25" customHeight="1" x14ac:dyDescent="0.3">
      <c r="A563" s="6" t="s">
        <v>1179</v>
      </c>
      <c r="B563" s="6">
        <v>28</v>
      </c>
      <c r="C563" s="6" t="s">
        <v>25</v>
      </c>
      <c r="D563" s="6" t="s">
        <v>55</v>
      </c>
      <c r="E563" s="6" t="s">
        <v>48</v>
      </c>
      <c r="F563" s="6">
        <v>1562</v>
      </c>
      <c r="G563" s="6">
        <v>75235.11</v>
      </c>
      <c r="H563" s="7">
        <v>38572</v>
      </c>
      <c r="I563" s="6" t="s">
        <v>28</v>
      </c>
      <c r="J563" s="6" t="s">
        <v>1180</v>
      </c>
      <c r="K563" s="6" t="s">
        <v>30</v>
      </c>
      <c r="L563" s="6" t="s">
        <v>31</v>
      </c>
      <c r="M563" s="6" t="s">
        <v>32</v>
      </c>
      <c r="N563" s="6">
        <v>3.61</v>
      </c>
      <c r="O563" s="6">
        <v>103</v>
      </c>
    </row>
    <row r="564" spans="1:15" ht="14.25" customHeight="1" x14ac:dyDescent="0.3">
      <c r="A564" s="6" t="s">
        <v>1181</v>
      </c>
      <c r="B564" s="6">
        <v>50</v>
      </c>
      <c r="C564" s="6" t="s">
        <v>25</v>
      </c>
      <c r="D564" s="6" t="s">
        <v>69</v>
      </c>
      <c r="E564" s="6" t="s">
        <v>34</v>
      </c>
      <c r="F564" s="6">
        <v>1563</v>
      </c>
      <c r="G564" s="6">
        <v>113352.93</v>
      </c>
      <c r="H564" s="7">
        <v>37461</v>
      </c>
      <c r="I564" s="6" t="s">
        <v>35</v>
      </c>
      <c r="J564" s="6" t="s">
        <v>1182</v>
      </c>
      <c r="K564" s="6" t="s">
        <v>37</v>
      </c>
      <c r="L564" s="6" t="s">
        <v>38</v>
      </c>
      <c r="M564" s="6" t="s">
        <v>39</v>
      </c>
      <c r="N564" s="6">
        <v>4.91</v>
      </c>
      <c r="O564" s="6">
        <v>74</v>
      </c>
    </row>
    <row r="565" spans="1:15" ht="14.25" customHeight="1" x14ac:dyDescent="0.3">
      <c r="A565" s="6" t="s">
        <v>1183</v>
      </c>
      <c r="B565" s="6">
        <v>28</v>
      </c>
      <c r="C565" s="6" t="s">
        <v>62</v>
      </c>
      <c r="D565" s="6" t="s">
        <v>55</v>
      </c>
      <c r="E565" s="6" t="s">
        <v>80</v>
      </c>
      <c r="F565" s="6">
        <v>1564</v>
      </c>
      <c r="G565" s="6">
        <v>152013.65</v>
      </c>
      <c r="H565" s="7">
        <v>39159</v>
      </c>
      <c r="I565" s="6" t="s">
        <v>41</v>
      </c>
      <c r="J565" s="6" t="s">
        <v>1184</v>
      </c>
      <c r="K565" s="6" t="s">
        <v>43</v>
      </c>
      <c r="L565" s="6" t="s">
        <v>44</v>
      </c>
      <c r="M565" s="6" t="s">
        <v>45</v>
      </c>
      <c r="N565" s="6">
        <v>1.9</v>
      </c>
      <c r="O565" s="6">
        <v>170</v>
      </c>
    </row>
    <row r="566" spans="1:15" ht="14.25" customHeight="1" x14ac:dyDescent="0.3">
      <c r="A566" s="6" t="s">
        <v>1185</v>
      </c>
      <c r="B566" s="6">
        <v>24</v>
      </c>
      <c r="C566" s="6" t="s">
        <v>25</v>
      </c>
      <c r="D566" s="6" t="s">
        <v>47</v>
      </c>
      <c r="E566" s="6" t="s">
        <v>27</v>
      </c>
      <c r="F566" s="6">
        <v>1565</v>
      </c>
      <c r="G566" s="6">
        <v>102467.66</v>
      </c>
      <c r="H566" s="7">
        <v>41626</v>
      </c>
      <c r="I566" s="6" t="s">
        <v>49</v>
      </c>
      <c r="J566" s="6" t="s">
        <v>1186</v>
      </c>
      <c r="K566" s="6" t="s">
        <v>51</v>
      </c>
      <c r="L566" s="6" t="s">
        <v>52</v>
      </c>
      <c r="M566" s="6" t="s">
        <v>53</v>
      </c>
      <c r="N566" s="6">
        <v>4.87</v>
      </c>
      <c r="O566" s="6">
        <v>111</v>
      </c>
    </row>
    <row r="567" spans="1:15" ht="14.25" customHeight="1" x14ac:dyDescent="0.3">
      <c r="A567" s="6" t="s">
        <v>1187</v>
      </c>
      <c r="B567" s="6">
        <v>50</v>
      </c>
      <c r="C567" s="6" t="s">
        <v>25</v>
      </c>
      <c r="D567" s="6" t="s">
        <v>55</v>
      </c>
      <c r="E567" s="6" t="s">
        <v>80</v>
      </c>
      <c r="F567" s="6">
        <v>1566</v>
      </c>
      <c r="G567" s="6">
        <v>149240.94</v>
      </c>
      <c r="H567" s="7">
        <v>41196</v>
      </c>
      <c r="I567" s="6" t="s">
        <v>56</v>
      </c>
      <c r="J567" s="6" t="s">
        <v>1188</v>
      </c>
      <c r="K567" s="6" t="s">
        <v>21</v>
      </c>
      <c r="L567" s="6" t="s">
        <v>22</v>
      </c>
      <c r="M567" s="6" t="s">
        <v>23</v>
      </c>
      <c r="N567" s="6">
        <v>1.27</v>
      </c>
      <c r="O567" s="6">
        <v>100</v>
      </c>
    </row>
    <row r="568" spans="1:15" ht="14.25" customHeight="1" x14ac:dyDescent="0.3">
      <c r="A568" s="6" t="s">
        <v>1189</v>
      </c>
      <c r="B568" s="6">
        <v>50</v>
      </c>
      <c r="C568" s="6" t="s">
        <v>62</v>
      </c>
      <c r="D568" s="6" t="s">
        <v>47</v>
      </c>
      <c r="E568" s="6" t="s">
        <v>34</v>
      </c>
      <c r="F568" s="6">
        <v>1567</v>
      </c>
      <c r="G568" s="6">
        <v>103959.8</v>
      </c>
      <c r="H568" s="7">
        <v>44544</v>
      </c>
      <c r="I568" s="6" t="s">
        <v>63</v>
      </c>
      <c r="J568" s="6" t="s">
        <v>1190</v>
      </c>
      <c r="K568" s="6" t="s">
        <v>30</v>
      </c>
      <c r="L568" s="6" t="s">
        <v>31</v>
      </c>
      <c r="M568" s="6" t="s">
        <v>32</v>
      </c>
      <c r="N568" s="6">
        <v>4.8099999999999996</v>
      </c>
      <c r="O568" s="6">
        <v>67</v>
      </c>
    </row>
    <row r="569" spans="1:15" ht="14.25" customHeight="1" x14ac:dyDescent="0.3">
      <c r="A569" s="6" t="s">
        <v>1191</v>
      </c>
      <c r="B569" s="6">
        <v>60</v>
      </c>
      <c r="C569" s="6" t="s">
        <v>25</v>
      </c>
      <c r="D569" s="6" t="s">
        <v>26</v>
      </c>
      <c r="E569" s="6" t="s">
        <v>48</v>
      </c>
      <c r="F569" s="6">
        <v>1568</v>
      </c>
      <c r="G569" s="6">
        <v>76806.81</v>
      </c>
      <c r="H569" s="7">
        <v>43485</v>
      </c>
      <c r="I569" s="6" t="s">
        <v>66</v>
      </c>
      <c r="J569" s="6" t="s">
        <v>1192</v>
      </c>
      <c r="K569" s="6" t="s">
        <v>37</v>
      </c>
      <c r="L569" s="6" t="s">
        <v>38</v>
      </c>
      <c r="M569" s="6" t="s">
        <v>39</v>
      </c>
      <c r="N569" s="6">
        <v>3.77</v>
      </c>
      <c r="O569" s="6">
        <v>58</v>
      </c>
    </row>
    <row r="570" spans="1:15" ht="14.25" customHeight="1" x14ac:dyDescent="0.3">
      <c r="A570" s="6" t="s">
        <v>1193</v>
      </c>
      <c r="B570" s="6">
        <v>59</v>
      </c>
      <c r="C570" s="6" t="s">
        <v>25</v>
      </c>
      <c r="D570" s="6" t="s">
        <v>17</v>
      </c>
      <c r="E570" s="6" t="s">
        <v>80</v>
      </c>
      <c r="F570" s="6">
        <v>1569</v>
      </c>
      <c r="G570" s="6">
        <v>130105.82</v>
      </c>
      <c r="H570" s="7">
        <v>40415</v>
      </c>
      <c r="I570" s="6" t="s">
        <v>70</v>
      </c>
      <c r="J570" s="6" t="s">
        <v>1194</v>
      </c>
      <c r="K570" s="6" t="s">
        <v>43</v>
      </c>
      <c r="L570" s="6" t="s">
        <v>44</v>
      </c>
      <c r="M570" s="6" t="s">
        <v>45</v>
      </c>
      <c r="N570" s="6">
        <v>1.04</v>
      </c>
      <c r="O570" s="6">
        <v>41</v>
      </c>
    </row>
    <row r="571" spans="1:15" ht="14.25" customHeight="1" x14ac:dyDescent="0.3">
      <c r="A571" s="6" t="s">
        <v>1195</v>
      </c>
      <c r="B571" s="6">
        <v>27</v>
      </c>
      <c r="C571" s="6" t="s">
        <v>62</v>
      </c>
      <c r="D571" s="6" t="s">
        <v>69</v>
      </c>
      <c r="E571" s="6" t="s">
        <v>34</v>
      </c>
      <c r="F571" s="6">
        <v>1570</v>
      </c>
      <c r="G571" s="6">
        <v>52307.44</v>
      </c>
      <c r="H571" s="7">
        <v>41960</v>
      </c>
      <c r="I571" s="6" t="s">
        <v>73</v>
      </c>
      <c r="J571" s="6" t="s">
        <v>1196</v>
      </c>
      <c r="K571" s="6" t="s">
        <v>51</v>
      </c>
      <c r="L571" s="6" t="s">
        <v>52</v>
      </c>
      <c r="M571" s="6" t="s">
        <v>53</v>
      </c>
      <c r="N571" s="6">
        <v>3.96</v>
      </c>
      <c r="O571" s="6">
        <v>88</v>
      </c>
    </row>
    <row r="572" spans="1:15" ht="14.25" customHeight="1" x14ac:dyDescent="0.3">
      <c r="A572" s="6" t="s">
        <v>1197</v>
      </c>
      <c r="B572" s="6">
        <v>31</v>
      </c>
      <c r="C572" s="6" t="s">
        <v>62</v>
      </c>
      <c r="D572" s="6" t="s">
        <v>69</v>
      </c>
      <c r="E572" s="6" t="s">
        <v>34</v>
      </c>
      <c r="F572" s="6">
        <v>1571</v>
      </c>
      <c r="G572" s="6">
        <v>107761.93</v>
      </c>
      <c r="H572" s="7">
        <v>39816</v>
      </c>
      <c r="I572" s="6" t="s">
        <v>19</v>
      </c>
      <c r="J572" s="6" t="s">
        <v>1198</v>
      </c>
      <c r="K572" s="6" t="s">
        <v>21</v>
      </c>
      <c r="L572" s="6" t="s">
        <v>22</v>
      </c>
      <c r="M572" s="6" t="s">
        <v>23</v>
      </c>
      <c r="N572" s="6">
        <v>1.88</v>
      </c>
      <c r="O572" s="6">
        <v>183</v>
      </c>
    </row>
    <row r="573" spans="1:15" ht="14.25" customHeight="1" x14ac:dyDescent="0.3">
      <c r="A573" s="6" t="s">
        <v>1199</v>
      </c>
      <c r="B573" s="6">
        <v>58</v>
      </c>
      <c r="C573" s="6" t="s">
        <v>62</v>
      </c>
      <c r="D573" s="6" t="s">
        <v>47</v>
      </c>
      <c r="E573" s="6" t="s">
        <v>18</v>
      </c>
      <c r="F573" s="6">
        <v>1572</v>
      </c>
      <c r="G573" s="6">
        <v>152804.75</v>
      </c>
      <c r="H573" s="7">
        <v>37375</v>
      </c>
      <c r="I573" s="6" t="s">
        <v>28</v>
      </c>
      <c r="J573" s="6" t="s">
        <v>1200</v>
      </c>
      <c r="K573" s="6" t="s">
        <v>30</v>
      </c>
      <c r="L573" s="6" t="s">
        <v>31</v>
      </c>
      <c r="M573" s="6" t="s">
        <v>32</v>
      </c>
      <c r="N573" s="6">
        <v>3.95</v>
      </c>
      <c r="O573" s="6">
        <v>101</v>
      </c>
    </row>
    <row r="574" spans="1:15" ht="14.25" customHeight="1" x14ac:dyDescent="0.3">
      <c r="A574" s="6" t="s">
        <v>1201</v>
      </c>
      <c r="B574" s="6">
        <v>35</v>
      </c>
      <c r="C574" s="6" t="s">
        <v>16</v>
      </c>
      <c r="D574" s="6" t="s">
        <v>55</v>
      </c>
      <c r="E574" s="6" t="s">
        <v>48</v>
      </c>
      <c r="F574" s="6">
        <v>1573</v>
      </c>
      <c r="G574" s="6">
        <v>89658.78</v>
      </c>
      <c r="H574" s="7">
        <v>37791</v>
      </c>
      <c r="I574" s="6" t="s">
        <v>35</v>
      </c>
      <c r="J574" s="6" t="s">
        <v>1202</v>
      </c>
      <c r="K574" s="6" t="s">
        <v>37</v>
      </c>
      <c r="L574" s="6" t="s">
        <v>38</v>
      </c>
      <c r="M574" s="6" t="s">
        <v>39</v>
      </c>
      <c r="N574" s="6">
        <v>2.36</v>
      </c>
      <c r="O574" s="6">
        <v>99</v>
      </c>
    </row>
    <row r="575" spans="1:15" ht="14.25" customHeight="1" x14ac:dyDescent="0.3">
      <c r="A575" s="6" t="s">
        <v>1203</v>
      </c>
      <c r="B575" s="6">
        <v>43</v>
      </c>
      <c r="C575" s="6" t="s">
        <v>62</v>
      </c>
      <c r="D575" s="6" t="s">
        <v>55</v>
      </c>
      <c r="E575" s="6" t="s">
        <v>18</v>
      </c>
      <c r="F575" s="6">
        <v>1574</v>
      </c>
      <c r="G575" s="6">
        <v>158924.78</v>
      </c>
      <c r="H575" s="7">
        <v>36999</v>
      </c>
      <c r="I575" s="6" t="s">
        <v>41</v>
      </c>
      <c r="J575" s="6" t="s">
        <v>1204</v>
      </c>
      <c r="K575" s="6" t="s">
        <v>43</v>
      </c>
      <c r="L575" s="6" t="s">
        <v>44</v>
      </c>
      <c r="M575" s="6" t="s">
        <v>45</v>
      </c>
      <c r="N575" s="6">
        <v>4.83</v>
      </c>
      <c r="O575" s="6">
        <v>113</v>
      </c>
    </row>
    <row r="576" spans="1:15" ht="14.25" customHeight="1" x14ac:dyDescent="0.3">
      <c r="A576" s="6" t="s">
        <v>1205</v>
      </c>
      <c r="B576" s="6">
        <v>53</v>
      </c>
      <c r="C576" s="6" t="s">
        <v>16</v>
      </c>
      <c r="D576" s="6" t="s">
        <v>17</v>
      </c>
      <c r="E576" s="6" t="s">
        <v>27</v>
      </c>
      <c r="F576" s="6">
        <v>1575</v>
      </c>
      <c r="G576" s="6">
        <v>123959.3</v>
      </c>
      <c r="H576" s="7">
        <v>44446</v>
      </c>
      <c r="I576" s="6" t="s">
        <v>49</v>
      </c>
      <c r="J576" s="6" t="s">
        <v>1206</v>
      </c>
      <c r="K576" s="6" t="s">
        <v>51</v>
      </c>
      <c r="L576" s="6" t="s">
        <v>52</v>
      </c>
      <c r="M576" s="6" t="s">
        <v>53</v>
      </c>
      <c r="N576" s="6">
        <v>3.4</v>
      </c>
      <c r="O576" s="6">
        <v>14</v>
      </c>
    </row>
    <row r="577" spans="1:15" ht="14.25" customHeight="1" x14ac:dyDescent="0.3">
      <c r="A577" s="6" t="s">
        <v>1207</v>
      </c>
      <c r="B577" s="6">
        <v>39</v>
      </c>
      <c r="C577" s="6" t="s">
        <v>16</v>
      </c>
      <c r="D577" s="6" t="s">
        <v>26</v>
      </c>
      <c r="E577" s="6" t="s">
        <v>34</v>
      </c>
      <c r="F577" s="6">
        <v>1576</v>
      </c>
      <c r="G577" s="6">
        <v>93166.6</v>
      </c>
      <c r="H577" s="7">
        <v>39517</v>
      </c>
      <c r="I577" s="6" t="s">
        <v>56</v>
      </c>
      <c r="J577" s="6" t="s">
        <v>1208</v>
      </c>
      <c r="K577" s="6" t="s">
        <v>21</v>
      </c>
      <c r="L577" s="6" t="s">
        <v>22</v>
      </c>
      <c r="M577" s="6" t="s">
        <v>23</v>
      </c>
      <c r="N577" s="6">
        <v>3.91</v>
      </c>
      <c r="O577" s="6">
        <v>37</v>
      </c>
    </row>
    <row r="578" spans="1:15" ht="14.25" customHeight="1" x14ac:dyDescent="0.3">
      <c r="A578" s="6" t="s">
        <v>1209</v>
      </c>
      <c r="B578" s="6">
        <v>57</v>
      </c>
      <c r="C578" s="6" t="s">
        <v>62</v>
      </c>
      <c r="D578" s="6" t="s">
        <v>55</v>
      </c>
      <c r="E578" s="6" t="s">
        <v>34</v>
      </c>
      <c r="F578" s="6">
        <v>1577</v>
      </c>
      <c r="G578" s="6">
        <v>114703.67</v>
      </c>
      <c r="H578" s="7">
        <v>38114</v>
      </c>
      <c r="I578" s="6" t="s">
        <v>63</v>
      </c>
      <c r="J578" s="6" t="s">
        <v>1210</v>
      </c>
      <c r="K578" s="6" t="s">
        <v>30</v>
      </c>
      <c r="L578" s="6" t="s">
        <v>31</v>
      </c>
      <c r="M578" s="6" t="s">
        <v>32</v>
      </c>
      <c r="N578" s="6">
        <v>1.79</v>
      </c>
      <c r="O578" s="6">
        <v>75</v>
      </c>
    </row>
    <row r="579" spans="1:15" ht="14.25" customHeight="1" x14ac:dyDescent="0.3">
      <c r="A579" s="6" t="s">
        <v>1211</v>
      </c>
      <c r="B579" s="6">
        <v>30</v>
      </c>
      <c r="C579" s="6" t="s">
        <v>16</v>
      </c>
      <c r="D579" s="6" t="s">
        <v>55</v>
      </c>
      <c r="E579" s="6" t="s">
        <v>48</v>
      </c>
      <c r="F579" s="6">
        <v>1578</v>
      </c>
      <c r="G579" s="6">
        <v>59843.18</v>
      </c>
      <c r="H579" s="7">
        <v>38038</v>
      </c>
      <c r="I579" s="6" t="s">
        <v>66</v>
      </c>
      <c r="J579" s="6" t="s">
        <v>1212</v>
      </c>
      <c r="K579" s="6" t="s">
        <v>37</v>
      </c>
      <c r="L579" s="6" t="s">
        <v>38</v>
      </c>
      <c r="M579" s="6" t="s">
        <v>39</v>
      </c>
      <c r="N579" s="6">
        <v>3.66</v>
      </c>
      <c r="O579" s="6">
        <v>80</v>
      </c>
    </row>
    <row r="580" spans="1:15" ht="14.25" customHeight="1" x14ac:dyDescent="0.3">
      <c r="A580" s="6" t="s">
        <v>1213</v>
      </c>
      <c r="B580" s="6">
        <v>47</v>
      </c>
      <c r="C580" s="6" t="s">
        <v>25</v>
      </c>
      <c r="D580" s="6" t="s">
        <v>26</v>
      </c>
      <c r="E580" s="6" t="s">
        <v>18</v>
      </c>
      <c r="F580" s="6">
        <v>1579</v>
      </c>
      <c r="G580" s="6">
        <v>122224.49</v>
      </c>
      <c r="H580" s="7">
        <v>42366</v>
      </c>
      <c r="I580" s="6" t="s">
        <v>70</v>
      </c>
      <c r="J580" s="6" t="s">
        <v>1214</v>
      </c>
      <c r="K580" s="6" t="s">
        <v>43</v>
      </c>
      <c r="L580" s="6" t="s">
        <v>44</v>
      </c>
      <c r="M580" s="6" t="s">
        <v>45</v>
      </c>
      <c r="N580" s="6">
        <v>3.56</v>
      </c>
      <c r="O580" s="6">
        <v>43</v>
      </c>
    </row>
    <row r="581" spans="1:15" ht="14.25" customHeight="1" x14ac:dyDescent="0.3">
      <c r="A581" s="6" t="s">
        <v>1215</v>
      </c>
      <c r="B581" s="6">
        <v>43</v>
      </c>
      <c r="C581" s="6" t="s">
        <v>25</v>
      </c>
      <c r="D581" s="6" t="s">
        <v>17</v>
      </c>
      <c r="E581" s="6" t="s">
        <v>18</v>
      </c>
      <c r="F581" s="6">
        <v>1580</v>
      </c>
      <c r="G581" s="6">
        <v>111441.57</v>
      </c>
      <c r="H581" s="7">
        <v>42097</v>
      </c>
      <c r="I581" s="6" t="s">
        <v>73</v>
      </c>
      <c r="J581" s="6" t="s">
        <v>1216</v>
      </c>
      <c r="K581" s="6" t="s">
        <v>51</v>
      </c>
      <c r="L581" s="6" t="s">
        <v>52</v>
      </c>
      <c r="M581" s="6" t="s">
        <v>53</v>
      </c>
      <c r="N581" s="6">
        <v>4.66</v>
      </c>
      <c r="O581" s="6">
        <v>167</v>
      </c>
    </row>
    <row r="582" spans="1:15" ht="14.25" customHeight="1" x14ac:dyDescent="0.3">
      <c r="A582" s="6" t="s">
        <v>1217</v>
      </c>
      <c r="B582" s="6">
        <v>59</v>
      </c>
      <c r="C582" s="6" t="s">
        <v>62</v>
      </c>
      <c r="D582" s="6" t="s">
        <v>55</v>
      </c>
      <c r="E582" s="6" t="s">
        <v>48</v>
      </c>
      <c r="F582" s="6">
        <v>1581</v>
      </c>
      <c r="G582" s="6">
        <v>119168.51</v>
      </c>
      <c r="H582" s="7">
        <v>36929</v>
      </c>
      <c r="I582" s="6" t="s">
        <v>19</v>
      </c>
      <c r="J582" s="6" t="s">
        <v>1218</v>
      </c>
      <c r="K582" s="6" t="s">
        <v>21</v>
      </c>
      <c r="L582" s="6" t="s">
        <v>22</v>
      </c>
      <c r="M582" s="6" t="s">
        <v>23</v>
      </c>
      <c r="N582" s="6">
        <v>1.43</v>
      </c>
      <c r="O582" s="6">
        <v>95</v>
      </c>
    </row>
    <row r="583" spans="1:15" ht="14.25" customHeight="1" x14ac:dyDescent="0.3">
      <c r="A583" s="6" t="s">
        <v>1219</v>
      </c>
      <c r="B583" s="6">
        <v>44</v>
      </c>
      <c r="C583" s="6" t="s">
        <v>16</v>
      </c>
      <c r="D583" s="6" t="s">
        <v>47</v>
      </c>
      <c r="E583" s="6" t="s">
        <v>18</v>
      </c>
      <c r="F583" s="6">
        <v>1582</v>
      </c>
      <c r="G583" s="6">
        <v>65315.76</v>
      </c>
      <c r="H583" s="7">
        <v>37916</v>
      </c>
      <c r="I583" s="6" t="s">
        <v>28</v>
      </c>
      <c r="J583" s="6" t="s">
        <v>1220</v>
      </c>
      <c r="K583" s="6" t="s">
        <v>30</v>
      </c>
      <c r="L583" s="6" t="s">
        <v>31</v>
      </c>
      <c r="M583" s="6" t="s">
        <v>32</v>
      </c>
      <c r="N583" s="6">
        <v>2.82</v>
      </c>
      <c r="O583" s="6">
        <v>172</v>
      </c>
    </row>
    <row r="584" spans="1:15" ht="14.25" customHeight="1" x14ac:dyDescent="0.3">
      <c r="A584" s="6" t="s">
        <v>1221</v>
      </c>
      <c r="B584" s="6">
        <v>38</v>
      </c>
      <c r="C584" s="6" t="s">
        <v>25</v>
      </c>
      <c r="D584" s="6" t="s">
        <v>26</v>
      </c>
      <c r="E584" s="6" t="s">
        <v>48</v>
      </c>
      <c r="F584" s="6">
        <v>1583</v>
      </c>
      <c r="G584" s="6">
        <v>54137.82</v>
      </c>
      <c r="H584" s="7">
        <v>37457</v>
      </c>
      <c r="I584" s="6" t="s">
        <v>35</v>
      </c>
      <c r="J584" s="6" t="s">
        <v>1222</v>
      </c>
      <c r="K584" s="6" t="s">
        <v>37</v>
      </c>
      <c r="L584" s="6" t="s">
        <v>38</v>
      </c>
      <c r="M584" s="6" t="s">
        <v>39</v>
      </c>
      <c r="N584" s="6">
        <v>3.25</v>
      </c>
      <c r="O584" s="6">
        <v>22</v>
      </c>
    </row>
    <row r="585" spans="1:15" ht="14.25" customHeight="1" x14ac:dyDescent="0.3">
      <c r="A585" s="6" t="s">
        <v>1223</v>
      </c>
      <c r="B585" s="6">
        <v>47</v>
      </c>
      <c r="C585" s="6" t="s">
        <v>16</v>
      </c>
      <c r="D585" s="6" t="s">
        <v>55</v>
      </c>
      <c r="E585" s="6" t="s">
        <v>18</v>
      </c>
      <c r="F585" s="6">
        <v>1584</v>
      </c>
      <c r="G585" s="6">
        <v>69720.009999999995</v>
      </c>
      <c r="H585" s="7">
        <v>43919</v>
      </c>
      <c r="I585" s="6" t="s">
        <v>41</v>
      </c>
      <c r="J585" s="6" t="s">
        <v>1224</v>
      </c>
      <c r="K585" s="6" t="s">
        <v>43</v>
      </c>
      <c r="L585" s="6" t="s">
        <v>44</v>
      </c>
      <c r="M585" s="6" t="s">
        <v>45</v>
      </c>
      <c r="N585" s="6">
        <v>3.31</v>
      </c>
      <c r="O585" s="6">
        <v>68</v>
      </c>
    </row>
    <row r="586" spans="1:15" ht="14.25" customHeight="1" x14ac:dyDescent="0.3">
      <c r="A586" s="6" t="s">
        <v>1225</v>
      </c>
      <c r="B586" s="6">
        <v>59</v>
      </c>
      <c r="C586" s="6" t="s">
        <v>16</v>
      </c>
      <c r="D586" s="6" t="s">
        <v>17</v>
      </c>
      <c r="E586" s="6" t="s">
        <v>48</v>
      </c>
      <c r="F586" s="6">
        <v>1585</v>
      </c>
      <c r="G586" s="6">
        <v>96543.07</v>
      </c>
      <c r="H586" s="7">
        <v>41069</v>
      </c>
      <c r="I586" s="6" t="s">
        <v>49</v>
      </c>
      <c r="J586" s="6" t="s">
        <v>1226</v>
      </c>
      <c r="K586" s="6" t="s">
        <v>51</v>
      </c>
      <c r="L586" s="6" t="s">
        <v>52</v>
      </c>
      <c r="M586" s="6" t="s">
        <v>53</v>
      </c>
      <c r="N586" s="6">
        <v>4.42</v>
      </c>
      <c r="O586" s="6">
        <v>19</v>
      </c>
    </row>
    <row r="587" spans="1:15" ht="14.25" customHeight="1" x14ac:dyDescent="0.3">
      <c r="A587" s="6" t="s">
        <v>1227</v>
      </c>
      <c r="B587" s="6">
        <v>23</v>
      </c>
      <c r="C587" s="6" t="s">
        <v>25</v>
      </c>
      <c r="D587" s="6" t="s">
        <v>69</v>
      </c>
      <c r="E587" s="6" t="s">
        <v>27</v>
      </c>
      <c r="F587" s="6">
        <v>1586</v>
      </c>
      <c r="G587" s="6">
        <v>66204.36</v>
      </c>
      <c r="H587" s="7">
        <v>42579</v>
      </c>
      <c r="I587" s="6" t="s">
        <v>56</v>
      </c>
      <c r="J587" s="6" t="s">
        <v>1228</v>
      </c>
      <c r="K587" s="6" t="s">
        <v>21</v>
      </c>
      <c r="L587" s="6" t="s">
        <v>22</v>
      </c>
      <c r="M587" s="6" t="s">
        <v>23</v>
      </c>
      <c r="N587" s="6">
        <v>2.04</v>
      </c>
      <c r="O587" s="6">
        <v>146</v>
      </c>
    </row>
    <row r="588" spans="1:15" ht="14.25" customHeight="1" x14ac:dyDescent="0.3">
      <c r="A588" s="6" t="s">
        <v>1229</v>
      </c>
      <c r="B588" s="6">
        <v>27</v>
      </c>
      <c r="C588" s="6" t="s">
        <v>62</v>
      </c>
      <c r="D588" s="6" t="s">
        <v>47</v>
      </c>
      <c r="E588" s="6" t="s">
        <v>48</v>
      </c>
      <c r="F588" s="6">
        <v>1587</v>
      </c>
      <c r="G588" s="6">
        <v>165098.76</v>
      </c>
      <c r="H588" s="7">
        <v>40609</v>
      </c>
      <c r="I588" s="6" t="s">
        <v>63</v>
      </c>
      <c r="J588" s="6" t="s">
        <v>1230</v>
      </c>
      <c r="K588" s="6" t="s">
        <v>30</v>
      </c>
      <c r="L588" s="6" t="s">
        <v>31</v>
      </c>
      <c r="M588" s="6" t="s">
        <v>32</v>
      </c>
      <c r="N588" s="6">
        <v>2.6</v>
      </c>
      <c r="O588" s="6">
        <v>95</v>
      </c>
    </row>
    <row r="589" spans="1:15" ht="14.25" customHeight="1" x14ac:dyDescent="0.3">
      <c r="A589" s="6" t="s">
        <v>1231</v>
      </c>
      <c r="B589" s="6">
        <v>28</v>
      </c>
      <c r="C589" s="6" t="s">
        <v>16</v>
      </c>
      <c r="D589" s="6" t="s">
        <v>47</v>
      </c>
      <c r="E589" s="6" t="s">
        <v>48</v>
      </c>
      <c r="F589" s="6">
        <v>1588</v>
      </c>
      <c r="G589" s="6">
        <v>179512.19</v>
      </c>
      <c r="H589" s="7">
        <v>42656</v>
      </c>
      <c r="I589" s="6" t="s">
        <v>66</v>
      </c>
      <c r="J589" s="6" t="s">
        <v>1232</v>
      </c>
      <c r="K589" s="6" t="s">
        <v>37</v>
      </c>
      <c r="L589" s="6" t="s">
        <v>38</v>
      </c>
      <c r="M589" s="6" t="s">
        <v>39</v>
      </c>
      <c r="N589" s="6">
        <v>1.69</v>
      </c>
      <c r="O589" s="6">
        <v>187</v>
      </c>
    </row>
    <row r="590" spans="1:15" ht="14.25" customHeight="1" x14ac:dyDescent="0.3">
      <c r="A590" s="6" t="s">
        <v>1233</v>
      </c>
      <c r="B590" s="6">
        <v>34</v>
      </c>
      <c r="C590" s="6" t="s">
        <v>25</v>
      </c>
      <c r="D590" s="6" t="s">
        <v>47</v>
      </c>
      <c r="E590" s="6" t="s">
        <v>18</v>
      </c>
      <c r="F590" s="6">
        <v>1589</v>
      </c>
      <c r="G590" s="6">
        <v>137398.88</v>
      </c>
      <c r="H590" s="7">
        <v>42805</v>
      </c>
      <c r="I590" s="6" t="s">
        <v>70</v>
      </c>
      <c r="J590" s="6" t="s">
        <v>1234</v>
      </c>
      <c r="K590" s="6" t="s">
        <v>43</v>
      </c>
      <c r="L590" s="6" t="s">
        <v>44</v>
      </c>
      <c r="M590" s="6" t="s">
        <v>45</v>
      </c>
      <c r="N590" s="6">
        <v>3.39</v>
      </c>
      <c r="O590" s="6">
        <v>167</v>
      </c>
    </row>
    <row r="591" spans="1:15" ht="14.25" customHeight="1" x14ac:dyDescent="0.3">
      <c r="A591" s="6" t="s">
        <v>1235</v>
      </c>
      <c r="B591" s="6">
        <v>48</v>
      </c>
      <c r="C591" s="6" t="s">
        <v>62</v>
      </c>
      <c r="D591" s="6" t="s">
        <v>47</v>
      </c>
      <c r="E591" s="6" t="s">
        <v>18</v>
      </c>
      <c r="F591" s="6">
        <v>1590</v>
      </c>
      <c r="G591" s="6">
        <v>144189.63</v>
      </c>
      <c r="H591" s="7">
        <v>38319</v>
      </c>
      <c r="I591" s="6" t="s">
        <v>73</v>
      </c>
      <c r="J591" s="6" t="s">
        <v>1236</v>
      </c>
      <c r="K591" s="6" t="s">
        <v>51</v>
      </c>
      <c r="L591" s="6" t="s">
        <v>52</v>
      </c>
      <c r="M591" s="6" t="s">
        <v>53</v>
      </c>
      <c r="N591" s="6">
        <v>4.49</v>
      </c>
      <c r="O591" s="6">
        <v>85</v>
      </c>
    </row>
    <row r="592" spans="1:15" ht="14.25" customHeight="1" x14ac:dyDescent="0.3">
      <c r="A592" s="6" t="s">
        <v>1237</v>
      </c>
      <c r="B592" s="6">
        <v>32</v>
      </c>
      <c r="C592" s="6" t="s">
        <v>16</v>
      </c>
      <c r="D592" s="6" t="s">
        <v>69</v>
      </c>
      <c r="E592" s="6" t="s">
        <v>48</v>
      </c>
      <c r="F592" s="6">
        <v>1591</v>
      </c>
      <c r="G592" s="6">
        <v>194005.54</v>
      </c>
      <c r="H592" s="7">
        <v>37272</v>
      </c>
      <c r="I592" s="6" t="s">
        <v>19</v>
      </c>
      <c r="J592" s="6" t="s">
        <v>1238</v>
      </c>
      <c r="K592" s="6" t="s">
        <v>21</v>
      </c>
      <c r="L592" s="6" t="s">
        <v>22</v>
      </c>
      <c r="M592" s="6" t="s">
        <v>23</v>
      </c>
      <c r="N592" s="6">
        <v>2.91</v>
      </c>
      <c r="O592" s="6">
        <v>46</v>
      </c>
    </row>
    <row r="593" spans="1:15" ht="14.25" customHeight="1" x14ac:dyDescent="0.3">
      <c r="A593" s="6" t="s">
        <v>1239</v>
      </c>
      <c r="B593" s="6">
        <v>36</v>
      </c>
      <c r="C593" s="6" t="s">
        <v>16</v>
      </c>
      <c r="D593" s="6" t="s">
        <v>69</v>
      </c>
      <c r="E593" s="6" t="s">
        <v>48</v>
      </c>
      <c r="F593" s="6">
        <v>1592</v>
      </c>
      <c r="G593" s="6">
        <v>132712.63</v>
      </c>
      <c r="H593" s="7">
        <v>38448</v>
      </c>
      <c r="I593" s="6" t="s">
        <v>28</v>
      </c>
      <c r="J593" s="6" t="s">
        <v>1240</v>
      </c>
      <c r="K593" s="6" t="s">
        <v>30</v>
      </c>
      <c r="L593" s="6" t="s">
        <v>31</v>
      </c>
      <c r="M593" s="6" t="s">
        <v>32</v>
      </c>
      <c r="N593" s="6">
        <v>1.36</v>
      </c>
      <c r="O593" s="6">
        <v>178</v>
      </c>
    </row>
    <row r="594" spans="1:15" ht="14.25" customHeight="1" x14ac:dyDescent="0.3">
      <c r="A594" s="6" t="s">
        <v>1241</v>
      </c>
      <c r="B594" s="6">
        <v>30</v>
      </c>
      <c r="C594" s="6" t="s">
        <v>16</v>
      </c>
      <c r="D594" s="6" t="s">
        <v>69</v>
      </c>
      <c r="E594" s="6" t="s">
        <v>18</v>
      </c>
      <c r="F594" s="6">
        <v>1593</v>
      </c>
      <c r="G594" s="6">
        <v>180303.16</v>
      </c>
      <c r="H594" s="7">
        <v>37642</v>
      </c>
      <c r="I594" s="6" t="s">
        <v>35</v>
      </c>
      <c r="J594" s="6" t="s">
        <v>1242</v>
      </c>
      <c r="K594" s="6" t="s">
        <v>37</v>
      </c>
      <c r="L594" s="6" t="s">
        <v>38</v>
      </c>
      <c r="M594" s="6" t="s">
        <v>39</v>
      </c>
      <c r="N594" s="6">
        <v>1.74</v>
      </c>
      <c r="O594" s="6">
        <v>33</v>
      </c>
    </row>
    <row r="595" spans="1:15" ht="14.25" customHeight="1" x14ac:dyDescent="0.3">
      <c r="A595" s="6" t="s">
        <v>1243</v>
      </c>
      <c r="B595" s="6">
        <v>29</v>
      </c>
      <c r="C595" s="6" t="s">
        <v>16</v>
      </c>
      <c r="D595" s="6" t="s">
        <v>69</v>
      </c>
      <c r="E595" s="6" t="s">
        <v>34</v>
      </c>
      <c r="F595" s="6">
        <v>1594</v>
      </c>
      <c r="G595" s="6">
        <v>159094.14000000001</v>
      </c>
      <c r="H595" s="7">
        <v>44435</v>
      </c>
      <c r="I595" s="6" t="s">
        <v>41</v>
      </c>
      <c r="J595" s="6" t="s">
        <v>1244</v>
      </c>
      <c r="K595" s="6" t="s">
        <v>43</v>
      </c>
      <c r="L595" s="6" t="s">
        <v>44</v>
      </c>
      <c r="M595" s="6" t="s">
        <v>45</v>
      </c>
      <c r="N595" s="6">
        <v>1.97</v>
      </c>
      <c r="O595" s="6">
        <v>115</v>
      </c>
    </row>
    <row r="596" spans="1:15" ht="14.25" customHeight="1" x14ac:dyDescent="0.3">
      <c r="A596" s="6" t="s">
        <v>1245</v>
      </c>
      <c r="B596" s="6">
        <v>27</v>
      </c>
      <c r="C596" s="6" t="s">
        <v>62</v>
      </c>
      <c r="D596" s="6" t="s">
        <v>17</v>
      </c>
      <c r="E596" s="6" t="s">
        <v>80</v>
      </c>
      <c r="F596" s="6">
        <v>1595</v>
      </c>
      <c r="G596" s="6">
        <v>133133.51999999999</v>
      </c>
      <c r="H596" s="7">
        <v>42520</v>
      </c>
      <c r="I596" s="6" t="s">
        <v>49</v>
      </c>
      <c r="J596" s="6" t="s">
        <v>1246</v>
      </c>
      <c r="K596" s="6" t="s">
        <v>51</v>
      </c>
      <c r="L596" s="6" t="s">
        <v>52</v>
      </c>
      <c r="M596" s="6" t="s">
        <v>53</v>
      </c>
      <c r="N596" s="6">
        <v>2.44</v>
      </c>
      <c r="O596" s="6">
        <v>62</v>
      </c>
    </row>
    <row r="597" spans="1:15" ht="14.25" customHeight="1" x14ac:dyDescent="0.3">
      <c r="A597" s="6" t="s">
        <v>1247</v>
      </c>
      <c r="B597" s="6">
        <v>64</v>
      </c>
      <c r="C597" s="6" t="s">
        <v>16</v>
      </c>
      <c r="D597" s="6" t="s">
        <v>55</v>
      </c>
      <c r="E597" s="6" t="s">
        <v>27</v>
      </c>
      <c r="F597" s="6">
        <v>1596</v>
      </c>
      <c r="G597" s="6">
        <v>126717.08</v>
      </c>
      <c r="H597" s="7">
        <v>42484</v>
      </c>
      <c r="I597" s="6" t="s">
        <v>56</v>
      </c>
      <c r="J597" s="6" t="s">
        <v>1248</v>
      </c>
      <c r="K597" s="6" t="s">
        <v>21</v>
      </c>
      <c r="L597" s="6" t="s">
        <v>22</v>
      </c>
      <c r="M597" s="6" t="s">
        <v>23</v>
      </c>
      <c r="N597" s="6">
        <v>4.57</v>
      </c>
      <c r="O597" s="6">
        <v>5</v>
      </c>
    </row>
    <row r="598" spans="1:15" ht="14.25" customHeight="1" x14ac:dyDescent="0.3">
      <c r="A598" s="6" t="s">
        <v>1249</v>
      </c>
      <c r="B598" s="6">
        <v>25</v>
      </c>
      <c r="C598" s="6" t="s">
        <v>25</v>
      </c>
      <c r="D598" s="6" t="s">
        <v>69</v>
      </c>
      <c r="E598" s="6" t="s">
        <v>48</v>
      </c>
      <c r="F598" s="6">
        <v>1597</v>
      </c>
      <c r="G598" s="6">
        <v>54476.87</v>
      </c>
      <c r="H598" s="7">
        <v>40346</v>
      </c>
      <c r="I598" s="6" t="s">
        <v>63</v>
      </c>
      <c r="J598" s="6" t="s">
        <v>1250</v>
      </c>
      <c r="K598" s="6" t="s">
        <v>30</v>
      </c>
      <c r="L598" s="6" t="s">
        <v>31</v>
      </c>
      <c r="M598" s="6" t="s">
        <v>32</v>
      </c>
      <c r="N598" s="6">
        <v>2.38</v>
      </c>
      <c r="O598" s="6">
        <v>36</v>
      </c>
    </row>
    <row r="599" spans="1:15" ht="14.25" customHeight="1" x14ac:dyDescent="0.3">
      <c r="A599" s="6" t="s">
        <v>1251</v>
      </c>
      <c r="B599" s="6">
        <v>32</v>
      </c>
      <c r="C599" s="6" t="s">
        <v>25</v>
      </c>
      <c r="D599" s="6" t="s">
        <v>69</v>
      </c>
      <c r="E599" s="6" t="s">
        <v>18</v>
      </c>
      <c r="F599" s="6">
        <v>1598</v>
      </c>
      <c r="G599" s="6">
        <v>94627.61</v>
      </c>
      <c r="H599" s="7">
        <v>42618</v>
      </c>
      <c r="I599" s="6" t="s">
        <v>66</v>
      </c>
      <c r="J599" s="6" t="s">
        <v>1252</v>
      </c>
      <c r="K599" s="6" t="s">
        <v>37</v>
      </c>
      <c r="L599" s="6" t="s">
        <v>38</v>
      </c>
      <c r="M599" s="6" t="s">
        <v>39</v>
      </c>
      <c r="N599" s="6">
        <v>1.17</v>
      </c>
      <c r="O599" s="6">
        <v>180</v>
      </c>
    </row>
    <row r="600" spans="1:15" ht="14.25" customHeight="1" x14ac:dyDescent="0.3">
      <c r="A600" s="6" t="s">
        <v>1253</v>
      </c>
      <c r="B600" s="6">
        <v>49</v>
      </c>
      <c r="C600" s="6" t="s">
        <v>25</v>
      </c>
      <c r="D600" s="6" t="s">
        <v>17</v>
      </c>
      <c r="E600" s="6" t="s">
        <v>80</v>
      </c>
      <c r="F600" s="6">
        <v>1599</v>
      </c>
      <c r="G600" s="6">
        <v>85578.67</v>
      </c>
      <c r="H600" s="7">
        <v>42274</v>
      </c>
      <c r="I600" s="6" t="s">
        <v>70</v>
      </c>
      <c r="J600" s="6" t="s">
        <v>1254</v>
      </c>
      <c r="K600" s="6" t="s">
        <v>43</v>
      </c>
      <c r="L600" s="6" t="s">
        <v>44</v>
      </c>
      <c r="M600" s="6" t="s">
        <v>45</v>
      </c>
      <c r="N600" s="6">
        <v>2.2799999999999998</v>
      </c>
      <c r="O600" s="6">
        <v>132</v>
      </c>
    </row>
    <row r="601" spans="1:15" ht="14.25" customHeight="1" x14ac:dyDescent="0.3">
      <c r="A601" s="6" t="s">
        <v>1255</v>
      </c>
      <c r="B601" s="6">
        <v>47</v>
      </c>
      <c r="C601" s="6" t="s">
        <v>62</v>
      </c>
      <c r="D601" s="6" t="s">
        <v>26</v>
      </c>
      <c r="E601" s="6" t="s">
        <v>48</v>
      </c>
      <c r="F601" s="6">
        <v>1600</v>
      </c>
      <c r="G601" s="6">
        <v>93873.05</v>
      </c>
      <c r="H601" s="7">
        <v>37149</v>
      </c>
      <c r="I601" s="6" t="s">
        <v>73</v>
      </c>
      <c r="J601" s="6" t="s">
        <v>1256</v>
      </c>
      <c r="K601" s="6" t="s">
        <v>51</v>
      </c>
      <c r="L601" s="6" t="s">
        <v>52</v>
      </c>
      <c r="M601" s="6" t="s">
        <v>53</v>
      </c>
      <c r="N601" s="6">
        <v>4</v>
      </c>
      <c r="O601" s="6">
        <v>168</v>
      </c>
    </row>
    <row r="602" spans="1:15" ht="14.25" customHeight="1" x14ac:dyDescent="0.3">
      <c r="A602" s="6" t="s">
        <v>1257</v>
      </c>
      <c r="B602" s="6">
        <v>25</v>
      </c>
      <c r="C602" s="6" t="s">
        <v>25</v>
      </c>
      <c r="D602" s="6" t="s">
        <v>17</v>
      </c>
      <c r="E602" s="6" t="s">
        <v>18</v>
      </c>
      <c r="F602" s="6">
        <v>1601</v>
      </c>
      <c r="G602" s="6">
        <v>149907.38</v>
      </c>
      <c r="H602" s="7">
        <v>41924</v>
      </c>
      <c r="I602" s="6" t="s">
        <v>19</v>
      </c>
      <c r="J602" s="6" t="s">
        <v>1258</v>
      </c>
      <c r="K602" s="6" t="s">
        <v>21</v>
      </c>
      <c r="L602" s="6" t="s">
        <v>22</v>
      </c>
      <c r="M602" s="6" t="s">
        <v>23</v>
      </c>
      <c r="N602" s="6">
        <v>1.75</v>
      </c>
      <c r="O602" s="6">
        <v>181</v>
      </c>
    </row>
    <row r="603" spans="1:15" ht="14.25" customHeight="1" x14ac:dyDescent="0.3">
      <c r="A603" s="6" t="s">
        <v>1259</v>
      </c>
      <c r="B603" s="6">
        <v>36</v>
      </c>
      <c r="C603" s="6" t="s">
        <v>16</v>
      </c>
      <c r="D603" s="6" t="s">
        <v>26</v>
      </c>
      <c r="E603" s="6" t="s">
        <v>18</v>
      </c>
      <c r="F603" s="6">
        <v>1602</v>
      </c>
      <c r="G603" s="6">
        <v>127407.79</v>
      </c>
      <c r="H603" s="7">
        <v>40976</v>
      </c>
      <c r="I603" s="6" t="s">
        <v>28</v>
      </c>
      <c r="J603" s="6" t="s">
        <v>1260</v>
      </c>
      <c r="K603" s="6" t="s">
        <v>30</v>
      </c>
      <c r="L603" s="6" t="s">
        <v>31</v>
      </c>
      <c r="M603" s="6" t="s">
        <v>32</v>
      </c>
      <c r="N603" s="6">
        <v>3.02</v>
      </c>
      <c r="O603" s="6">
        <v>156</v>
      </c>
    </row>
    <row r="604" spans="1:15" ht="14.25" customHeight="1" x14ac:dyDescent="0.3">
      <c r="A604" s="6" t="s">
        <v>1261</v>
      </c>
      <c r="B604" s="6">
        <v>40</v>
      </c>
      <c r="C604" s="6" t="s">
        <v>16</v>
      </c>
      <c r="D604" s="6" t="s">
        <v>47</v>
      </c>
      <c r="E604" s="6" t="s">
        <v>34</v>
      </c>
      <c r="F604" s="6">
        <v>1603</v>
      </c>
      <c r="G604" s="6">
        <v>110672.6</v>
      </c>
      <c r="H604" s="7">
        <v>40253</v>
      </c>
      <c r="I604" s="6" t="s">
        <v>35</v>
      </c>
      <c r="J604" s="6" t="s">
        <v>1262</v>
      </c>
      <c r="K604" s="6" t="s">
        <v>37</v>
      </c>
      <c r="L604" s="6" t="s">
        <v>38</v>
      </c>
      <c r="M604" s="6" t="s">
        <v>39</v>
      </c>
      <c r="N604" s="6">
        <v>3.39</v>
      </c>
      <c r="O604" s="6">
        <v>150</v>
      </c>
    </row>
    <row r="605" spans="1:15" ht="14.25" customHeight="1" x14ac:dyDescent="0.3">
      <c r="A605" s="6" t="s">
        <v>1263</v>
      </c>
      <c r="B605" s="6">
        <v>27</v>
      </c>
      <c r="C605" s="6" t="s">
        <v>25</v>
      </c>
      <c r="D605" s="6" t="s">
        <v>17</v>
      </c>
      <c r="E605" s="6" t="s">
        <v>48</v>
      </c>
      <c r="F605" s="6">
        <v>1604</v>
      </c>
      <c r="G605" s="6">
        <v>147956.4</v>
      </c>
      <c r="H605" s="7">
        <v>37803</v>
      </c>
      <c r="I605" s="6" t="s">
        <v>41</v>
      </c>
      <c r="J605" s="6" t="s">
        <v>1264</v>
      </c>
      <c r="K605" s="6" t="s">
        <v>43</v>
      </c>
      <c r="L605" s="6" t="s">
        <v>44</v>
      </c>
      <c r="M605" s="6" t="s">
        <v>45</v>
      </c>
      <c r="N605" s="6">
        <v>4.4000000000000004</v>
      </c>
      <c r="O605" s="6">
        <v>59</v>
      </c>
    </row>
    <row r="606" spans="1:15" ht="14.25" customHeight="1" x14ac:dyDescent="0.3">
      <c r="A606" s="6" t="s">
        <v>1265</v>
      </c>
      <c r="B606" s="6">
        <v>26</v>
      </c>
      <c r="C606" s="6" t="s">
        <v>62</v>
      </c>
      <c r="D606" s="6" t="s">
        <v>47</v>
      </c>
      <c r="E606" s="6" t="s">
        <v>80</v>
      </c>
      <c r="F606" s="6">
        <v>1605</v>
      </c>
      <c r="G606" s="6">
        <v>76904.960000000006</v>
      </c>
      <c r="H606" s="7">
        <v>41290</v>
      </c>
      <c r="I606" s="6" t="s">
        <v>49</v>
      </c>
      <c r="J606" s="6" t="s">
        <v>1266</v>
      </c>
      <c r="K606" s="6" t="s">
        <v>51</v>
      </c>
      <c r="L606" s="6" t="s">
        <v>52</v>
      </c>
      <c r="M606" s="6" t="s">
        <v>53</v>
      </c>
      <c r="N606" s="6">
        <v>4.5199999999999996</v>
      </c>
      <c r="O606" s="6">
        <v>22</v>
      </c>
    </row>
    <row r="607" spans="1:15" ht="14.25" customHeight="1" x14ac:dyDescent="0.3">
      <c r="A607" s="6" t="s">
        <v>1267</v>
      </c>
      <c r="B607" s="6">
        <v>39</v>
      </c>
      <c r="C607" s="6" t="s">
        <v>62</v>
      </c>
      <c r="D607" s="6" t="s">
        <v>26</v>
      </c>
      <c r="E607" s="6" t="s">
        <v>27</v>
      </c>
      <c r="F607" s="6">
        <v>1606</v>
      </c>
      <c r="G607" s="6">
        <v>85472.35</v>
      </c>
      <c r="H607" s="7">
        <v>38214</v>
      </c>
      <c r="I607" s="6" t="s">
        <v>56</v>
      </c>
      <c r="J607" s="6" t="s">
        <v>1268</v>
      </c>
      <c r="K607" s="6" t="s">
        <v>21</v>
      </c>
      <c r="L607" s="6" t="s">
        <v>22</v>
      </c>
      <c r="M607" s="6" t="s">
        <v>23</v>
      </c>
      <c r="N607" s="6">
        <v>2.19</v>
      </c>
      <c r="O607" s="6">
        <v>19</v>
      </c>
    </row>
    <row r="608" spans="1:15" ht="14.25" customHeight="1" x14ac:dyDescent="0.3">
      <c r="A608" s="6" t="s">
        <v>1269</v>
      </c>
      <c r="B608" s="6">
        <v>27</v>
      </c>
      <c r="C608" s="6" t="s">
        <v>16</v>
      </c>
      <c r="D608" s="6" t="s">
        <v>17</v>
      </c>
      <c r="E608" s="6" t="s">
        <v>34</v>
      </c>
      <c r="F608" s="6">
        <v>1607</v>
      </c>
      <c r="G608" s="6">
        <v>122192.26</v>
      </c>
      <c r="H608" s="7">
        <v>41444</v>
      </c>
      <c r="I608" s="6" t="s">
        <v>63</v>
      </c>
      <c r="J608" s="6" t="s">
        <v>1270</v>
      </c>
      <c r="K608" s="6" t="s">
        <v>30</v>
      </c>
      <c r="L608" s="6" t="s">
        <v>31</v>
      </c>
      <c r="M608" s="6" t="s">
        <v>32</v>
      </c>
      <c r="N608" s="6">
        <v>4.6500000000000004</v>
      </c>
      <c r="O608" s="6">
        <v>24</v>
      </c>
    </row>
    <row r="609" spans="1:15" ht="14.25" customHeight="1" x14ac:dyDescent="0.3">
      <c r="A609" s="6" t="s">
        <v>1271</v>
      </c>
      <c r="B609" s="6">
        <v>52</v>
      </c>
      <c r="C609" s="6" t="s">
        <v>16</v>
      </c>
      <c r="D609" s="6" t="s">
        <v>26</v>
      </c>
      <c r="E609" s="6" t="s">
        <v>27</v>
      </c>
      <c r="F609" s="6">
        <v>1608</v>
      </c>
      <c r="G609" s="6">
        <v>155865.62</v>
      </c>
      <c r="H609" s="7">
        <v>39009</v>
      </c>
      <c r="I609" s="6" t="s">
        <v>66</v>
      </c>
      <c r="J609" s="6" t="s">
        <v>1272</v>
      </c>
      <c r="K609" s="6" t="s">
        <v>37</v>
      </c>
      <c r="L609" s="6" t="s">
        <v>38</v>
      </c>
      <c r="M609" s="6" t="s">
        <v>39</v>
      </c>
      <c r="N609" s="6">
        <v>4.0599999999999996</v>
      </c>
      <c r="O609" s="6">
        <v>128</v>
      </c>
    </row>
    <row r="610" spans="1:15" ht="14.25" customHeight="1" x14ac:dyDescent="0.3">
      <c r="A610" s="6" t="s">
        <v>1273</v>
      </c>
      <c r="B610" s="6">
        <v>46</v>
      </c>
      <c r="C610" s="6" t="s">
        <v>25</v>
      </c>
      <c r="D610" s="6" t="s">
        <v>26</v>
      </c>
      <c r="E610" s="6" t="s">
        <v>48</v>
      </c>
      <c r="F610" s="6">
        <v>1609</v>
      </c>
      <c r="G610" s="6">
        <v>66372.600000000006</v>
      </c>
      <c r="H610" s="7">
        <v>43513</v>
      </c>
      <c r="I610" s="6" t="s">
        <v>70</v>
      </c>
      <c r="J610" s="6" t="s">
        <v>1274</v>
      </c>
      <c r="K610" s="6" t="s">
        <v>43</v>
      </c>
      <c r="L610" s="6" t="s">
        <v>44</v>
      </c>
      <c r="M610" s="6" t="s">
        <v>45</v>
      </c>
      <c r="N610" s="6">
        <v>2.36</v>
      </c>
      <c r="O610" s="6">
        <v>154</v>
      </c>
    </row>
    <row r="611" spans="1:15" ht="14.25" customHeight="1" x14ac:dyDescent="0.3">
      <c r="A611" s="6" t="s">
        <v>1275</v>
      </c>
      <c r="B611" s="6">
        <v>25</v>
      </c>
      <c r="C611" s="6" t="s">
        <v>62</v>
      </c>
      <c r="D611" s="6" t="s">
        <v>47</v>
      </c>
      <c r="E611" s="6" t="s">
        <v>80</v>
      </c>
      <c r="F611" s="6">
        <v>1610</v>
      </c>
      <c r="G611" s="6">
        <v>176904.31</v>
      </c>
      <c r="H611" s="7">
        <v>43479</v>
      </c>
      <c r="I611" s="6" t="s">
        <v>73</v>
      </c>
      <c r="J611" s="6" t="s">
        <v>1276</v>
      </c>
      <c r="K611" s="6" t="s">
        <v>51</v>
      </c>
      <c r="L611" s="6" t="s">
        <v>52</v>
      </c>
      <c r="M611" s="6" t="s">
        <v>53</v>
      </c>
      <c r="N611" s="6">
        <v>4.49</v>
      </c>
      <c r="O611" s="6">
        <v>55</v>
      </c>
    </row>
    <row r="612" spans="1:15" ht="14.25" customHeight="1" x14ac:dyDescent="0.3">
      <c r="A612" s="6" t="s">
        <v>1277</v>
      </c>
      <c r="B612" s="6">
        <v>27</v>
      </c>
      <c r="C612" s="6" t="s">
        <v>25</v>
      </c>
      <c r="D612" s="6" t="s">
        <v>26</v>
      </c>
      <c r="E612" s="6" t="s">
        <v>80</v>
      </c>
      <c r="F612" s="6">
        <v>1611</v>
      </c>
      <c r="G612" s="6">
        <v>163598.23000000001</v>
      </c>
      <c r="H612" s="7">
        <v>38571</v>
      </c>
      <c r="I612" s="6" t="s">
        <v>19</v>
      </c>
      <c r="J612" s="6" t="s">
        <v>1278</v>
      </c>
      <c r="K612" s="6" t="s">
        <v>21</v>
      </c>
      <c r="L612" s="6" t="s">
        <v>22</v>
      </c>
      <c r="M612" s="6" t="s">
        <v>23</v>
      </c>
      <c r="N612" s="6">
        <v>1</v>
      </c>
      <c r="O612" s="6">
        <v>33</v>
      </c>
    </row>
    <row r="613" spans="1:15" ht="14.25" customHeight="1" x14ac:dyDescent="0.3">
      <c r="A613" s="6" t="s">
        <v>1279</v>
      </c>
      <c r="B613" s="6">
        <v>62</v>
      </c>
      <c r="C613" s="6" t="s">
        <v>16</v>
      </c>
      <c r="D613" s="6" t="s">
        <v>55</v>
      </c>
      <c r="E613" s="6" t="s">
        <v>80</v>
      </c>
      <c r="F613" s="6">
        <v>1612</v>
      </c>
      <c r="G613" s="6">
        <v>146340.24</v>
      </c>
      <c r="H613" s="7">
        <v>44469</v>
      </c>
      <c r="I613" s="6" t="s">
        <v>28</v>
      </c>
      <c r="J613" s="6" t="s">
        <v>1280</v>
      </c>
      <c r="K613" s="6" t="s">
        <v>30</v>
      </c>
      <c r="L613" s="6" t="s">
        <v>31</v>
      </c>
      <c r="M613" s="6" t="s">
        <v>32</v>
      </c>
      <c r="N613" s="6">
        <v>1.6</v>
      </c>
      <c r="O613" s="6">
        <v>25</v>
      </c>
    </row>
    <row r="614" spans="1:15" ht="14.25" customHeight="1" x14ac:dyDescent="0.3">
      <c r="A614" s="6" t="s">
        <v>1281</v>
      </c>
      <c r="B614" s="6">
        <v>58</v>
      </c>
      <c r="C614" s="6" t="s">
        <v>16</v>
      </c>
      <c r="D614" s="6" t="s">
        <v>69</v>
      </c>
      <c r="E614" s="6" t="s">
        <v>18</v>
      </c>
      <c r="F614" s="6">
        <v>1613</v>
      </c>
      <c r="G614" s="6">
        <v>116439.74</v>
      </c>
      <c r="H614" s="7">
        <v>37534</v>
      </c>
      <c r="I614" s="6" t="s">
        <v>35</v>
      </c>
      <c r="J614" s="6" t="s">
        <v>1282</v>
      </c>
      <c r="K614" s="6" t="s">
        <v>37</v>
      </c>
      <c r="L614" s="6" t="s">
        <v>38</v>
      </c>
      <c r="M614" s="6" t="s">
        <v>39</v>
      </c>
      <c r="N614" s="6">
        <v>2.79</v>
      </c>
      <c r="O614" s="6">
        <v>5</v>
      </c>
    </row>
    <row r="615" spans="1:15" ht="14.25" customHeight="1" x14ac:dyDescent="0.3">
      <c r="A615" s="6" t="s">
        <v>1283</v>
      </c>
      <c r="B615" s="6">
        <v>46</v>
      </c>
      <c r="C615" s="6" t="s">
        <v>25</v>
      </c>
      <c r="D615" s="6" t="s">
        <v>17</v>
      </c>
      <c r="E615" s="6" t="s">
        <v>80</v>
      </c>
      <c r="F615" s="6">
        <v>1614</v>
      </c>
      <c r="G615" s="6">
        <v>172137.66</v>
      </c>
      <c r="H615" s="7">
        <v>41909</v>
      </c>
      <c r="I615" s="6" t="s">
        <v>41</v>
      </c>
      <c r="J615" s="6" t="s">
        <v>1284</v>
      </c>
      <c r="K615" s="6" t="s">
        <v>43</v>
      </c>
      <c r="L615" s="6" t="s">
        <v>44</v>
      </c>
      <c r="M615" s="6" t="s">
        <v>45</v>
      </c>
      <c r="N615" s="6">
        <v>1.37</v>
      </c>
      <c r="O615" s="6">
        <v>127</v>
      </c>
    </row>
    <row r="616" spans="1:15" ht="14.25" customHeight="1" x14ac:dyDescent="0.3">
      <c r="A616" s="6" t="s">
        <v>1285</v>
      </c>
      <c r="B616" s="6">
        <v>55</v>
      </c>
      <c r="C616" s="6" t="s">
        <v>62</v>
      </c>
      <c r="D616" s="6" t="s">
        <v>47</v>
      </c>
      <c r="E616" s="6" t="s">
        <v>18</v>
      </c>
      <c r="F616" s="6">
        <v>1615</v>
      </c>
      <c r="G616" s="6">
        <v>107062.89</v>
      </c>
      <c r="H616" s="7">
        <v>43051</v>
      </c>
      <c r="I616" s="6" t="s">
        <v>49</v>
      </c>
      <c r="J616" s="6" t="s">
        <v>1286</v>
      </c>
      <c r="K616" s="6" t="s">
        <v>51</v>
      </c>
      <c r="L616" s="6" t="s">
        <v>52</v>
      </c>
      <c r="M616" s="6" t="s">
        <v>53</v>
      </c>
      <c r="N616" s="6">
        <v>1.46</v>
      </c>
      <c r="O616" s="6">
        <v>81</v>
      </c>
    </row>
    <row r="617" spans="1:15" ht="14.25" customHeight="1" x14ac:dyDescent="0.3">
      <c r="A617" s="6" t="s">
        <v>1287</v>
      </c>
      <c r="B617" s="6">
        <v>40</v>
      </c>
      <c r="C617" s="6" t="s">
        <v>16</v>
      </c>
      <c r="D617" s="6" t="s">
        <v>69</v>
      </c>
      <c r="E617" s="6" t="s">
        <v>80</v>
      </c>
      <c r="F617" s="6">
        <v>1616</v>
      </c>
      <c r="G617" s="6">
        <v>79768.45</v>
      </c>
      <c r="H617" s="7">
        <v>36944</v>
      </c>
      <c r="I617" s="6" t="s">
        <v>56</v>
      </c>
      <c r="J617" s="6" t="s">
        <v>1288</v>
      </c>
      <c r="K617" s="6" t="s">
        <v>21</v>
      </c>
      <c r="L617" s="6" t="s">
        <v>22</v>
      </c>
      <c r="M617" s="6" t="s">
        <v>23</v>
      </c>
      <c r="N617" s="6">
        <v>2.75</v>
      </c>
      <c r="O617" s="6">
        <v>106</v>
      </c>
    </row>
    <row r="618" spans="1:15" ht="14.25" customHeight="1" x14ac:dyDescent="0.3">
      <c r="A618" s="6" t="s">
        <v>1289</v>
      </c>
      <c r="B618" s="6">
        <v>55</v>
      </c>
      <c r="C618" s="6" t="s">
        <v>16</v>
      </c>
      <c r="D618" s="6" t="s">
        <v>47</v>
      </c>
      <c r="E618" s="6" t="s">
        <v>27</v>
      </c>
      <c r="F618" s="6">
        <v>1617</v>
      </c>
      <c r="G618" s="6">
        <v>79643.06</v>
      </c>
      <c r="H618" s="7">
        <v>38944</v>
      </c>
      <c r="I618" s="6" t="s">
        <v>63</v>
      </c>
      <c r="J618" s="6" t="s">
        <v>1290</v>
      </c>
      <c r="K618" s="6" t="s">
        <v>30</v>
      </c>
      <c r="L618" s="6" t="s">
        <v>31</v>
      </c>
      <c r="M618" s="6" t="s">
        <v>32</v>
      </c>
      <c r="N618" s="6">
        <v>3.97</v>
      </c>
      <c r="O618" s="6">
        <v>5</v>
      </c>
    </row>
    <row r="619" spans="1:15" ht="14.25" customHeight="1" x14ac:dyDescent="0.3">
      <c r="A619" s="6" t="s">
        <v>1291</v>
      </c>
      <c r="B619" s="6">
        <v>36</v>
      </c>
      <c r="C619" s="6" t="s">
        <v>62</v>
      </c>
      <c r="D619" s="6" t="s">
        <v>55</v>
      </c>
      <c r="E619" s="6" t="s">
        <v>27</v>
      </c>
      <c r="F619" s="6">
        <v>1618</v>
      </c>
      <c r="G619" s="6">
        <v>186910.81</v>
      </c>
      <c r="H619" s="7">
        <v>37907</v>
      </c>
      <c r="I619" s="6" t="s">
        <v>66</v>
      </c>
      <c r="J619" s="6" t="s">
        <v>1292</v>
      </c>
      <c r="K619" s="6" t="s">
        <v>37</v>
      </c>
      <c r="L619" s="6" t="s">
        <v>38</v>
      </c>
      <c r="M619" s="6" t="s">
        <v>39</v>
      </c>
      <c r="N619" s="6">
        <v>1.6</v>
      </c>
      <c r="O619" s="6">
        <v>90</v>
      </c>
    </row>
    <row r="620" spans="1:15" ht="14.25" customHeight="1" x14ac:dyDescent="0.3">
      <c r="A620" s="6" t="s">
        <v>1293</v>
      </c>
      <c r="B620" s="6">
        <v>29</v>
      </c>
      <c r="C620" s="6" t="s">
        <v>16</v>
      </c>
      <c r="D620" s="6" t="s">
        <v>69</v>
      </c>
      <c r="E620" s="6" t="s">
        <v>80</v>
      </c>
      <c r="F620" s="6">
        <v>1619</v>
      </c>
      <c r="G620" s="6">
        <v>139021.10999999999</v>
      </c>
      <c r="H620" s="7">
        <v>42378</v>
      </c>
      <c r="I620" s="6" t="s">
        <v>70</v>
      </c>
      <c r="J620" s="6" t="s">
        <v>1294</v>
      </c>
      <c r="K620" s="6" t="s">
        <v>43</v>
      </c>
      <c r="L620" s="6" t="s">
        <v>44</v>
      </c>
      <c r="M620" s="6" t="s">
        <v>45</v>
      </c>
      <c r="N620" s="6">
        <v>4.5</v>
      </c>
      <c r="O620" s="6">
        <v>41</v>
      </c>
    </row>
    <row r="621" spans="1:15" ht="14.25" customHeight="1" x14ac:dyDescent="0.3">
      <c r="A621" s="6" t="s">
        <v>1295</v>
      </c>
      <c r="B621" s="6">
        <v>55</v>
      </c>
      <c r="C621" s="6" t="s">
        <v>62</v>
      </c>
      <c r="D621" s="6" t="s">
        <v>17</v>
      </c>
      <c r="E621" s="6" t="s">
        <v>80</v>
      </c>
      <c r="F621" s="6">
        <v>1620</v>
      </c>
      <c r="G621" s="6">
        <v>86153.05</v>
      </c>
      <c r="H621" s="7">
        <v>38188</v>
      </c>
      <c r="I621" s="6" t="s">
        <v>73</v>
      </c>
      <c r="J621" s="6" t="s">
        <v>1296</v>
      </c>
      <c r="K621" s="6" t="s">
        <v>51</v>
      </c>
      <c r="L621" s="6" t="s">
        <v>52</v>
      </c>
      <c r="M621" s="6" t="s">
        <v>53</v>
      </c>
      <c r="N621" s="6">
        <v>3.6</v>
      </c>
      <c r="O621" s="6">
        <v>78</v>
      </c>
    </row>
    <row r="622" spans="1:15" ht="14.25" customHeight="1" x14ac:dyDescent="0.3">
      <c r="A622" s="6" t="s">
        <v>1297</v>
      </c>
      <c r="B622" s="6">
        <v>39</v>
      </c>
      <c r="C622" s="6" t="s">
        <v>62</v>
      </c>
      <c r="D622" s="6" t="s">
        <v>26</v>
      </c>
      <c r="E622" s="6" t="s">
        <v>18</v>
      </c>
      <c r="F622" s="6">
        <v>1621</v>
      </c>
      <c r="G622" s="6">
        <v>84826.23</v>
      </c>
      <c r="H622" s="7">
        <v>38130</v>
      </c>
      <c r="I622" s="6" t="s">
        <v>19</v>
      </c>
      <c r="J622" s="6" t="s">
        <v>1298</v>
      </c>
      <c r="K622" s="6" t="s">
        <v>21</v>
      </c>
      <c r="L622" s="6" t="s">
        <v>22</v>
      </c>
      <c r="M622" s="6" t="s">
        <v>23</v>
      </c>
      <c r="N622" s="6">
        <v>4.63</v>
      </c>
      <c r="O622" s="6">
        <v>144</v>
      </c>
    </row>
    <row r="623" spans="1:15" ht="14.25" customHeight="1" x14ac:dyDescent="0.3">
      <c r="A623" s="6" t="s">
        <v>1299</v>
      </c>
      <c r="B623" s="6">
        <v>51</v>
      </c>
      <c r="C623" s="6" t="s">
        <v>16</v>
      </c>
      <c r="D623" s="6" t="s">
        <v>26</v>
      </c>
      <c r="E623" s="6" t="s">
        <v>18</v>
      </c>
      <c r="F623" s="6">
        <v>1622</v>
      </c>
      <c r="G623" s="6">
        <v>121962.51</v>
      </c>
      <c r="H623" s="7">
        <v>43703</v>
      </c>
      <c r="I623" s="6" t="s">
        <v>28</v>
      </c>
      <c r="J623" s="6" t="s">
        <v>1300</v>
      </c>
      <c r="K623" s="6" t="s">
        <v>30</v>
      </c>
      <c r="L623" s="6" t="s">
        <v>31</v>
      </c>
      <c r="M623" s="6" t="s">
        <v>32</v>
      </c>
      <c r="N623" s="6">
        <v>4.92</v>
      </c>
      <c r="O623" s="6">
        <v>51</v>
      </c>
    </row>
    <row r="624" spans="1:15" ht="14.25" customHeight="1" x14ac:dyDescent="0.3">
      <c r="A624" s="6" t="s">
        <v>1301</v>
      </c>
      <c r="B624" s="6">
        <v>34</v>
      </c>
      <c r="C624" s="6" t="s">
        <v>25</v>
      </c>
      <c r="D624" s="6" t="s">
        <v>69</v>
      </c>
      <c r="E624" s="6" t="s">
        <v>18</v>
      </c>
      <c r="F624" s="6">
        <v>1623</v>
      </c>
      <c r="G624" s="6">
        <v>133995.53</v>
      </c>
      <c r="H624" s="7">
        <v>41984</v>
      </c>
      <c r="I624" s="6" t="s">
        <v>35</v>
      </c>
      <c r="J624" s="6" t="s">
        <v>1302</v>
      </c>
      <c r="K624" s="6" t="s">
        <v>37</v>
      </c>
      <c r="L624" s="6" t="s">
        <v>38</v>
      </c>
      <c r="M624" s="6" t="s">
        <v>39</v>
      </c>
      <c r="N624" s="6">
        <v>2.12</v>
      </c>
      <c r="O624" s="6">
        <v>180</v>
      </c>
    </row>
    <row r="625" spans="1:15" ht="14.25" customHeight="1" x14ac:dyDescent="0.3">
      <c r="A625" s="6" t="s">
        <v>1303</v>
      </c>
      <c r="B625" s="6">
        <v>54</v>
      </c>
      <c r="C625" s="6" t="s">
        <v>16</v>
      </c>
      <c r="D625" s="6" t="s">
        <v>47</v>
      </c>
      <c r="E625" s="6" t="s">
        <v>48</v>
      </c>
      <c r="F625" s="6">
        <v>1624</v>
      </c>
      <c r="G625" s="6">
        <v>184492.29</v>
      </c>
      <c r="H625" s="7">
        <v>44058</v>
      </c>
      <c r="I625" s="6" t="s">
        <v>41</v>
      </c>
      <c r="J625" s="6" t="s">
        <v>1304</v>
      </c>
      <c r="K625" s="6" t="s">
        <v>43</v>
      </c>
      <c r="L625" s="6" t="s">
        <v>44</v>
      </c>
      <c r="M625" s="6" t="s">
        <v>45</v>
      </c>
      <c r="N625" s="6">
        <v>3.43</v>
      </c>
      <c r="O625" s="6">
        <v>188</v>
      </c>
    </row>
    <row r="626" spans="1:15" ht="14.25" customHeight="1" x14ac:dyDescent="0.3">
      <c r="A626" s="6" t="s">
        <v>1305</v>
      </c>
      <c r="B626" s="6">
        <v>56</v>
      </c>
      <c r="C626" s="6" t="s">
        <v>16</v>
      </c>
      <c r="D626" s="6" t="s">
        <v>17</v>
      </c>
      <c r="E626" s="6" t="s">
        <v>18</v>
      </c>
      <c r="F626" s="6">
        <v>1625</v>
      </c>
      <c r="G626" s="6">
        <v>88349.22</v>
      </c>
      <c r="H626" s="7">
        <v>40204</v>
      </c>
      <c r="I626" s="6" t="s">
        <v>49</v>
      </c>
      <c r="J626" s="6" t="s">
        <v>1306</v>
      </c>
      <c r="K626" s="6" t="s">
        <v>51</v>
      </c>
      <c r="L626" s="6" t="s">
        <v>52</v>
      </c>
      <c r="M626" s="6" t="s">
        <v>53</v>
      </c>
      <c r="N626" s="6">
        <v>4</v>
      </c>
      <c r="O626" s="6">
        <v>93</v>
      </c>
    </row>
    <row r="627" spans="1:15" ht="14.25" customHeight="1" x14ac:dyDescent="0.3">
      <c r="A627" s="6" t="s">
        <v>1307</v>
      </c>
      <c r="B627" s="6">
        <v>45</v>
      </c>
      <c r="C627" s="6" t="s">
        <v>16</v>
      </c>
      <c r="D627" s="6" t="s">
        <v>26</v>
      </c>
      <c r="E627" s="6" t="s">
        <v>18</v>
      </c>
      <c r="F627" s="6">
        <v>1626</v>
      </c>
      <c r="G627" s="6">
        <v>149020.12</v>
      </c>
      <c r="H627" s="7">
        <v>42413</v>
      </c>
      <c r="I627" s="6" t="s">
        <v>56</v>
      </c>
      <c r="J627" s="6" t="s">
        <v>1308</v>
      </c>
      <c r="K627" s="6" t="s">
        <v>21</v>
      </c>
      <c r="L627" s="6" t="s">
        <v>22</v>
      </c>
      <c r="M627" s="6" t="s">
        <v>23</v>
      </c>
      <c r="N627" s="6">
        <v>4.18</v>
      </c>
      <c r="O627" s="6">
        <v>68</v>
      </c>
    </row>
    <row r="628" spans="1:15" ht="14.25" customHeight="1" x14ac:dyDescent="0.3">
      <c r="A628" s="6" t="s">
        <v>1309</v>
      </c>
      <c r="B628" s="6">
        <v>47</v>
      </c>
      <c r="C628" s="6" t="s">
        <v>16</v>
      </c>
      <c r="D628" s="6" t="s">
        <v>69</v>
      </c>
      <c r="E628" s="6" t="s">
        <v>48</v>
      </c>
      <c r="F628" s="6">
        <v>1627</v>
      </c>
      <c r="G628" s="6">
        <v>158918.78</v>
      </c>
      <c r="H628" s="7">
        <v>38608</v>
      </c>
      <c r="I628" s="6" t="s">
        <v>63</v>
      </c>
      <c r="J628" s="6" t="s">
        <v>1310</v>
      </c>
      <c r="K628" s="6" t="s">
        <v>30</v>
      </c>
      <c r="L628" s="6" t="s">
        <v>31</v>
      </c>
      <c r="M628" s="6" t="s">
        <v>32</v>
      </c>
      <c r="N628" s="6">
        <v>4.6100000000000003</v>
      </c>
      <c r="O628" s="6">
        <v>1</v>
      </c>
    </row>
    <row r="629" spans="1:15" ht="14.25" customHeight="1" x14ac:dyDescent="0.3">
      <c r="A629" s="6" t="s">
        <v>1311</v>
      </c>
      <c r="B629" s="6">
        <v>63</v>
      </c>
      <c r="C629" s="6" t="s">
        <v>25</v>
      </c>
      <c r="D629" s="6" t="s">
        <v>69</v>
      </c>
      <c r="E629" s="6" t="s">
        <v>80</v>
      </c>
      <c r="F629" s="6">
        <v>1628</v>
      </c>
      <c r="G629" s="6">
        <v>182301.05</v>
      </c>
      <c r="H629" s="7">
        <v>36699</v>
      </c>
      <c r="I629" s="6" t="s">
        <v>66</v>
      </c>
      <c r="J629" s="6" t="s">
        <v>1312</v>
      </c>
      <c r="K629" s="6" t="s">
        <v>37</v>
      </c>
      <c r="L629" s="6" t="s">
        <v>38</v>
      </c>
      <c r="M629" s="6" t="s">
        <v>39</v>
      </c>
      <c r="N629" s="6">
        <v>1.06</v>
      </c>
      <c r="O629" s="6">
        <v>18</v>
      </c>
    </row>
    <row r="630" spans="1:15" ht="14.25" customHeight="1" x14ac:dyDescent="0.3">
      <c r="A630" s="6" t="s">
        <v>1313</v>
      </c>
      <c r="B630" s="6">
        <v>22</v>
      </c>
      <c r="C630" s="6" t="s">
        <v>25</v>
      </c>
      <c r="D630" s="6" t="s">
        <v>55</v>
      </c>
      <c r="E630" s="6" t="s">
        <v>34</v>
      </c>
      <c r="F630" s="6">
        <v>1629</v>
      </c>
      <c r="G630" s="6">
        <v>181295.7</v>
      </c>
      <c r="H630" s="7">
        <v>40002</v>
      </c>
      <c r="I630" s="6" t="s">
        <v>70</v>
      </c>
      <c r="J630" s="6" t="s">
        <v>1314</v>
      </c>
      <c r="K630" s="6" t="s">
        <v>43</v>
      </c>
      <c r="L630" s="6" t="s">
        <v>44</v>
      </c>
      <c r="M630" s="6" t="s">
        <v>45</v>
      </c>
      <c r="N630" s="6">
        <v>2.42</v>
      </c>
      <c r="O630" s="6">
        <v>112</v>
      </c>
    </row>
    <row r="631" spans="1:15" ht="14.25" customHeight="1" x14ac:dyDescent="0.3">
      <c r="A631" s="6" t="s">
        <v>1315</v>
      </c>
      <c r="B631" s="6">
        <v>34</v>
      </c>
      <c r="C631" s="6" t="s">
        <v>25</v>
      </c>
      <c r="D631" s="6" t="s">
        <v>17</v>
      </c>
      <c r="E631" s="6" t="s">
        <v>48</v>
      </c>
      <c r="F631" s="6">
        <v>1630</v>
      </c>
      <c r="G631" s="6">
        <v>135718.99</v>
      </c>
      <c r="H631" s="7">
        <v>39302</v>
      </c>
      <c r="I631" s="6" t="s">
        <v>73</v>
      </c>
      <c r="J631" s="6" t="s">
        <v>1316</v>
      </c>
      <c r="K631" s="6" t="s">
        <v>51</v>
      </c>
      <c r="L631" s="6" t="s">
        <v>52</v>
      </c>
      <c r="M631" s="6" t="s">
        <v>53</v>
      </c>
      <c r="N631" s="6">
        <v>2.9</v>
      </c>
      <c r="O631" s="6">
        <v>78</v>
      </c>
    </row>
    <row r="632" spans="1:15" ht="14.25" customHeight="1" x14ac:dyDescent="0.3">
      <c r="A632" s="6" t="s">
        <v>1317</v>
      </c>
      <c r="B632" s="6">
        <v>31</v>
      </c>
      <c r="C632" s="6" t="s">
        <v>62</v>
      </c>
      <c r="D632" s="6" t="s">
        <v>17</v>
      </c>
      <c r="E632" s="6" t="s">
        <v>18</v>
      </c>
      <c r="F632" s="6">
        <v>1631</v>
      </c>
      <c r="G632" s="6">
        <v>98972.26</v>
      </c>
      <c r="H632" s="7">
        <v>36669</v>
      </c>
      <c r="I632" s="6" t="s">
        <v>19</v>
      </c>
      <c r="J632" s="6" t="s">
        <v>1318</v>
      </c>
      <c r="K632" s="6" t="s">
        <v>21</v>
      </c>
      <c r="L632" s="6" t="s">
        <v>22</v>
      </c>
      <c r="M632" s="6" t="s">
        <v>23</v>
      </c>
      <c r="N632" s="6">
        <v>2.88</v>
      </c>
      <c r="O632" s="6">
        <v>138</v>
      </c>
    </row>
    <row r="633" spans="1:15" ht="14.25" customHeight="1" x14ac:dyDescent="0.3">
      <c r="A633" s="6" t="s">
        <v>1319</v>
      </c>
      <c r="B633" s="6">
        <v>40</v>
      </c>
      <c r="C633" s="6" t="s">
        <v>25</v>
      </c>
      <c r="D633" s="6" t="s">
        <v>47</v>
      </c>
      <c r="E633" s="6" t="s">
        <v>48</v>
      </c>
      <c r="F633" s="6">
        <v>1632</v>
      </c>
      <c r="G633" s="6">
        <v>93392.17</v>
      </c>
      <c r="H633" s="7">
        <v>36581</v>
      </c>
      <c r="I633" s="6" t="s">
        <v>28</v>
      </c>
      <c r="J633" s="6" t="s">
        <v>1320</v>
      </c>
      <c r="K633" s="6" t="s">
        <v>30</v>
      </c>
      <c r="L633" s="6" t="s">
        <v>31</v>
      </c>
      <c r="M633" s="6" t="s">
        <v>32</v>
      </c>
      <c r="N633" s="6">
        <v>2.34</v>
      </c>
      <c r="O633" s="6">
        <v>141</v>
      </c>
    </row>
    <row r="634" spans="1:15" ht="14.25" customHeight="1" x14ac:dyDescent="0.3">
      <c r="A634" s="6" t="s">
        <v>1321</v>
      </c>
      <c r="B634" s="6">
        <v>26</v>
      </c>
      <c r="C634" s="6" t="s">
        <v>62</v>
      </c>
      <c r="D634" s="6" t="s">
        <v>47</v>
      </c>
      <c r="E634" s="6" t="s">
        <v>27</v>
      </c>
      <c r="F634" s="6">
        <v>1633</v>
      </c>
      <c r="G634" s="6">
        <v>153205.43</v>
      </c>
      <c r="H634" s="7">
        <v>40564</v>
      </c>
      <c r="I634" s="6" t="s">
        <v>35</v>
      </c>
      <c r="J634" s="6" t="s">
        <v>1322</v>
      </c>
      <c r="K634" s="6" t="s">
        <v>37</v>
      </c>
      <c r="L634" s="6" t="s">
        <v>38</v>
      </c>
      <c r="M634" s="6" t="s">
        <v>39</v>
      </c>
      <c r="N634" s="6">
        <v>4.8600000000000003</v>
      </c>
      <c r="O634" s="6">
        <v>137</v>
      </c>
    </row>
    <row r="635" spans="1:15" ht="14.25" customHeight="1" x14ac:dyDescent="0.3">
      <c r="A635" s="6" t="s">
        <v>1323</v>
      </c>
      <c r="B635" s="6">
        <v>29</v>
      </c>
      <c r="C635" s="6" t="s">
        <v>16</v>
      </c>
      <c r="D635" s="6" t="s">
        <v>69</v>
      </c>
      <c r="E635" s="6" t="s">
        <v>27</v>
      </c>
      <c r="F635" s="6">
        <v>1634</v>
      </c>
      <c r="G635" s="6">
        <v>169668.18</v>
      </c>
      <c r="H635" s="7">
        <v>43840</v>
      </c>
      <c r="I635" s="6" t="s">
        <v>41</v>
      </c>
      <c r="J635" s="6" t="s">
        <v>1324</v>
      </c>
      <c r="K635" s="6" t="s">
        <v>43</v>
      </c>
      <c r="L635" s="6" t="s">
        <v>44</v>
      </c>
      <c r="M635" s="6" t="s">
        <v>45</v>
      </c>
      <c r="N635" s="6">
        <v>1.23</v>
      </c>
      <c r="O635" s="6">
        <v>63</v>
      </c>
    </row>
    <row r="636" spans="1:15" ht="14.25" customHeight="1" x14ac:dyDescent="0.3">
      <c r="A636" s="6" t="s">
        <v>1325</v>
      </c>
      <c r="B636" s="6">
        <v>25</v>
      </c>
      <c r="C636" s="6" t="s">
        <v>25</v>
      </c>
      <c r="D636" s="6" t="s">
        <v>55</v>
      </c>
      <c r="E636" s="6" t="s">
        <v>80</v>
      </c>
      <c r="F636" s="6">
        <v>1635</v>
      </c>
      <c r="G636" s="6">
        <v>111696.18</v>
      </c>
      <c r="H636" s="7">
        <v>44171</v>
      </c>
      <c r="I636" s="6" t="s">
        <v>49</v>
      </c>
      <c r="J636" s="6" t="s">
        <v>1326</v>
      </c>
      <c r="K636" s="6" t="s">
        <v>51</v>
      </c>
      <c r="L636" s="6" t="s">
        <v>52</v>
      </c>
      <c r="M636" s="6" t="s">
        <v>53</v>
      </c>
      <c r="N636" s="6">
        <v>4.1399999999999997</v>
      </c>
      <c r="O636" s="6">
        <v>69</v>
      </c>
    </row>
    <row r="637" spans="1:15" ht="14.25" customHeight="1" x14ac:dyDescent="0.3">
      <c r="A637" s="6" t="s">
        <v>1327</v>
      </c>
      <c r="B637" s="6">
        <v>34</v>
      </c>
      <c r="C637" s="6" t="s">
        <v>25</v>
      </c>
      <c r="D637" s="6" t="s">
        <v>69</v>
      </c>
      <c r="E637" s="6" t="s">
        <v>18</v>
      </c>
      <c r="F637" s="6">
        <v>1636</v>
      </c>
      <c r="G637" s="6">
        <v>158624.41</v>
      </c>
      <c r="H637" s="7">
        <v>44665</v>
      </c>
      <c r="I637" s="6" t="s">
        <v>56</v>
      </c>
      <c r="J637" s="6" t="s">
        <v>1328</v>
      </c>
      <c r="K637" s="6" t="s">
        <v>21</v>
      </c>
      <c r="L637" s="6" t="s">
        <v>22</v>
      </c>
      <c r="M637" s="6" t="s">
        <v>23</v>
      </c>
      <c r="N637" s="6">
        <v>2.1</v>
      </c>
      <c r="O637" s="6">
        <v>12</v>
      </c>
    </row>
    <row r="638" spans="1:15" ht="14.25" customHeight="1" x14ac:dyDescent="0.3">
      <c r="A638" s="6" t="s">
        <v>1329</v>
      </c>
      <c r="B638" s="6">
        <v>59</v>
      </c>
      <c r="C638" s="6" t="s">
        <v>25</v>
      </c>
      <c r="D638" s="6" t="s">
        <v>47</v>
      </c>
      <c r="E638" s="6" t="s">
        <v>27</v>
      </c>
      <c r="F638" s="6">
        <v>1637</v>
      </c>
      <c r="G638" s="6">
        <v>64248.01</v>
      </c>
      <c r="H638" s="7">
        <v>41160</v>
      </c>
      <c r="I638" s="6" t="s">
        <v>63</v>
      </c>
      <c r="J638" s="6" t="s">
        <v>1330</v>
      </c>
      <c r="K638" s="6" t="s">
        <v>30</v>
      </c>
      <c r="L638" s="6" t="s">
        <v>31</v>
      </c>
      <c r="M638" s="6" t="s">
        <v>32</v>
      </c>
      <c r="N638" s="6">
        <v>2.5299999999999998</v>
      </c>
      <c r="O638" s="6">
        <v>30</v>
      </c>
    </row>
    <row r="639" spans="1:15" ht="14.25" customHeight="1" x14ac:dyDescent="0.3">
      <c r="A639" s="6" t="s">
        <v>1331</v>
      </c>
      <c r="B639" s="6">
        <v>40</v>
      </c>
      <c r="C639" s="6" t="s">
        <v>25</v>
      </c>
      <c r="D639" s="6" t="s">
        <v>26</v>
      </c>
      <c r="E639" s="6" t="s">
        <v>48</v>
      </c>
      <c r="F639" s="6">
        <v>1638</v>
      </c>
      <c r="G639" s="6">
        <v>68255.63</v>
      </c>
      <c r="H639" s="7">
        <v>40523</v>
      </c>
      <c r="I639" s="6" t="s">
        <v>66</v>
      </c>
      <c r="J639" s="6" t="s">
        <v>1332</v>
      </c>
      <c r="K639" s="6" t="s">
        <v>37</v>
      </c>
      <c r="L639" s="6" t="s">
        <v>38</v>
      </c>
      <c r="M639" s="6" t="s">
        <v>39</v>
      </c>
      <c r="N639" s="6">
        <v>1.56</v>
      </c>
      <c r="O639" s="6">
        <v>32</v>
      </c>
    </row>
    <row r="640" spans="1:15" ht="14.25" customHeight="1" x14ac:dyDescent="0.3">
      <c r="A640" s="6" t="s">
        <v>1333</v>
      </c>
      <c r="B640" s="6">
        <v>29</v>
      </c>
      <c r="C640" s="6" t="s">
        <v>25</v>
      </c>
      <c r="D640" s="6" t="s">
        <v>55</v>
      </c>
      <c r="E640" s="6" t="s">
        <v>18</v>
      </c>
      <c r="F640" s="6">
        <v>1639</v>
      </c>
      <c r="G640" s="6">
        <v>112412.55</v>
      </c>
      <c r="H640" s="7">
        <v>40630</v>
      </c>
      <c r="I640" s="6" t="s">
        <v>70</v>
      </c>
      <c r="J640" s="6" t="s">
        <v>1334</v>
      </c>
      <c r="K640" s="6" t="s">
        <v>43</v>
      </c>
      <c r="L640" s="6" t="s">
        <v>44</v>
      </c>
      <c r="M640" s="6" t="s">
        <v>45</v>
      </c>
      <c r="N640" s="6">
        <v>3.53</v>
      </c>
      <c r="O640" s="6">
        <v>26</v>
      </c>
    </row>
    <row r="641" spans="1:15" ht="14.25" customHeight="1" x14ac:dyDescent="0.3">
      <c r="A641" s="6" t="s">
        <v>1335</v>
      </c>
      <c r="B641" s="6">
        <v>48</v>
      </c>
      <c r="C641" s="6" t="s">
        <v>16</v>
      </c>
      <c r="D641" s="6" t="s">
        <v>17</v>
      </c>
      <c r="E641" s="6" t="s">
        <v>80</v>
      </c>
      <c r="F641" s="6">
        <v>1640</v>
      </c>
      <c r="G641" s="6">
        <v>158607.1</v>
      </c>
      <c r="H641" s="7">
        <v>39434</v>
      </c>
      <c r="I641" s="6" t="s">
        <v>73</v>
      </c>
      <c r="J641" s="6" t="s">
        <v>1336</v>
      </c>
      <c r="K641" s="6" t="s">
        <v>51</v>
      </c>
      <c r="L641" s="6" t="s">
        <v>52</v>
      </c>
      <c r="M641" s="6" t="s">
        <v>53</v>
      </c>
      <c r="N641" s="6">
        <v>2.0299999999999998</v>
      </c>
      <c r="O641" s="6">
        <v>105</v>
      </c>
    </row>
    <row r="642" spans="1:15" ht="14.25" customHeight="1" x14ac:dyDescent="0.3">
      <c r="A642" s="6" t="s">
        <v>1337</v>
      </c>
      <c r="B642" s="6">
        <v>51</v>
      </c>
      <c r="C642" s="6" t="s">
        <v>25</v>
      </c>
      <c r="D642" s="6" t="s">
        <v>26</v>
      </c>
      <c r="E642" s="6" t="s">
        <v>18</v>
      </c>
      <c r="F642" s="6">
        <v>1641</v>
      </c>
      <c r="G642" s="6">
        <v>187233.17</v>
      </c>
      <c r="H642" s="7">
        <v>37204</v>
      </c>
      <c r="I642" s="6" t="s">
        <v>19</v>
      </c>
      <c r="J642" s="6" t="s">
        <v>1338</v>
      </c>
      <c r="K642" s="6" t="s">
        <v>21</v>
      </c>
      <c r="L642" s="6" t="s">
        <v>22</v>
      </c>
      <c r="M642" s="6" t="s">
        <v>23</v>
      </c>
      <c r="N642" s="6">
        <v>2.09</v>
      </c>
      <c r="O642" s="6">
        <v>161</v>
      </c>
    </row>
    <row r="643" spans="1:15" ht="14.25" customHeight="1" x14ac:dyDescent="0.3">
      <c r="A643" s="6" t="s">
        <v>1339</v>
      </c>
      <c r="B643" s="6">
        <v>25</v>
      </c>
      <c r="C643" s="6" t="s">
        <v>62</v>
      </c>
      <c r="D643" s="6" t="s">
        <v>26</v>
      </c>
      <c r="E643" s="6" t="s">
        <v>18</v>
      </c>
      <c r="F643" s="6">
        <v>1642</v>
      </c>
      <c r="G643" s="6">
        <v>150847.21</v>
      </c>
      <c r="H643" s="7">
        <v>36886</v>
      </c>
      <c r="I643" s="6" t="s">
        <v>28</v>
      </c>
      <c r="J643" s="6" t="s">
        <v>1340</v>
      </c>
      <c r="K643" s="6" t="s">
        <v>30</v>
      </c>
      <c r="L643" s="6" t="s">
        <v>31</v>
      </c>
      <c r="M643" s="6" t="s">
        <v>32</v>
      </c>
      <c r="N643" s="6">
        <v>3.31</v>
      </c>
      <c r="O643" s="6">
        <v>107</v>
      </c>
    </row>
    <row r="644" spans="1:15" ht="14.25" customHeight="1" x14ac:dyDescent="0.3">
      <c r="A644" s="6" t="s">
        <v>1341</v>
      </c>
      <c r="B644" s="6">
        <v>32</v>
      </c>
      <c r="C644" s="6" t="s">
        <v>62</v>
      </c>
      <c r="D644" s="6" t="s">
        <v>17</v>
      </c>
      <c r="E644" s="6" t="s">
        <v>48</v>
      </c>
      <c r="F644" s="6">
        <v>1643</v>
      </c>
      <c r="G644" s="6">
        <v>76919.47</v>
      </c>
      <c r="H644" s="7">
        <v>43566</v>
      </c>
      <c r="I644" s="6" t="s">
        <v>35</v>
      </c>
      <c r="J644" s="6" t="s">
        <v>1342</v>
      </c>
      <c r="K644" s="6" t="s">
        <v>37</v>
      </c>
      <c r="L644" s="6" t="s">
        <v>38</v>
      </c>
      <c r="M644" s="6" t="s">
        <v>39</v>
      </c>
      <c r="N644" s="6">
        <v>2.17</v>
      </c>
      <c r="O644" s="6">
        <v>94</v>
      </c>
    </row>
    <row r="645" spans="1:15" ht="14.25" customHeight="1" x14ac:dyDescent="0.3">
      <c r="A645" s="6" t="s">
        <v>1343</v>
      </c>
      <c r="B645" s="6">
        <v>42</v>
      </c>
      <c r="C645" s="6" t="s">
        <v>25</v>
      </c>
      <c r="D645" s="6" t="s">
        <v>69</v>
      </c>
      <c r="E645" s="6" t="s">
        <v>18</v>
      </c>
      <c r="F645" s="6">
        <v>1644</v>
      </c>
      <c r="G645" s="6">
        <v>113011.89</v>
      </c>
      <c r="H645" s="7">
        <v>36904</v>
      </c>
      <c r="I645" s="6" t="s">
        <v>41</v>
      </c>
      <c r="J645" s="6" t="s">
        <v>1344</v>
      </c>
      <c r="K645" s="6" t="s">
        <v>43</v>
      </c>
      <c r="L645" s="6" t="s">
        <v>44</v>
      </c>
      <c r="M645" s="6" t="s">
        <v>45</v>
      </c>
      <c r="N645" s="6">
        <v>4.95</v>
      </c>
      <c r="O645" s="6">
        <v>134</v>
      </c>
    </row>
    <row r="646" spans="1:15" ht="14.25" customHeight="1" x14ac:dyDescent="0.3">
      <c r="A646" s="6" t="s">
        <v>1345</v>
      </c>
      <c r="B646" s="6">
        <v>64</v>
      </c>
      <c r="C646" s="6" t="s">
        <v>62</v>
      </c>
      <c r="D646" s="6" t="s">
        <v>55</v>
      </c>
      <c r="E646" s="6" t="s">
        <v>48</v>
      </c>
      <c r="F646" s="6">
        <v>1645</v>
      </c>
      <c r="G646" s="6">
        <v>90982.91</v>
      </c>
      <c r="H646" s="7">
        <v>41104</v>
      </c>
      <c r="I646" s="6" t="s">
        <v>49</v>
      </c>
      <c r="J646" s="6" t="s">
        <v>1346</v>
      </c>
      <c r="K646" s="6" t="s">
        <v>51</v>
      </c>
      <c r="L646" s="6" t="s">
        <v>52</v>
      </c>
      <c r="M646" s="6" t="s">
        <v>53</v>
      </c>
      <c r="N646" s="6">
        <v>4.93</v>
      </c>
      <c r="O646" s="6">
        <v>1</v>
      </c>
    </row>
    <row r="647" spans="1:15" ht="14.25" customHeight="1" x14ac:dyDescent="0.3">
      <c r="A647" s="6" t="s">
        <v>1347</v>
      </c>
      <c r="B647" s="6">
        <v>23</v>
      </c>
      <c r="C647" s="6" t="s">
        <v>25</v>
      </c>
      <c r="D647" s="6" t="s">
        <v>26</v>
      </c>
      <c r="E647" s="6" t="s">
        <v>48</v>
      </c>
      <c r="F647" s="6">
        <v>1646</v>
      </c>
      <c r="G647" s="6">
        <v>60115.79</v>
      </c>
      <c r="H647" s="7">
        <v>43342</v>
      </c>
      <c r="I647" s="6" t="s">
        <v>56</v>
      </c>
      <c r="J647" s="6" t="s">
        <v>1348</v>
      </c>
      <c r="K647" s="6" t="s">
        <v>21</v>
      </c>
      <c r="L647" s="6" t="s">
        <v>22</v>
      </c>
      <c r="M647" s="6" t="s">
        <v>23</v>
      </c>
      <c r="N647" s="6">
        <v>3.76</v>
      </c>
      <c r="O647" s="6">
        <v>142</v>
      </c>
    </row>
    <row r="648" spans="1:15" ht="14.25" customHeight="1" x14ac:dyDescent="0.3">
      <c r="A648" s="6" t="s">
        <v>1349</v>
      </c>
      <c r="B648" s="6">
        <v>42</v>
      </c>
      <c r="C648" s="6" t="s">
        <v>16</v>
      </c>
      <c r="D648" s="6" t="s">
        <v>69</v>
      </c>
      <c r="E648" s="6" t="s">
        <v>18</v>
      </c>
      <c r="F648" s="6">
        <v>1647</v>
      </c>
      <c r="G648" s="6">
        <v>173867.8</v>
      </c>
      <c r="H648" s="7">
        <v>41697</v>
      </c>
      <c r="I648" s="6" t="s">
        <v>63</v>
      </c>
      <c r="J648" s="6" t="s">
        <v>1350</v>
      </c>
      <c r="K648" s="6" t="s">
        <v>30</v>
      </c>
      <c r="L648" s="6" t="s">
        <v>31</v>
      </c>
      <c r="M648" s="6" t="s">
        <v>32</v>
      </c>
      <c r="N648" s="6">
        <v>1.63</v>
      </c>
      <c r="O648" s="6">
        <v>75</v>
      </c>
    </row>
    <row r="649" spans="1:15" ht="14.25" customHeight="1" x14ac:dyDescent="0.3">
      <c r="A649" s="6" t="s">
        <v>1351</v>
      </c>
      <c r="B649" s="6">
        <v>38</v>
      </c>
      <c r="C649" s="6" t="s">
        <v>62</v>
      </c>
      <c r="D649" s="6" t="s">
        <v>17</v>
      </c>
      <c r="E649" s="6" t="s">
        <v>80</v>
      </c>
      <c r="F649" s="6">
        <v>1648</v>
      </c>
      <c r="G649" s="6">
        <v>101529.57</v>
      </c>
      <c r="H649" s="7">
        <v>42258</v>
      </c>
      <c r="I649" s="6" t="s">
        <v>66</v>
      </c>
      <c r="J649" s="6" t="s">
        <v>1352</v>
      </c>
      <c r="K649" s="6" t="s">
        <v>37</v>
      </c>
      <c r="L649" s="6" t="s">
        <v>38</v>
      </c>
      <c r="M649" s="6" t="s">
        <v>39</v>
      </c>
      <c r="N649" s="6">
        <v>3.14</v>
      </c>
      <c r="O649" s="6">
        <v>29</v>
      </c>
    </row>
    <row r="650" spans="1:15" ht="14.25" customHeight="1" x14ac:dyDescent="0.3">
      <c r="A650" s="6" t="s">
        <v>1353</v>
      </c>
      <c r="B650" s="6">
        <v>64</v>
      </c>
      <c r="C650" s="6" t="s">
        <v>25</v>
      </c>
      <c r="D650" s="6" t="s">
        <v>69</v>
      </c>
      <c r="E650" s="6" t="s">
        <v>80</v>
      </c>
      <c r="F650" s="6">
        <v>1649</v>
      </c>
      <c r="G650" s="6">
        <v>127649.35</v>
      </c>
      <c r="H650" s="7">
        <v>44418</v>
      </c>
      <c r="I650" s="6" t="s">
        <v>70</v>
      </c>
      <c r="J650" s="6" t="s">
        <v>1354</v>
      </c>
      <c r="K650" s="6" t="s">
        <v>43</v>
      </c>
      <c r="L650" s="6" t="s">
        <v>44</v>
      </c>
      <c r="M650" s="6" t="s">
        <v>45</v>
      </c>
      <c r="N650" s="6">
        <v>1.21</v>
      </c>
      <c r="O650" s="6">
        <v>197</v>
      </c>
    </row>
    <row r="651" spans="1:15" ht="14.25" customHeight="1" x14ac:dyDescent="0.3">
      <c r="A651" s="6" t="s">
        <v>1355</v>
      </c>
      <c r="B651" s="6">
        <v>50</v>
      </c>
      <c r="C651" s="6" t="s">
        <v>62</v>
      </c>
      <c r="D651" s="6" t="s">
        <v>26</v>
      </c>
      <c r="E651" s="6" t="s">
        <v>34</v>
      </c>
      <c r="F651" s="6">
        <v>1650</v>
      </c>
      <c r="G651" s="6">
        <v>136504.01999999999</v>
      </c>
      <c r="H651" s="7">
        <v>43367</v>
      </c>
      <c r="I651" s="6" t="s">
        <v>73</v>
      </c>
      <c r="J651" s="6" t="s">
        <v>1356</v>
      </c>
      <c r="K651" s="6" t="s">
        <v>51</v>
      </c>
      <c r="L651" s="6" t="s">
        <v>52</v>
      </c>
      <c r="M651" s="6" t="s">
        <v>53</v>
      </c>
      <c r="N651" s="6">
        <v>2.75</v>
      </c>
      <c r="O651" s="6">
        <v>176</v>
      </c>
    </row>
    <row r="652" spans="1:15" ht="14.25" customHeight="1" x14ac:dyDescent="0.3">
      <c r="A652" s="6" t="s">
        <v>1357</v>
      </c>
      <c r="B652" s="6">
        <v>48</v>
      </c>
      <c r="C652" s="6" t="s">
        <v>25</v>
      </c>
      <c r="D652" s="6" t="s">
        <v>55</v>
      </c>
      <c r="E652" s="6" t="s">
        <v>27</v>
      </c>
      <c r="F652" s="6">
        <v>1651</v>
      </c>
      <c r="G652" s="6">
        <v>188112.37</v>
      </c>
      <c r="H652" s="7">
        <v>39084</v>
      </c>
      <c r="I652" s="6" t="s">
        <v>19</v>
      </c>
      <c r="J652" s="6" t="s">
        <v>1358</v>
      </c>
      <c r="K652" s="6" t="s">
        <v>21</v>
      </c>
      <c r="L652" s="6" t="s">
        <v>22</v>
      </c>
      <c r="M652" s="6" t="s">
        <v>23</v>
      </c>
      <c r="N652" s="6">
        <v>1.28</v>
      </c>
      <c r="O652" s="6">
        <v>179</v>
      </c>
    </row>
    <row r="653" spans="1:15" ht="14.25" customHeight="1" x14ac:dyDescent="0.3">
      <c r="A653" s="6" t="s">
        <v>1359</v>
      </c>
      <c r="B653" s="6">
        <v>45</v>
      </c>
      <c r="C653" s="6" t="s">
        <v>62</v>
      </c>
      <c r="D653" s="6" t="s">
        <v>55</v>
      </c>
      <c r="E653" s="6" t="s">
        <v>18</v>
      </c>
      <c r="F653" s="6">
        <v>1652</v>
      </c>
      <c r="G653" s="6">
        <v>65045.99</v>
      </c>
      <c r="H653" s="7">
        <v>44721</v>
      </c>
      <c r="I653" s="6" t="s">
        <v>28</v>
      </c>
      <c r="J653" s="6" t="s">
        <v>1360</v>
      </c>
      <c r="K653" s="6" t="s">
        <v>30</v>
      </c>
      <c r="L653" s="6" t="s">
        <v>31</v>
      </c>
      <c r="M653" s="6" t="s">
        <v>32</v>
      </c>
      <c r="N653" s="6">
        <v>2.58</v>
      </c>
      <c r="O653" s="6">
        <v>118</v>
      </c>
    </row>
    <row r="654" spans="1:15" ht="14.25" customHeight="1" x14ac:dyDescent="0.3">
      <c r="A654" s="6" t="s">
        <v>1361</v>
      </c>
      <c r="B654" s="6">
        <v>24</v>
      </c>
      <c r="C654" s="6" t="s">
        <v>16</v>
      </c>
      <c r="D654" s="6" t="s">
        <v>17</v>
      </c>
      <c r="E654" s="6" t="s">
        <v>18</v>
      </c>
      <c r="F654" s="6">
        <v>1653</v>
      </c>
      <c r="G654" s="6">
        <v>195862.91</v>
      </c>
      <c r="H654" s="7">
        <v>43951</v>
      </c>
      <c r="I654" s="6" t="s">
        <v>35</v>
      </c>
      <c r="J654" s="6" t="s">
        <v>1362</v>
      </c>
      <c r="K654" s="6" t="s">
        <v>37</v>
      </c>
      <c r="L654" s="6" t="s">
        <v>38</v>
      </c>
      <c r="M654" s="6" t="s">
        <v>39</v>
      </c>
      <c r="N654" s="6">
        <v>4.4000000000000004</v>
      </c>
      <c r="O654" s="6">
        <v>166</v>
      </c>
    </row>
    <row r="655" spans="1:15" ht="14.25" customHeight="1" x14ac:dyDescent="0.3">
      <c r="A655" s="6" t="s">
        <v>1363</v>
      </c>
      <c r="B655" s="6">
        <v>60</v>
      </c>
      <c r="C655" s="6" t="s">
        <v>62</v>
      </c>
      <c r="D655" s="6" t="s">
        <v>69</v>
      </c>
      <c r="E655" s="6" t="s">
        <v>48</v>
      </c>
      <c r="F655" s="6">
        <v>1654</v>
      </c>
      <c r="G655" s="6">
        <v>116902.96</v>
      </c>
      <c r="H655" s="7">
        <v>39565</v>
      </c>
      <c r="I655" s="6" t="s">
        <v>41</v>
      </c>
      <c r="J655" s="6" t="s">
        <v>1364</v>
      </c>
      <c r="K655" s="6" t="s">
        <v>43</v>
      </c>
      <c r="L655" s="6" t="s">
        <v>44</v>
      </c>
      <c r="M655" s="6" t="s">
        <v>45</v>
      </c>
      <c r="N655" s="6">
        <v>1.1599999999999999</v>
      </c>
      <c r="O655" s="6">
        <v>32</v>
      </c>
    </row>
    <row r="656" spans="1:15" ht="14.25" customHeight="1" x14ac:dyDescent="0.3">
      <c r="A656" s="6" t="s">
        <v>1365</v>
      </c>
      <c r="B656" s="6">
        <v>31</v>
      </c>
      <c r="C656" s="6" t="s">
        <v>62</v>
      </c>
      <c r="D656" s="6" t="s">
        <v>47</v>
      </c>
      <c r="E656" s="6" t="s">
        <v>80</v>
      </c>
      <c r="F656" s="6">
        <v>1655</v>
      </c>
      <c r="G656" s="6">
        <v>127929.26</v>
      </c>
      <c r="H656" s="7">
        <v>37151</v>
      </c>
      <c r="I656" s="6" t="s">
        <v>49</v>
      </c>
      <c r="J656" s="6" t="s">
        <v>1366</v>
      </c>
      <c r="K656" s="6" t="s">
        <v>51</v>
      </c>
      <c r="L656" s="6" t="s">
        <v>52</v>
      </c>
      <c r="M656" s="6" t="s">
        <v>53</v>
      </c>
      <c r="N656" s="6">
        <v>3.94</v>
      </c>
      <c r="O656" s="6">
        <v>18</v>
      </c>
    </row>
    <row r="657" spans="1:15" ht="14.25" customHeight="1" x14ac:dyDescent="0.3">
      <c r="A657" s="6" t="s">
        <v>1367</v>
      </c>
      <c r="B657" s="6">
        <v>24</v>
      </c>
      <c r="C657" s="6" t="s">
        <v>62</v>
      </c>
      <c r="D657" s="6" t="s">
        <v>55</v>
      </c>
      <c r="E657" s="6" t="s">
        <v>18</v>
      </c>
      <c r="F657" s="6">
        <v>1656</v>
      </c>
      <c r="G657" s="6">
        <v>198719.92</v>
      </c>
      <c r="H657" s="7">
        <v>36665</v>
      </c>
      <c r="I657" s="6" t="s">
        <v>56</v>
      </c>
      <c r="J657" s="6" t="s">
        <v>1368</v>
      </c>
      <c r="K657" s="6" t="s">
        <v>21</v>
      </c>
      <c r="L657" s="6" t="s">
        <v>22</v>
      </c>
      <c r="M657" s="6" t="s">
        <v>23</v>
      </c>
      <c r="N657" s="6">
        <v>3.71</v>
      </c>
      <c r="O657" s="6">
        <v>42</v>
      </c>
    </row>
    <row r="658" spans="1:15" ht="14.25" customHeight="1" x14ac:dyDescent="0.3">
      <c r="A658" s="6" t="s">
        <v>1369</v>
      </c>
      <c r="B658" s="6">
        <v>63</v>
      </c>
      <c r="C658" s="6" t="s">
        <v>62</v>
      </c>
      <c r="D658" s="6" t="s">
        <v>47</v>
      </c>
      <c r="E658" s="6" t="s">
        <v>80</v>
      </c>
      <c r="F658" s="6">
        <v>1657</v>
      </c>
      <c r="G658" s="6">
        <v>76363.62</v>
      </c>
      <c r="H658" s="7">
        <v>37496</v>
      </c>
      <c r="I658" s="6" t="s">
        <v>63</v>
      </c>
      <c r="J658" s="6" t="s">
        <v>1370</v>
      </c>
      <c r="K658" s="6" t="s">
        <v>30</v>
      </c>
      <c r="L658" s="6" t="s">
        <v>31</v>
      </c>
      <c r="M658" s="6" t="s">
        <v>32</v>
      </c>
      <c r="N658" s="6">
        <v>4.84</v>
      </c>
      <c r="O658" s="6">
        <v>179</v>
      </c>
    </row>
    <row r="659" spans="1:15" ht="14.25" customHeight="1" x14ac:dyDescent="0.3">
      <c r="A659" s="6" t="s">
        <v>1371</v>
      </c>
      <c r="B659" s="6">
        <v>47</v>
      </c>
      <c r="C659" s="6" t="s">
        <v>25</v>
      </c>
      <c r="D659" s="6" t="s">
        <v>69</v>
      </c>
      <c r="E659" s="6" t="s">
        <v>34</v>
      </c>
      <c r="F659" s="6">
        <v>1658</v>
      </c>
      <c r="G659" s="6">
        <v>160291.63</v>
      </c>
      <c r="H659" s="7">
        <v>41456</v>
      </c>
      <c r="I659" s="6" t="s">
        <v>66</v>
      </c>
      <c r="J659" s="6" t="s">
        <v>1372</v>
      </c>
      <c r="K659" s="6" t="s">
        <v>37</v>
      </c>
      <c r="L659" s="6" t="s">
        <v>38</v>
      </c>
      <c r="M659" s="6" t="s">
        <v>39</v>
      </c>
      <c r="N659" s="6">
        <v>2.11</v>
      </c>
      <c r="O659" s="6">
        <v>121</v>
      </c>
    </row>
    <row r="660" spans="1:15" ht="14.25" customHeight="1" x14ac:dyDescent="0.3">
      <c r="A660" s="6" t="s">
        <v>1373</v>
      </c>
      <c r="B660" s="6">
        <v>58</v>
      </c>
      <c r="C660" s="6" t="s">
        <v>16</v>
      </c>
      <c r="D660" s="6" t="s">
        <v>69</v>
      </c>
      <c r="E660" s="6" t="s">
        <v>18</v>
      </c>
      <c r="F660" s="6">
        <v>1659</v>
      </c>
      <c r="G660" s="6">
        <v>152458.94</v>
      </c>
      <c r="H660" s="7">
        <v>39347</v>
      </c>
      <c r="I660" s="6" t="s">
        <v>70</v>
      </c>
      <c r="J660" s="6" t="s">
        <v>1374</v>
      </c>
      <c r="K660" s="6" t="s">
        <v>43</v>
      </c>
      <c r="L660" s="6" t="s">
        <v>44</v>
      </c>
      <c r="M660" s="6" t="s">
        <v>45</v>
      </c>
      <c r="N660" s="6">
        <v>2.64</v>
      </c>
      <c r="O660" s="6">
        <v>116</v>
      </c>
    </row>
    <row r="661" spans="1:15" ht="14.25" customHeight="1" x14ac:dyDescent="0.3">
      <c r="A661" s="6" t="s">
        <v>1375</v>
      </c>
      <c r="B661" s="6">
        <v>48</v>
      </c>
      <c r="C661" s="6" t="s">
        <v>16</v>
      </c>
      <c r="D661" s="6" t="s">
        <v>47</v>
      </c>
      <c r="E661" s="6" t="s">
        <v>48</v>
      </c>
      <c r="F661" s="6">
        <v>1660</v>
      </c>
      <c r="G661" s="6">
        <v>83624.28</v>
      </c>
      <c r="H661" s="7">
        <v>38717</v>
      </c>
      <c r="I661" s="6" t="s">
        <v>73</v>
      </c>
      <c r="J661" s="6" t="s">
        <v>1376</v>
      </c>
      <c r="K661" s="6" t="s">
        <v>51</v>
      </c>
      <c r="L661" s="6" t="s">
        <v>52</v>
      </c>
      <c r="M661" s="6" t="s">
        <v>53</v>
      </c>
      <c r="N661" s="6">
        <v>2.4500000000000002</v>
      </c>
      <c r="O661" s="6">
        <v>49</v>
      </c>
    </row>
    <row r="662" spans="1:15" ht="14.25" customHeight="1" x14ac:dyDescent="0.3">
      <c r="A662" s="6" t="s">
        <v>1377</v>
      </c>
      <c r="B662" s="6">
        <v>26</v>
      </c>
      <c r="C662" s="6" t="s">
        <v>62</v>
      </c>
      <c r="D662" s="6" t="s">
        <v>17</v>
      </c>
      <c r="E662" s="6" t="s">
        <v>80</v>
      </c>
      <c r="F662" s="6">
        <v>1661</v>
      </c>
      <c r="G662" s="6">
        <v>194938.78</v>
      </c>
      <c r="H662" s="7">
        <v>39979</v>
      </c>
      <c r="I662" s="6" t="s">
        <v>19</v>
      </c>
      <c r="J662" s="6" t="s">
        <v>1378</v>
      </c>
      <c r="K662" s="6" t="s">
        <v>21</v>
      </c>
      <c r="L662" s="6" t="s">
        <v>22</v>
      </c>
      <c r="M662" s="6" t="s">
        <v>23</v>
      </c>
      <c r="N662" s="6">
        <v>1.67</v>
      </c>
      <c r="O662" s="6">
        <v>129</v>
      </c>
    </row>
    <row r="663" spans="1:15" ht="14.25" customHeight="1" x14ac:dyDescent="0.3">
      <c r="A663" s="6" t="s">
        <v>1379</v>
      </c>
      <c r="B663" s="6">
        <v>63</v>
      </c>
      <c r="C663" s="6" t="s">
        <v>62</v>
      </c>
      <c r="D663" s="6" t="s">
        <v>47</v>
      </c>
      <c r="E663" s="6" t="s">
        <v>27</v>
      </c>
      <c r="F663" s="6">
        <v>1662</v>
      </c>
      <c r="G663" s="6">
        <v>55487.42</v>
      </c>
      <c r="H663" s="7">
        <v>36796</v>
      </c>
      <c r="I663" s="6" t="s">
        <v>28</v>
      </c>
      <c r="J663" s="6" t="s">
        <v>1380</v>
      </c>
      <c r="K663" s="6" t="s">
        <v>30</v>
      </c>
      <c r="L663" s="6" t="s">
        <v>31</v>
      </c>
      <c r="M663" s="6" t="s">
        <v>32</v>
      </c>
      <c r="N663" s="6">
        <v>3.47</v>
      </c>
      <c r="O663" s="6">
        <v>199</v>
      </c>
    </row>
    <row r="664" spans="1:15" ht="14.25" customHeight="1" x14ac:dyDescent="0.3">
      <c r="A664" s="6" t="s">
        <v>1381</v>
      </c>
      <c r="B664" s="6">
        <v>32</v>
      </c>
      <c r="C664" s="6" t="s">
        <v>16</v>
      </c>
      <c r="D664" s="6" t="s">
        <v>26</v>
      </c>
      <c r="E664" s="6" t="s">
        <v>80</v>
      </c>
      <c r="F664" s="6">
        <v>1663</v>
      </c>
      <c r="G664" s="6">
        <v>149090.34</v>
      </c>
      <c r="H664" s="7">
        <v>41880</v>
      </c>
      <c r="I664" s="6" t="s">
        <v>35</v>
      </c>
      <c r="J664" s="6" t="s">
        <v>1382</v>
      </c>
      <c r="K664" s="6" t="s">
        <v>37</v>
      </c>
      <c r="L664" s="6" t="s">
        <v>38</v>
      </c>
      <c r="M664" s="6" t="s">
        <v>39</v>
      </c>
      <c r="N664" s="6">
        <v>4.45</v>
      </c>
      <c r="O664" s="6">
        <v>128</v>
      </c>
    </row>
    <row r="665" spans="1:15" ht="14.25" customHeight="1" x14ac:dyDescent="0.3">
      <c r="A665" s="6" t="s">
        <v>1383</v>
      </c>
      <c r="B665" s="6">
        <v>34</v>
      </c>
      <c r="C665" s="6" t="s">
        <v>16</v>
      </c>
      <c r="D665" s="6" t="s">
        <v>47</v>
      </c>
      <c r="E665" s="6" t="s">
        <v>80</v>
      </c>
      <c r="F665" s="6">
        <v>1664</v>
      </c>
      <c r="G665" s="6">
        <v>181032.33</v>
      </c>
      <c r="H665" s="7">
        <v>43107</v>
      </c>
      <c r="I665" s="6" t="s">
        <v>41</v>
      </c>
      <c r="J665" s="6" t="s">
        <v>1384</v>
      </c>
      <c r="K665" s="6" t="s">
        <v>43</v>
      </c>
      <c r="L665" s="6" t="s">
        <v>44</v>
      </c>
      <c r="M665" s="6" t="s">
        <v>45</v>
      </c>
      <c r="N665" s="6">
        <v>4.72</v>
      </c>
      <c r="O665" s="6">
        <v>106</v>
      </c>
    </row>
    <row r="666" spans="1:15" ht="14.25" customHeight="1" x14ac:dyDescent="0.3">
      <c r="A666" s="6" t="s">
        <v>1385</v>
      </c>
      <c r="B666" s="6">
        <v>62</v>
      </c>
      <c r="C666" s="6" t="s">
        <v>16</v>
      </c>
      <c r="D666" s="6" t="s">
        <v>47</v>
      </c>
      <c r="E666" s="6" t="s">
        <v>27</v>
      </c>
      <c r="F666" s="6">
        <v>1665</v>
      </c>
      <c r="G666" s="6">
        <v>110052.66</v>
      </c>
      <c r="H666" s="7">
        <v>38893</v>
      </c>
      <c r="I666" s="6" t="s">
        <v>49</v>
      </c>
      <c r="J666" s="6" t="s">
        <v>1386</v>
      </c>
      <c r="K666" s="6" t="s">
        <v>51</v>
      </c>
      <c r="L666" s="6" t="s">
        <v>52</v>
      </c>
      <c r="M666" s="6" t="s">
        <v>53</v>
      </c>
      <c r="N666" s="6">
        <v>3.85</v>
      </c>
      <c r="O666" s="6">
        <v>91</v>
      </c>
    </row>
    <row r="667" spans="1:15" ht="14.25" customHeight="1" x14ac:dyDescent="0.3">
      <c r="A667" s="6" t="s">
        <v>1387</v>
      </c>
      <c r="B667" s="6">
        <v>55</v>
      </c>
      <c r="C667" s="6" t="s">
        <v>16</v>
      </c>
      <c r="D667" s="6" t="s">
        <v>17</v>
      </c>
      <c r="E667" s="6" t="s">
        <v>80</v>
      </c>
      <c r="F667" s="6">
        <v>1666</v>
      </c>
      <c r="G667" s="6">
        <v>116486.61</v>
      </c>
      <c r="H667" s="7">
        <v>41282</v>
      </c>
      <c r="I667" s="6" t="s">
        <v>56</v>
      </c>
      <c r="J667" s="6" t="s">
        <v>1388</v>
      </c>
      <c r="K667" s="6" t="s">
        <v>21</v>
      </c>
      <c r="L667" s="6" t="s">
        <v>22</v>
      </c>
      <c r="M667" s="6" t="s">
        <v>23</v>
      </c>
      <c r="N667" s="6">
        <v>3.05</v>
      </c>
      <c r="O667" s="6">
        <v>123</v>
      </c>
    </row>
    <row r="668" spans="1:15" ht="14.25" customHeight="1" x14ac:dyDescent="0.3">
      <c r="A668" s="6" t="s">
        <v>1389</v>
      </c>
      <c r="B668" s="6">
        <v>59</v>
      </c>
      <c r="C668" s="6" t="s">
        <v>62</v>
      </c>
      <c r="D668" s="6" t="s">
        <v>26</v>
      </c>
      <c r="E668" s="6" t="s">
        <v>34</v>
      </c>
      <c r="F668" s="6">
        <v>1667</v>
      </c>
      <c r="G668" s="6">
        <v>59861.93</v>
      </c>
      <c r="H668" s="7">
        <v>43059</v>
      </c>
      <c r="I668" s="6" t="s">
        <v>63</v>
      </c>
      <c r="J668" s="6" t="s">
        <v>1390</v>
      </c>
      <c r="K668" s="6" t="s">
        <v>30</v>
      </c>
      <c r="L668" s="6" t="s">
        <v>31</v>
      </c>
      <c r="M668" s="6" t="s">
        <v>32</v>
      </c>
      <c r="N668" s="6">
        <v>3.96</v>
      </c>
      <c r="O668" s="6">
        <v>44</v>
      </c>
    </row>
    <row r="669" spans="1:15" ht="14.25" customHeight="1" x14ac:dyDescent="0.3">
      <c r="A669" s="6" t="s">
        <v>1391</v>
      </c>
      <c r="B669" s="6">
        <v>61</v>
      </c>
      <c r="C669" s="6" t="s">
        <v>16</v>
      </c>
      <c r="D669" s="6" t="s">
        <v>69</v>
      </c>
      <c r="E669" s="6" t="s">
        <v>18</v>
      </c>
      <c r="F669" s="6">
        <v>1668</v>
      </c>
      <c r="G669" s="6">
        <v>89493.53</v>
      </c>
      <c r="H669" s="7">
        <v>40673</v>
      </c>
      <c r="I669" s="6" t="s">
        <v>66</v>
      </c>
      <c r="J669" s="6" t="s">
        <v>1392</v>
      </c>
      <c r="K669" s="6" t="s">
        <v>37</v>
      </c>
      <c r="L669" s="6" t="s">
        <v>38</v>
      </c>
      <c r="M669" s="6" t="s">
        <v>39</v>
      </c>
      <c r="N669" s="6">
        <v>4.4800000000000004</v>
      </c>
      <c r="O669" s="6">
        <v>26</v>
      </c>
    </row>
    <row r="670" spans="1:15" ht="14.25" customHeight="1" x14ac:dyDescent="0.3">
      <c r="A670" s="6" t="s">
        <v>1393</v>
      </c>
      <c r="B670" s="6">
        <v>54</v>
      </c>
      <c r="C670" s="6" t="s">
        <v>62</v>
      </c>
      <c r="D670" s="6" t="s">
        <v>26</v>
      </c>
      <c r="E670" s="6" t="s">
        <v>18</v>
      </c>
      <c r="F670" s="6">
        <v>1669</v>
      </c>
      <c r="G670" s="6">
        <v>157490.16</v>
      </c>
      <c r="H670" s="7">
        <v>41154</v>
      </c>
      <c r="I670" s="6" t="s">
        <v>70</v>
      </c>
      <c r="J670" s="6" t="s">
        <v>1394</v>
      </c>
      <c r="K670" s="6" t="s">
        <v>43</v>
      </c>
      <c r="L670" s="6" t="s">
        <v>44</v>
      </c>
      <c r="M670" s="6" t="s">
        <v>45</v>
      </c>
      <c r="N670" s="6">
        <v>1.69</v>
      </c>
      <c r="O670" s="6">
        <v>87</v>
      </c>
    </row>
    <row r="671" spans="1:15" ht="14.25" customHeight="1" x14ac:dyDescent="0.3">
      <c r="A671" s="6" t="s">
        <v>1395</v>
      </c>
      <c r="B671" s="6">
        <v>55</v>
      </c>
      <c r="C671" s="6" t="s">
        <v>62</v>
      </c>
      <c r="D671" s="6" t="s">
        <v>47</v>
      </c>
      <c r="E671" s="6" t="s">
        <v>18</v>
      </c>
      <c r="F671" s="6">
        <v>1670</v>
      </c>
      <c r="G671" s="6">
        <v>197344.94</v>
      </c>
      <c r="H671" s="7">
        <v>43154</v>
      </c>
      <c r="I671" s="6" t="s">
        <v>73</v>
      </c>
      <c r="J671" s="6" t="s">
        <v>1396</v>
      </c>
      <c r="K671" s="6" t="s">
        <v>51</v>
      </c>
      <c r="L671" s="6" t="s">
        <v>52</v>
      </c>
      <c r="M671" s="6" t="s">
        <v>53</v>
      </c>
      <c r="N671" s="6">
        <v>3.96</v>
      </c>
      <c r="O671" s="6">
        <v>173</v>
      </c>
    </row>
    <row r="672" spans="1:15" ht="14.25" customHeight="1" x14ac:dyDescent="0.3">
      <c r="A672" s="6" t="s">
        <v>1397</v>
      </c>
      <c r="B672" s="6">
        <v>48</v>
      </c>
      <c r="C672" s="6" t="s">
        <v>16</v>
      </c>
      <c r="D672" s="6" t="s">
        <v>69</v>
      </c>
      <c r="E672" s="6" t="s">
        <v>80</v>
      </c>
      <c r="F672" s="6">
        <v>1671</v>
      </c>
      <c r="G672" s="6">
        <v>101753.24</v>
      </c>
      <c r="H672" s="7">
        <v>42721</v>
      </c>
      <c r="I672" s="6" t="s">
        <v>19</v>
      </c>
      <c r="J672" s="6" t="s">
        <v>1398</v>
      </c>
      <c r="K672" s="6" t="s">
        <v>21</v>
      </c>
      <c r="L672" s="6" t="s">
        <v>22</v>
      </c>
      <c r="M672" s="6" t="s">
        <v>23</v>
      </c>
      <c r="N672" s="6">
        <v>4.97</v>
      </c>
      <c r="O672" s="6">
        <v>99</v>
      </c>
    </row>
    <row r="673" spans="1:15" ht="14.25" customHeight="1" x14ac:dyDescent="0.3">
      <c r="A673" s="6" t="s">
        <v>1399</v>
      </c>
      <c r="B673" s="6">
        <v>57</v>
      </c>
      <c r="C673" s="6" t="s">
        <v>25</v>
      </c>
      <c r="D673" s="6" t="s">
        <v>17</v>
      </c>
      <c r="E673" s="6" t="s">
        <v>27</v>
      </c>
      <c r="F673" s="6">
        <v>1672</v>
      </c>
      <c r="G673" s="6">
        <v>72219.520000000004</v>
      </c>
      <c r="H673" s="7">
        <v>43503</v>
      </c>
      <c r="I673" s="6" t="s">
        <v>28</v>
      </c>
      <c r="J673" s="6" t="s">
        <v>1400</v>
      </c>
      <c r="K673" s="6" t="s">
        <v>30</v>
      </c>
      <c r="L673" s="6" t="s">
        <v>31</v>
      </c>
      <c r="M673" s="6" t="s">
        <v>32</v>
      </c>
      <c r="N673" s="6">
        <v>2.5299999999999998</v>
      </c>
      <c r="O673" s="6">
        <v>34</v>
      </c>
    </row>
    <row r="674" spans="1:15" ht="14.25" customHeight="1" x14ac:dyDescent="0.3">
      <c r="A674" s="6" t="s">
        <v>1401</v>
      </c>
      <c r="B674" s="6">
        <v>47</v>
      </c>
      <c r="C674" s="6" t="s">
        <v>62</v>
      </c>
      <c r="D674" s="6" t="s">
        <v>69</v>
      </c>
      <c r="E674" s="6" t="s">
        <v>80</v>
      </c>
      <c r="F674" s="6">
        <v>1673</v>
      </c>
      <c r="G674" s="6">
        <v>63934.27</v>
      </c>
      <c r="H674" s="7">
        <v>43588</v>
      </c>
      <c r="I674" s="6" t="s">
        <v>35</v>
      </c>
      <c r="J674" s="6" t="s">
        <v>1402</v>
      </c>
      <c r="K674" s="6" t="s">
        <v>37</v>
      </c>
      <c r="L674" s="6" t="s">
        <v>38</v>
      </c>
      <c r="M674" s="6" t="s">
        <v>39</v>
      </c>
      <c r="N674" s="6">
        <v>4.9400000000000004</v>
      </c>
      <c r="O674" s="6">
        <v>162</v>
      </c>
    </row>
    <row r="675" spans="1:15" ht="14.25" customHeight="1" x14ac:dyDescent="0.3">
      <c r="A675" s="6" t="s">
        <v>1403</v>
      </c>
      <c r="B675" s="6">
        <v>46</v>
      </c>
      <c r="C675" s="6" t="s">
        <v>16</v>
      </c>
      <c r="D675" s="6" t="s">
        <v>17</v>
      </c>
      <c r="E675" s="6" t="s">
        <v>18</v>
      </c>
      <c r="F675" s="6">
        <v>1674</v>
      </c>
      <c r="G675" s="6">
        <v>77055.44</v>
      </c>
      <c r="H675" s="7">
        <v>36819</v>
      </c>
      <c r="I675" s="6" t="s">
        <v>41</v>
      </c>
      <c r="J675" s="6" t="s">
        <v>1404</v>
      </c>
      <c r="K675" s="6" t="s">
        <v>43</v>
      </c>
      <c r="L675" s="6" t="s">
        <v>44</v>
      </c>
      <c r="M675" s="6" t="s">
        <v>45</v>
      </c>
      <c r="N675" s="6">
        <v>1.87</v>
      </c>
      <c r="O675" s="6">
        <v>77</v>
      </c>
    </row>
    <row r="676" spans="1:15" ht="14.25" customHeight="1" x14ac:dyDescent="0.3">
      <c r="A676" s="6" t="s">
        <v>1405</v>
      </c>
      <c r="B676" s="6">
        <v>40</v>
      </c>
      <c r="C676" s="6" t="s">
        <v>62</v>
      </c>
      <c r="D676" s="6" t="s">
        <v>47</v>
      </c>
      <c r="E676" s="6" t="s">
        <v>27</v>
      </c>
      <c r="F676" s="6">
        <v>1675</v>
      </c>
      <c r="G676" s="6">
        <v>66656.039999999994</v>
      </c>
      <c r="H676" s="7">
        <v>42621</v>
      </c>
      <c r="I676" s="6" t="s">
        <v>49</v>
      </c>
      <c r="J676" s="6" t="s">
        <v>1406</v>
      </c>
      <c r="K676" s="6" t="s">
        <v>51</v>
      </c>
      <c r="L676" s="6" t="s">
        <v>52</v>
      </c>
      <c r="M676" s="6" t="s">
        <v>53</v>
      </c>
      <c r="N676" s="6">
        <v>2.09</v>
      </c>
      <c r="O676" s="6">
        <v>87</v>
      </c>
    </row>
    <row r="677" spans="1:15" ht="14.25" customHeight="1" x14ac:dyDescent="0.3">
      <c r="A677" s="6" t="s">
        <v>1407</v>
      </c>
      <c r="B677" s="6">
        <v>42</v>
      </c>
      <c r="C677" s="6" t="s">
        <v>25</v>
      </c>
      <c r="D677" s="6" t="s">
        <v>26</v>
      </c>
      <c r="E677" s="6" t="s">
        <v>18</v>
      </c>
      <c r="F677" s="6">
        <v>1676</v>
      </c>
      <c r="G677" s="6">
        <v>174476.17</v>
      </c>
      <c r="H677" s="7">
        <v>38850</v>
      </c>
      <c r="I677" s="6" t="s">
        <v>56</v>
      </c>
      <c r="J677" s="6" t="s">
        <v>1408</v>
      </c>
      <c r="K677" s="6" t="s">
        <v>21</v>
      </c>
      <c r="L677" s="6" t="s">
        <v>22</v>
      </c>
      <c r="M677" s="6" t="s">
        <v>23</v>
      </c>
      <c r="N677" s="6">
        <v>2.11</v>
      </c>
      <c r="O677" s="6">
        <v>35</v>
      </c>
    </row>
    <row r="678" spans="1:15" ht="14.25" customHeight="1" x14ac:dyDescent="0.3">
      <c r="A678" s="6" t="s">
        <v>1409</v>
      </c>
      <c r="B678" s="6">
        <v>52</v>
      </c>
      <c r="C678" s="6" t="s">
        <v>16</v>
      </c>
      <c r="D678" s="6" t="s">
        <v>26</v>
      </c>
      <c r="E678" s="6" t="s">
        <v>18</v>
      </c>
      <c r="F678" s="6">
        <v>1677</v>
      </c>
      <c r="G678" s="6">
        <v>107513.21</v>
      </c>
      <c r="H678" s="7">
        <v>38312</v>
      </c>
      <c r="I678" s="6" t="s">
        <v>63</v>
      </c>
      <c r="J678" s="6" t="s">
        <v>1410</v>
      </c>
      <c r="K678" s="6" t="s">
        <v>30</v>
      </c>
      <c r="L678" s="6" t="s">
        <v>31</v>
      </c>
      <c r="M678" s="6" t="s">
        <v>32</v>
      </c>
      <c r="N678" s="6">
        <v>3.41</v>
      </c>
      <c r="O678" s="6">
        <v>125</v>
      </c>
    </row>
    <row r="679" spans="1:15" ht="14.25" customHeight="1" x14ac:dyDescent="0.3">
      <c r="A679" s="6" t="s">
        <v>1411</v>
      </c>
      <c r="B679" s="6">
        <v>50</v>
      </c>
      <c r="C679" s="6" t="s">
        <v>62</v>
      </c>
      <c r="D679" s="6" t="s">
        <v>26</v>
      </c>
      <c r="E679" s="6" t="s">
        <v>34</v>
      </c>
      <c r="F679" s="6">
        <v>1678</v>
      </c>
      <c r="G679" s="6">
        <v>109690.63</v>
      </c>
      <c r="H679" s="7">
        <v>38298</v>
      </c>
      <c r="I679" s="6" t="s">
        <v>66</v>
      </c>
      <c r="J679" s="6" t="s">
        <v>1412</v>
      </c>
      <c r="K679" s="6" t="s">
        <v>37</v>
      </c>
      <c r="L679" s="6" t="s">
        <v>38</v>
      </c>
      <c r="M679" s="6" t="s">
        <v>39</v>
      </c>
      <c r="N679" s="6">
        <v>4.33</v>
      </c>
      <c r="O679" s="6">
        <v>86</v>
      </c>
    </row>
    <row r="680" spans="1:15" ht="14.25" customHeight="1" x14ac:dyDescent="0.3">
      <c r="A680" s="6" t="s">
        <v>1413</v>
      </c>
      <c r="B680" s="6">
        <v>30</v>
      </c>
      <c r="C680" s="6" t="s">
        <v>25</v>
      </c>
      <c r="D680" s="6" t="s">
        <v>26</v>
      </c>
      <c r="E680" s="6" t="s">
        <v>34</v>
      </c>
      <c r="F680" s="6">
        <v>1679</v>
      </c>
      <c r="G680" s="6">
        <v>176548.6</v>
      </c>
      <c r="H680" s="7">
        <v>36754</v>
      </c>
      <c r="I680" s="6" t="s">
        <v>70</v>
      </c>
      <c r="J680" s="6" t="s">
        <v>1414</v>
      </c>
      <c r="K680" s="6" t="s">
        <v>43</v>
      </c>
      <c r="L680" s="6" t="s">
        <v>44</v>
      </c>
      <c r="M680" s="6" t="s">
        <v>45</v>
      </c>
      <c r="N680" s="6">
        <v>4.9800000000000004</v>
      </c>
      <c r="O680" s="6">
        <v>11</v>
      </c>
    </row>
    <row r="681" spans="1:15" ht="14.25" customHeight="1" x14ac:dyDescent="0.3">
      <c r="A681" s="6" t="s">
        <v>1415</v>
      </c>
      <c r="B681" s="6">
        <v>40</v>
      </c>
      <c r="C681" s="6" t="s">
        <v>25</v>
      </c>
      <c r="D681" s="6" t="s">
        <v>26</v>
      </c>
      <c r="E681" s="6" t="s">
        <v>80</v>
      </c>
      <c r="F681" s="6">
        <v>1680</v>
      </c>
      <c r="G681" s="6">
        <v>161305.68</v>
      </c>
      <c r="H681" s="7">
        <v>36696</v>
      </c>
      <c r="I681" s="6" t="s">
        <v>73</v>
      </c>
      <c r="J681" s="6" t="s">
        <v>1416</v>
      </c>
      <c r="K681" s="6" t="s">
        <v>51</v>
      </c>
      <c r="L681" s="6" t="s">
        <v>52</v>
      </c>
      <c r="M681" s="6" t="s">
        <v>53</v>
      </c>
      <c r="N681" s="6">
        <v>4.22</v>
      </c>
      <c r="O681" s="6">
        <v>67</v>
      </c>
    </row>
    <row r="682" spans="1:15" ht="14.25" customHeight="1" x14ac:dyDescent="0.3">
      <c r="A682" s="6" t="s">
        <v>1417</v>
      </c>
      <c r="B682" s="6">
        <v>47</v>
      </c>
      <c r="C682" s="6" t="s">
        <v>62</v>
      </c>
      <c r="D682" s="6" t="s">
        <v>55</v>
      </c>
      <c r="E682" s="6" t="s">
        <v>34</v>
      </c>
      <c r="F682" s="6">
        <v>1681</v>
      </c>
      <c r="G682" s="6">
        <v>129041.36</v>
      </c>
      <c r="H682" s="7">
        <v>36540</v>
      </c>
      <c r="I682" s="6" t="s">
        <v>19</v>
      </c>
      <c r="J682" s="6" t="s">
        <v>1418</v>
      </c>
      <c r="K682" s="6" t="s">
        <v>21</v>
      </c>
      <c r="L682" s="6" t="s">
        <v>22</v>
      </c>
      <c r="M682" s="6" t="s">
        <v>23</v>
      </c>
      <c r="N682" s="6">
        <v>2.4900000000000002</v>
      </c>
      <c r="O682" s="6">
        <v>189</v>
      </c>
    </row>
    <row r="683" spans="1:15" ht="14.25" customHeight="1" x14ac:dyDescent="0.3">
      <c r="A683" s="6" t="s">
        <v>1419</v>
      </c>
      <c r="B683" s="6">
        <v>46</v>
      </c>
      <c r="C683" s="6" t="s">
        <v>16</v>
      </c>
      <c r="D683" s="6" t="s">
        <v>47</v>
      </c>
      <c r="E683" s="6" t="s">
        <v>27</v>
      </c>
      <c r="F683" s="6">
        <v>1682</v>
      </c>
      <c r="G683" s="6">
        <v>124998.43</v>
      </c>
      <c r="H683" s="7">
        <v>38860</v>
      </c>
      <c r="I683" s="6" t="s">
        <v>28</v>
      </c>
      <c r="J683" s="6" t="s">
        <v>1420</v>
      </c>
      <c r="K683" s="6" t="s">
        <v>30</v>
      </c>
      <c r="L683" s="6" t="s">
        <v>31</v>
      </c>
      <c r="M683" s="6" t="s">
        <v>32</v>
      </c>
      <c r="N683" s="6">
        <v>1.64</v>
      </c>
      <c r="O683" s="6">
        <v>75</v>
      </c>
    </row>
    <row r="684" spans="1:15" ht="14.25" customHeight="1" x14ac:dyDescent="0.3">
      <c r="A684" s="6" t="s">
        <v>1421</v>
      </c>
      <c r="B684" s="6">
        <v>61</v>
      </c>
      <c r="C684" s="6" t="s">
        <v>16</v>
      </c>
      <c r="D684" s="6" t="s">
        <v>26</v>
      </c>
      <c r="E684" s="6" t="s">
        <v>48</v>
      </c>
      <c r="F684" s="6">
        <v>1683</v>
      </c>
      <c r="G684" s="6">
        <v>154489.60000000001</v>
      </c>
      <c r="H684" s="7">
        <v>42862</v>
      </c>
      <c r="I684" s="6" t="s">
        <v>35</v>
      </c>
      <c r="J684" s="6" t="s">
        <v>1422</v>
      </c>
      <c r="K684" s="6" t="s">
        <v>37</v>
      </c>
      <c r="L684" s="6" t="s">
        <v>38</v>
      </c>
      <c r="M684" s="6" t="s">
        <v>39</v>
      </c>
      <c r="N684" s="6">
        <v>4.5599999999999996</v>
      </c>
      <c r="O684" s="6">
        <v>34</v>
      </c>
    </row>
    <row r="685" spans="1:15" ht="14.25" customHeight="1" x14ac:dyDescent="0.3">
      <c r="A685" s="6" t="s">
        <v>1423</v>
      </c>
      <c r="B685" s="6">
        <v>64</v>
      </c>
      <c r="C685" s="6" t="s">
        <v>62</v>
      </c>
      <c r="D685" s="6" t="s">
        <v>26</v>
      </c>
      <c r="E685" s="6" t="s">
        <v>27</v>
      </c>
      <c r="F685" s="6">
        <v>1684</v>
      </c>
      <c r="G685" s="6">
        <v>138104.04</v>
      </c>
      <c r="H685" s="7">
        <v>41313</v>
      </c>
      <c r="I685" s="6" t="s">
        <v>41</v>
      </c>
      <c r="J685" s="6" t="s">
        <v>1424</v>
      </c>
      <c r="K685" s="6" t="s">
        <v>43</v>
      </c>
      <c r="L685" s="6" t="s">
        <v>44</v>
      </c>
      <c r="M685" s="6" t="s">
        <v>45</v>
      </c>
      <c r="N685" s="6">
        <v>3.71</v>
      </c>
      <c r="O685" s="6">
        <v>31</v>
      </c>
    </row>
    <row r="686" spans="1:15" ht="14.25" customHeight="1" x14ac:dyDescent="0.3">
      <c r="A686" s="6" t="s">
        <v>1425</v>
      </c>
      <c r="B686" s="6">
        <v>50</v>
      </c>
      <c r="C686" s="6" t="s">
        <v>25</v>
      </c>
      <c r="D686" s="6" t="s">
        <v>17</v>
      </c>
      <c r="E686" s="6" t="s">
        <v>18</v>
      </c>
      <c r="F686" s="6">
        <v>1685</v>
      </c>
      <c r="G686" s="6">
        <v>78273.56</v>
      </c>
      <c r="H686" s="7">
        <v>38286</v>
      </c>
      <c r="I686" s="6" t="s">
        <v>49</v>
      </c>
      <c r="J686" s="6" t="s">
        <v>1426</v>
      </c>
      <c r="K686" s="6" t="s">
        <v>51</v>
      </c>
      <c r="L686" s="6" t="s">
        <v>52</v>
      </c>
      <c r="M686" s="6" t="s">
        <v>53</v>
      </c>
      <c r="N686" s="6">
        <v>1.57</v>
      </c>
      <c r="O686" s="6">
        <v>72</v>
      </c>
    </row>
    <row r="687" spans="1:15" ht="14.25" customHeight="1" x14ac:dyDescent="0.3">
      <c r="A687" s="6" t="s">
        <v>1427</v>
      </c>
      <c r="B687" s="6">
        <v>46</v>
      </c>
      <c r="C687" s="6" t="s">
        <v>25</v>
      </c>
      <c r="D687" s="6" t="s">
        <v>47</v>
      </c>
      <c r="E687" s="6" t="s">
        <v>18</v>
      </c>
      <c r="F687" s="6">
        <v>1686</v>
      </c>
      <c r="G687" s="6">
        <v>68865.39</v>
      </c>
      <c r="H687" s="7">
        <v>40689</v>
      </c>
      <c r="I687" s="6" t="s">
        <v>56</v>
      </c>
      <c r="J687" s="6" t="s">
        <v>1428</v>
      </c>
      <c r="K687" s="6" t="s">
        <v>21</v>
      </c>
      <c r="L687" s="6" t="s">
        <v>22</v>
      </c>
      <c r="M687" s="6" t="s">
        <v>23</v>
      </c>
      <c r="N687" s="6">
        <v>2.33</v>
      </c>
      <c r="O687" s="6">
        <v>112</v>
      </c>
    </row>
    <row r="688" spans="1:15" ht="14.25" customHeight="1" x14ac:dyDescent="0.3">
      <c r="A688" s="6" t="s">
        <v>1429</v>
      </c>
      <c r="B688" s="6">
        <v>40</v>
      </c>
      <c r="C688" s="6" t="s">
        <v>25</v>
      </c>
      <c r="D688" s="6" t="s">
        <v>17</v>
      </c>
      <c r="E688" s="6" t="s">
        <v>34</v>
      </c>
      <c r="F688" s="6">
        <v>1687</v>
      </c>
      <c r="G688" s="6">
        <v>110876</v>
      </c>
      <c r="H688" s="7">
        <v>42829</v>
      </c>
      <c r="I688" s="6" t="s">
        <v>63</v>
      </c>
      <c r="J688" s="6" t="s">
        <v>1430</v>
      </c>
      <c r="K688" s="6" t="s">
        <v>30</v>
      </c>
      <c r="L688" s="6" t="s">
        <v>31</v>
      </c>
      <c r="M688" s="6" t="s">
        <v>32</v>
      </c>
      <c r="N688" s="6">
        <v>3.47</v>
      </c>
      <c r="O688" s="6">
        <v>157</v>
      </c>
    </row>
    <row r="689" spans="1:15" ht="14.25" customHeight="1" x14ac:dyDescent="0.3">
      <c r="A689" s="6" t="s">
        <v>1431</v>
      </c>
      <c r="B689" s="6">
        <v>25</v>
      </c>
      <c r="C689" s="6" t="s">
        <v>25</v>
      </c>
      <c r="D689" s="6" t="s">
        <v>26</v>
      </c>
      <c r="E689" s="6" t="s">
        <v>18</v>
      </c>
      <c r="F689" s="6">
        <v>1688</v>
      </c>
      <c r="G689" s="6">
        <v>124112.18</v>
      </c>
      <c r="H689" s="7">
        <v>39010</v>
      </c>
      <c r="I689" s="6" t="s">
        <v>66</v>
      </c>
      <c r="J689" s="6" t="s">
        <v>1432</v>
      </c>
      <c r="K689" s="6" t="s">
        <v>37</v>
      </c>
      <c r="L689" s="6" t="s">
        <v>38</v>
      </c>
      <c r="M689" s="6" t="s">
        <v>39</v>
      </c>
      <c r="N689" s="6">
        <v>2.83</v>
      </c>
      <c r="O689" s="6">
        <v>125</v>
      </c>
    </row>
    <row r="690" spans="1:15" ht="14.25" customHeight="1" x14ac:dyDescent="0.3">
      <c r="A690" s="6" t="s">
        <v>1433</v>
      </c>
      <c r="B690" s="6">
        <v>41</v>
      </c>
      <c r="C690" s="6" t="s">
        <v>62</v>
      </c>
      <c r="D690" s="6" t="s">
        <v>47</v>
      </c>
      <c r="E690" s="6" t="s">
        <v>48</v>
      </c>
      <c r="F690" s="6">
        <v>1689</v>
      </c>
      <c r="G690" s="6">
        <v>62330.74</v>
      </c>
      <c r="H690" s="7">
        <v>38715</v>
      </c>
      <c r="I690" s="6" t="s">
        <v>70</v>
      </c>
      <c r="J690" s="6" t="s">
        <v>1434</v>
      </c>
      <c r="K690" s="6" t="s">
        <v>43</v>
      </c>
      <c r="L690" s="6" t="s">
        <v>44</v>
      </c>
      <c r="M690" s="6" t="s">
        <v>45</v>
      </c>
      <c r="N690" s="6">
        <v>2.36</v>
      </c>
      <c r="O690" s="6">
        <v>11</v>
      </c>
    </row>
    <row r="691" spans="1:15" ht="14.25" customHeight="1" x14ac:dyDescent="0.3">
      <c r="A691" s="6" t="s">
        <v>1435</v>
      </c>
      <c r="B691" s="6">
        <v>22</v>
      </c>
      <c r="C691" s="6" t="s">
        <v>25</v>
      </c>
      <c r="D691" s="6" t="s">
        <v>47</v>
      </c>
      <c r="E691" s="6" t="s">
        <v>80</v>
      </c>
      <c r="F691" s="6">
        <v>1690</v>
      </c>
      <c r="G691" s="6">
        <v>130349.48</v>
      </c>
      <c r="H691" s="7">
        <v>39261</v>
      </c>
      <c r="I691" s="6" t="s">
        <v>73</v>
      </c>
      <c r="J691" s="6" t="s">
        <v>1436</v>
      </c>
      <c r="K691" s="6" t="s">
        <v>51</v>
      </c>
      <c r="L691" s="6" t="s">
        <v>52</v>
      </c>
      <c r="M691" s="6" t="s">
        <v>53</v>
      </c>
      <c r="N691" s="6">
        <v>2.94</v>
      </c>
      <c r="O691" s="6">
        <v>135</v>
      </c>
    </row>
    <row r="692" spans="1:15" ht="14.25" customHeight="1" x14ac:dyDescent="0.3">
      <c r="A692" s="6" t="s">
        <v>1437</v>
      </c>
      <c r="B692" s="6">
        <v>32</v>
      </c>
      <c r="C692" s="6" t="s">
        <v>62</v>
      </c>
      <c r="D692" s="6" t="s">
        <v>47</v>
      </c>
      <c r="E692" s="6" t="s">
        <v>80</v>
      </c>
      <c r="F692" s="6">
        <v>1691</v>
      </c>
      <c r="G692" s="6">
        <v>195156.9</v>
      </c>
      <c r="H692" s="7">
        <v>43836</v>
      </c>
      <c r="I692" s="6" t="s">
        <v>19</v>
      </c>
      <c r="J692" s="6" t="s">
        <v>1438</v>
      </c>
      <c r="K692" s="6" t="s">
        <v>21</v>
      </c>
      <c r="L692" s="6" t="s">
        <v>22</v>
      </c>
      <c r="M692" s="6" t="s">
        <v>23</v>
      </c>
      <c r="N692" s="6">
        <v>4.0599999999999996</v>
      </c>
      <c r="O692" s="6">
        <v>57</v>
      </c>
    </row>
    <row r="693" spans="1:15" ht="14.25" customHeight="1" x14ac:dyDescent="0.3">
      <c r="A693" s="6" t="s">
        <v>1439</v>
      </c>
      <c r="B693" s="6">
        <v>25</v>
      </c>
      <c r="C693" s="6" t="s">
        <v>16</v>
      </c>
      <c r="D693" s="6" t="s">
        <v>69</v>
      </c>
      <c r="E693" s="6" t="s">
        <v>27</v>
      </c>
      <c r="F693" s="6">
        <v>1692</v>
      </c>
      <c r="G693" s="6">
        <v>154730.23999999999</v>
      </c>
      <c r="H693" s="7">
        <v>37462</v>
      </c>
      <c r="I693" s="6" t="s">
        <v>28</v>
      </c>
      <c r="J693" s="6" t="s">
        <v>1440</v>
      </c>
      <c r="K693" s="6" t="s">
        <v>30</v>
      </c>
      <c r="L693" s="6" t="s">
        <v>31</v>
      </c>
      <c r="M693" s="6" t="s">
        <v>32</v>
      </c>
      <c r="N693" s="6">
        <v>4.33</v>
      </c>
      <c r="O693" s="6">
        <v>88</v>
      </c>
    </row>
    <row r="694" spans="1:15" ht="14.25" customHeight="1" x14ac:dyDescent="0.3">
      <c r="A694" s="6" t="s">
        <v>1441</v>
      </c>
      <c r="B694" s="6">
        <v>28</v>
      </c>
      <c r="C694" s="6" t="s">
        <v>16</v>
      </c>
      <c r="D694" s="6" t="s">
        <v>55</v>
      </c>
      <c r="E694" s="6" t="s">
        <v>80</v>
      </c>
      <c r="F694" s="6">
        <v>1693</v>
      </c>
      <c r="G694" s="6">
        <v>71385.53</v>
      </c>
      <c r="H694" s="7">
        <v>40772</v>
      </c>
      <c r="I694" s="6" t="s">
        <v>35</v>
      </c>
      <c r="J694" s="6" t="s">
        <v>1442</v>
      </c>
      <c r="K694" s="6" t="s">
        <v>37</v>
      </c>
      <c r="L694" s="6" t="s">
        <v>38</v>
      </c>
      <c r="M694" s="6" t="s">
        <v>39</v>
      </c>
      <c r="N694" s="6">
        <v>3.11</v>
      </c>
      <c r="O694" s="6">
        <v>132</v>
      </c>
    </row>
    <row r="695" spans="1:15" ht="14.25" customHeight="1" x14ac:dyDescent="0.3">
      <c r="A695" s="6" t="s">
        <v>1443</v>
      </c>
      <c r="B695" s="6">
        <v>49</v>
      </c>
      <c r="C695" s="6" t="s">
        <v>25</v>
      </c>
      <c r="D695" s="6" t="s">
        <v>55</v>
      </c>
      <c r="E695" s="6" t="s">
        <v>34</v>
      </c>
      <c r="F695" s="6">
        <v>1694</v>
      </c>
      <c r="G695" s="6">
        <v>135436.76</v>
      </c>
      <c r="H695" s="7">
        <v>42140</v>
      </c>
      <c r="I695" s="6" t="s">
        <v>41</v>
      </c>
      <c r="J695" s="6" t="s">
        <v>1444</v>
      </c>
      <c r="K695" s="6" t="s">
        <v>43</v>
      </c>
      <c r="L695" s="6" t="s">
        <v>44</v>
      </c>
      <c r="M695" s="6" t="s">
        <v>45</v>
      </c>
      <c r="N695" s="6">
        <v>1.56</v>
      </c>
      <c r="O695" s="6">
        <v>114</v>
      </c>
    </row>
    <row r="696" spans="1:15" ht="14.25" customHeight="1" x14ac:dyDescent="0.3">
      <c r="A696" s="6" t="s">
        <v>1445</v>
      </c>
      <c r="B696" s="6">
        <v>57</v>
      </c>
      <c r="C696" s="6" t="s">
        <v>25</v>
      </c>
      <c r="D696" s="6" t="s">
        <v>26</v>
      </c>
      <c r="E696" s="6" t="s">
        <v>34</v>
      </c>
      <c r="F696" s="6">
        <v>1695</v>
      </c>
      <c r="G696" s="6">
        <v>170663.21</v>
      </c>
      <c r="H696" s="7">
        <v>37486</v>
      </c>
      <c r="I696" s="6" t="s">
        <v>49</v>
      </c>
      <c r="J696" s="6" t="s">
        <v>1446</v>
      </c>
      <c r="K696" s="6" t="s">
        <v>51</v>
      </c>
      <c r="L696" s="6" t="s">
        <v>52</v>
      </c>
      <c r="M696" s="6" t="s">
        <v>53</v>
      </c>
      <c r="N696" s="6">
        <v>4.33</v>
      </c>
      <c r="O696" s="6">
        <v>13</v>
      </c>
    </row>
    <row r="697" spans="1:15" ht="14.25" customHeight="1" x14ac:dyDescent="0.3">
      <c r="A697" s="6" t="s">
        <v>1447</v>
      </c>
      <c r="B697" s="6">
        <v>28</v>
      </c>
      <c r="C697" s="6" t="s">
        <v>25</v>
      </c>
      <c r="D697" s="6" t="s">
        <v>55</v>
      </c>
      <c r="E697" s="6" t="s">
        <v>18</v>
      </c>
      <c r="F697" s="6">
        <v>1696</v>
      </c>
      <c r="G697" s="6">
        <v>101549.09</v>
      </c>
      <c r="H697" s="7">
        <v>42825</v>
      </c>
      <c r="I697" s="6" t="s">
        <v>56</v>
      </c>
      <c r="J697" s="6" t="s">
        <v>1448</v>
      </c>
      <c r="K697" s="6" t="s">
        <v>21</v>
      </c>
      <c r="L697" s="6" t="s">
        <v>22</v>
      </c>
      <c r="M697" s="6" t="s">
        <v>23</v>
      </c>
      <c r="N697" s="6">
        <v>2.84</v>
      </c>
      <c r="O697" s="6">
        <v>93</v>
      </c>
    </row>
    <row r="698" spans="1:15" ht="14.25" customHeight="1" x14ac:dyDescent="0.3">
      <c r="A698" s="6" t="s">
        <v>1449</v>
      </c>
      <c r="B698" s="6">
        <v>41</v>
      </c>
      <c r="C698" s="6" t="s">
        <v>16</v>
      </c>
      <c r="D698" s="6" t="s">
        <v>47</v>
      </c>
      <c r="E698" s="6" t="s">
        <v>34</v>
      </c>
      <c r="F698" s="6">
        <v>1697</v>
      </c>
      <c r="G698" s="6">
        <v>114340.01</v>
      </c>
      <c r="H698" s="7">
        <v>41521</v>
      </c>
      <c r="I698" s="6" t="s">
        <v>63</v>
      </c>
      <c r="J698" s="6" t="s">
        <v>1450</v>
      </c>
      <c r="K698" s="6" t="s">
        <v>30</v>
      </c>
      <c r="L698" s="6" t="s">
        <v>31</v>
      </c>
      <c r="M698" s="6" t="s">
        <v>32</v>
      </c>
      <c r="N698" s="6">
        <v>4.5999999999999996</v>
      </c>
      <c r="O698" s="6">
        <v>132</v>
      </c>
    </row>
    <row r="699" spans="1:15" ht="14.25" customHeight="1" x14ac:dyDescent="0.3">
      <c r="A699" s="6" t="s">
        <v>1451</v>
      </c>
      <c r="B699" s="6">
        <v>56</v>
      </c>
      <c r="C699" s="6" t="s">
        <v>62</v>
      </c>
      <c r="D699" s="6" t="s">
        <v>69</v>
      </c>
      <c r="E699" s="6" t="s">
        <v>34</v>
      </c>
      <c r="F699" s="6">
        <v>1698</v>
      </c>
      <c r="G699" s="6">
        <v>50338.54</v>
      </c>
      <c r="H699" s="7">
        <v>44525</v>
      </c>
      <c r="I699" s="6" t="s">
        <v>66</v>
      </c>
      <c r="J699" s="6" t="s">
        <v>1452</v>
      </c>
      <c r="K699" s="6" t="s">
        <v>37</v>
      </c>
      <c r="L699" s="6" t="s">
        <v>38</v>
      </c>
      <c r="M699" s="6" t="s">
        <v>39</v>
      </c>
      <c r="N699" s="6">
        <v>4.49</v>
      </c>
      <c r="O699" s="6">
        <v>41</v>
      </c>
    </row>
    <row r="700" spans="1:15" ht="14.25" customHeight="1" x14ac:dyDescent="0.3">
      <c r="A700" s="6" t="s">
        <v>1453</v>
      </c>
      <c r="B700" s="6">
        <v>60</v>
      </c>
      <c r="C700" s="6" t="s">
        <v>62</v>
      </c>
      <c r="D700" s="6" t="s">
        <v>55</v>
      </c>
      <c r="E700" s="6" t="s">
        <v>80</v>
      </c>
      <c r="F700" s="6">
        <v>1699</v>
      </c>
      <c r="G700" s="6">
        <v>180432.47</v>
      </c>
      <c r="H700" s="7">
        <v>39114</v>
      </c>
      <c r="I700" s="6" t="s">
        <v>70</v>
      </c>
      <c r="J700" s="6" t="s">
        <v>1454</v>
      </c>
      <c r="K700" s="6" t="s">
        <v>43</v>
      </c>
      <c r="L700" s="6" t="s">
        <v>44</v>
      </c>
      <c r="M700" s="6" t="s">
        <v>45</v>
      </c>
      <c r="N700" s="6">
        <v>1.6</v>
      </c>
      <c r="O700" s="6">
        <v>125</v>
      </c>
    </row>
    <row r="701" spans="1:15" ht="14.25" customHeight="1" x14ac:dyDescent="0.3">
      <c r="A701" s="6" t="s">
        <v>1455</v>
      </c>
      <c r="B701" s="6">
        <v>42</v>
      </c>
      <c r="C701" s="6" t="s">
        <v>62</v>
      </c>
      <c r="D701" s="6" t="s">
        <v>55</v>
      </c>
      <c r="E701" s="6" t="s">
        <v>48</v>
      </c>
      <c r="F701" s="6">
        <v>1700</v>
      </c>
      <c r="G701" s="6">
        <v>120527.47</v>
      </c>
      <c r="H701" s="7">
        <v>37962</v>
      </c>
      <c r="I701" s="6" t="s">
        <v>73</v>
      </c>
      <c r="J701" s="6" t="s">
        <v>1456</v>
      </c>
      <c r="K701" s="6" t="s">
        <v>51</v>
      </c>
      <c r="L701" s="6" t="s">
        <v>52</v>
      </c>
      <c r="M701" s="6" t="s">
        <v>53</v>
      </c>
      <c r="N701" s="6">
        <v>2.42</v>
      </c>
      <c r="O701" s="6">
        <v>132</v>
      </c>
    </row>
    <row r="702" spans="1:15" ht="14.25" customHeight="1" x14ac:dyDescent="0.3">
      <c r="A702" s="6" t="s">
        <v>1457</v>
      </c>
      <c r="B702" s="6">
        <v>22</v>
      </c>
      <c r="C702" s="6" t="s">
        <v>25</v>
      </c>
      <c r="D702" s="6" t="s">
        <v>69</v>
      </c>
      <c r="E702" s="6" t="s">
        <v>18</v>
      </c>
      <c r="F702" s="6">
        <v>1701</v>
      </c>
      <c r="G702" s="6">
        <v>88031.99</v>
      </c>
      <c r="H702" s="7">
        <v>44321</v>
      </c>
      <c r="I702" s="6" t="s">
        <v>19</v>
      </c>
      <c r="J702" s="6" t="s">
        <v>1458</v>
      </c>
      <c r="K702" s="6" t="s">
        <v>21</v>
      </c>
      <c r="L702" s="6" t="s">
        <v>22</v>
      </c>
      <c r="M702" s="6" t="s">
        <v>23</v>
      </c>
      <c r="N702" s="6">
        <v>2.23</v>
      </c>
      <c r="O702" s="6">
        <v>87</v>
      </c>
    </row>
    <row r="703" spans="1:15" ht="14.25" customHeight="1" x14ac:dyDescent="0.3">
      <c r="A703" s="6" t="s">
        <v>1459</v>
      </c>
      <c r="B703" s="6">
        <v>58</v>
      </c>
      <c r="C703" s="6" t="s">
        <v>62</v>
      </c>
      <c r="D703" s="6" t="s">
        <v>17</v>
      </c>
      <c r="E703" s="6" t="s">
        <v>27</v>
      </c>
      <c r="F703" s="6">
        <v>1702</v>
      </c>
      <c r="G703" s="6">
        <v>79641.08</v>
      </c>
      <c r="H703" s="7">
        <v>42307</v>
      </c>
      <c r="I703" s="6" t="s">
        <v>28</v>
      </c>
      <c r="J703" s="6" t="s">
        <v>1460</v>
      </c>
      <c r="K703" s="6" t="s">
        <v>30</v>
      </c>
      <c r="L703" s="6" t="s">
        <v>31</v>
      </c>
      <c r="M703" s="6" t="s">
        <v>32</v>
      </c>
      <c r="N703" s="6">
        <v>4.8099999999999996</v>
      </c>
      <c r="O703" s="6">
        <v>161</v>
      </c>
    </row>
    <row r="704" spans="1:15" ht="14.25" customHeight="1" x14ac:dyDescent="0.3">
      <c r="A704" s="6" t="s">
        <v>1461</v>
      </c>
      <c r="B704" s="6">
        <v>63</v>
      </c>
      <c r="C704" s="6" t="s">
        <v>25</v>
      </c>
      <c r="D704" s="6" t="s">
        <v>26</v>
      </c>
      <c r="E704" s="6" t="s">
        <v>80</v>
      </c>
      <c r="F704" s="6">
        <v>1703</v>
      </c>
      <c r="G704" s="6">
        <v>114077.64</v>
      </c>
      <c r="H704" s="7">
        <v>39703</v>
      </c>
      <c r="I704" s="6" t="s">
        <v>35</v>
      </c>
      <c r="J704" s="6" t="s">
        <v>1462</v>
      </c>
      <c r="K704" s="6" t="s">
        <v>37</v>
      </c>
      <c r="L704" s="6" t="s">
        <v>38</v>
      </c>
      <c r="M704" s="6" t="s">
        <v>39</v>
      </c>
      <c r="N704" s="6">
        <v>3.26</v>
      </c>
      <c r="O704" s="6">
        <v>152</v>
      </c>
    </row>
    <row r="705" spans="1:15" ht="14.25" customHeight="1" x14ac:dyDescent="0.3">
      <c r="A705" s="6" t="s">
        <v>1463</v>
      </c>
      <c r="B705" s="6">
        <v>24</v>
      </c>
      <c r="C705" s="6" t="s">
        <v>16</v>
      </c>
      <c r="D705" s="6" t="s">
        <v>47</v>
      </c>
      <c r="E705" s="6" t="s">
        <v>18</v>
      </c>
      <c r="F705" s="6">
        <v>1704</v>
      </c>
      <c r="G705" s="6">
        <v>83517.2</v>
      </c>
      <c r="H705" s="7">
        <v>44146</v>
      </c>
      <c r="I705" s="6" t="s">
        <v>41</v>
      </c>
      <c r="J705" s="6" t="s">
        <v>1464</v>
      </c>
      <c r="K705" s="6" t="s">
        <v>43</v>
      </c>
      <c r="L705" s="6" t="s">
        <v>44</v>
      </c>
      <c r="M705" s="6" t="s">
        <v>45</v>
      </c>
      <c r="N705" s="6">
        <v>4.93</v>
      </c>
      <c r="O705" s="6">
        <v>35</v>
      </c>
    </row>
    <row r="706" spans="1:15" ht="14.25" customHeight="1" x14ac:dyDescent="0.3">
      <c r="A706" s="6" t="s">
        <v>1465</v>
      </c>
      <c r="B706" s="6">
        <v>55</v>
      </c>
      <c r="C706" s="6" t="s">
        <v>62</v>
      </c>
      <c r="D706" s="6" t="s">
        <v>69</v>
      </c>
      <c r="E706" s="6" t="s">
        <v>80</v>
      </c>
      <c r="F706" s="6">
        <v>1705</v>
      </c>
      <c r="G706" s="6">
        <v>184516.81</v>
      </c>
      <c r="H706" s="7">
        <v>43865</v>
      </c>
      <c r="I706" s="6" t="s">
        <v>49</v>
      </c>
      <c r="J706" s="6" t="s">
        <v>1466</v>
      </c>
      <c r="K706" s="6" t="s">
        <v>51</v>
      </c>
      <c r="L706" s="6" t="s">
        <v>52</v>
      </c>
      <c r="M706" s="6" t="s">
        <v>53</v>
      </c>
      <c r="N706" s="6">
        <v>2.46</v>
      </c>
      <c r="O706" s="6">
        <v>122</v>
      </c>
    </row>
    <row r="707" spans="1:15" ht="14.25" customHeight="1" x14ac:dyDescent="0.3">
      <c r="A707" s="6" t="s">
        <v>1467</v>
      </c>
      <c r="B707" s="6">
        <v>34</v>
      </c>
      <c r="C707" s="6" t="s">
        <v>25</v>
      </c>
      <c r="D707" s="6" t="s">
        <v>17</v>
      </c>
      <c r="E707" s="6" t="s">
        <v>34</v>
      </c>
      <c r="F707" s="6">
        <v>1706</v>
      </c>
      <c r="G707" s="6">
        <v>84011.05</v>
      </c>
      <c r="H707" s="7">
        <v>37509</v>
      </c>
      <c r="I707" s="6" t="s">
        <v>56</v>
      </c>
      <c r="J707" s="6" t="s">
        <v>1468</v>
      </c>
      <c r="K707" s="6" t="s">
        <v>21</v>
      </c>
      <c r="L707" s="6" t="s">
        <v>22</v>
      </c>
      <c r="M707" s="6" t="s">
        <v>23</v>
      </c>
      <c r="N707" s="6">
        <v>4.54</v>
      </c>
      <c r="O707" s="6">
        <v>149</v>
      </c>
    </row>
    <row r="708" spans="1:15" ht="14.25" customHeight="1" x14ac:dyDescent="0.3">
      <c r="A708" s="6" t="s">
        <v>1469</v>
      </c>
      <c r="B708" s="6">
        <v>37</v>
      </c>
      <c r="C708" s="6" t="s">
        <v>62</v>
      </c>
      <c r="D708" s="6" t="s">
        <v>26</v>
      </c>
      <c r="E708" s="6" t="s">
        <v>27</v>
      </c>
      <c r="F708" s="6">
        <v>1707</v>
      </c>
      <c r="G708" s="6">
        <v>110365.18</v>
      </c>
      <c r="H708" s="7">
        <v>36611</v>
      </c>
      <c r="I708" s="6" t="s">
        <v>63</v>
      </c>
      <c r="J708" s="6" t="s">
        <v>1470</v>
      </c>
      <c r="K708" s="6" t="s">
        <v>30</v>
      </c>
      <c r="L708" s="6" t="s">
        <v>31</v>
      </c>
      <c r="M708" s="6" t="s">
        <v>32</v>
      </c>
      <c r="N708" s="6">
        <v>4.6500000000000004</v>
      </c>
      <c r="O708" s="6">
        <v>193</v>
      </c>
    </row>
    <row r="709" spans="1:15" ht="14.25" customHeight="1" x14ac:dyDescent="0.3">
      <c r="A709" s="6" t="s">
        <v>1471</v>
      </c>
      <c r="B709" s="6">
        <v>55</v>
      </c>
      <c r="C709" s="6" t="s">
        <v>16</v>
      </c>
      <c r="D709" s="6" t="s">
        <v>17</v>
      </c>
      <c r="E709" s="6" t="s">
        <v>27</v>
      </c>
      <c r="F709" s="6">
        <v>1708</v>
      </c>
      <c r="G709" s="6">
        <v>71117.55</v>
      </c>
      <c r="H709" s="7">
        <v>40784</v>
      </c>
      <c r="I709" s="6" t="s">
        <v>66</v>
      </c>
      <c r="J709" s="6" t="s">
        <v>1472</v>
      </c>
      <c r="K709" s="6" t="s">
        <v>37</v>
      </c>
      <c r="L709" s="6" t="s">
        <v>38</v>
      </c>
      <c r="M709" s="6" t="s">
        <v>39</v>
      </c>
      <c r="N709" s="6">
        <v>4.7300000000000004</v>
      </c>
      <c r="O709" s="6">
        <v>116</v>
      </c>
    </row>
    <row r="710" spans="1:15" ht="14.25" customHeight="1" x14ac:dyDescent="0.3">
      <c r="A710" s="6" t="s">
        <v>1473</v>
      </c>
      <c r="B710" s="6">
        <v>45</v>
      </c>
      <c r="C710" s="6" t="s">
        <v>62</v>
      </c>
      <c r="D710" s="6" t="s">
        <v>26</v>
      </c>
      <c r="E710" s="6" t="s">
        <v>48</v>
      </c>
      <c r="F710" s="6">
        <v>1709</v>
      </c>
      <c r="G710" s="6">
        <v>67829.279999999999</v>
      </c>
      <c r="H710" s="7">
        <v>39220</v>
      </c>
      <c r="I710" s="6" t="s">
        <v>70</v>
      </c>
      <c r="J710" s="6" t="s">
        <v>1474</v>
      </c>
      <c r="K710" s="6" t="s">
        <v>43</v>
      </c>
      <c r="L710" s="6" t="s">
        <v>44</v>
      </c>
      <c r="M710" s="6" t="s">
        <v>45</v>
      </c>
      <c r="N710" s="6">
        <v>2.4500000000000002</v>
      </c>
      <c r="O710" s="6">
        <v>32</v>
      </c>
    </row>
    <row r="711" spans="1:15" ht="14.25" customHeight="1" x14ac:dyDescent="0.3">
      <c r="A711" s="6" t="s">
        <v>1475</v>
      </c>
      <c r="B711" s="6">
        <v>34</v>
      </c>
      <c r="C711" s="6" t="s">
        <v>62</v>
      </c>
      <c r="D711" s="6" t="s">
        <v>55</v>
      </c>
      <c r="E711" s="6" t="s">
        <v>18</v>
      </c>
      <c r="F711" s="6">
        <v>1710</v>
      </c>
      <c r="G711" s="6">
        <v>85659.69</v>
      </c>
      <c r="H711" s="7">
        <v>39531</v>
      </c>
      <c r="I711" s="6" t="s">
        <v>73</v>
      </c>
      <c r="J711" s="6" t="s">
        <v>1476</v>
      </c>
      <c r="K711" s="6" t="s">
        <v>51</v>
      </c>
      <c r="L711" s="6" t="s">
        <v>52</v>
      </c>
      <c r="M711" s="6" t="s">
        <v>53</v>
      </c>
      <c r="N711" s="6">
        <v>2.23</v>
      </c>
      <c r="O711" s="6">
        <v>104</v>
      </c>
    </row>
    <row r="712" spans="1:15" ht="14.25" customHeight="1" x14ac:dyDescent="0.3">
      <c r="A712" s="6" t="s">
        <v>1477</v>
      </c>
      <c r="B712" s="6">
        <v>27</v>
      </c>
      <c r="C712" s="6" t="s">
        <v>16</v>
      </c>
      <c r="D712" s="6" t="s">
        <v>69</v>
      </c>
      <c r="E712" s="6" t="s">
        <v>27</v>
      </c>
      <c r="F712" s="6">
        <v>1711</v>
      </c>
      <c r="G712" s="6">
        <v>50445.84</v>
      </c>
      <c r="H712" s="7">
        <v>38855</v>
      </c>
      <c r="I712" s="6" t="s">
        <v>19</v>
      </c>
      <c r="J712" s="6" t="s">
        <v>1478</v>
      </c>
      <c r="K712" s="6" t="s">
        <v>21</v>
      </c>
      <c r="L712" s="6" t="s">
        <v>22</v>
      </c>
      <c r="M712" s="6" t="s">
        <v>23</v>
      </c>
      <c r="N712" s="6">
        <v>1.29</v>
      </c>
      <c r="O712" s="6">
        <v>17</v>
      </c>
    </row>
    <row r="713" spans="1:15" ht="14.25" customHeight="1" x14ac:dyDescent="0.3">
      <c r="A713" s="6" t="s">
        <v>1479</v>
      </c>
      <c r="B713" s="6">
        <v>60</v>
      </c>
      <c r="C713" s="6" t="s">
        <v>25</v>
      </c>
      <c r="D713" s="6" t="s">
        <v>26</v>
      </c>
      <c r="E713" s="6" t="s">
        <v>80</v>
      </c>
      <c r="F713" s="6">
        <v>1712</v>
      </c>
      <c r="G713" s="6">
        <v>139795.07999999999</v>
      </c>
      <c r="H713" s="7">
        <v>41530</v>
      </c>
      <c r="I713" s="6" t="s">
        <v>28</v>
      </c>
      <c r="J713" s="6" t="s">
        <v>1480</v>
      </c>
      <c r="K713" s="6" t="s">
        <v>30</v>
      </c>
      <c r="L713" s="6" t="s">
        <v>31</v>
      </c>
      <c r="M713" s="6" t="s">
        <v>32</v>
      </c>
      <c r="N713" s="6">
        <v>3.49</v>
      </c>
      <c r="O713" s="6">
        <v>61</v>
      </c>
    </row>
    <row r="714" spans="1:15" ht="14.25" customHeight="1" x14ac:dyDescent="0.3">
      <c r="A714" s="6" t="s">
        <v>1481</v>
      </c>
      <c r="B714" s="6">
        <v>23</v>
      </c>
      <c r="C714" s="6" t="s">
        <v>25</v>
      </c>
      <c r="D714" s="6" t="s">
        <v>69</v>
      </c>
      <c r="E714" s="6" t="s">
        <v>18</v>
      </c>
      <c r="F714" s="6">
        <v>1713</v>
      </c>
      <c r="G714" s="6">
        <v>83342.28</v>
      </c>
      <c r="H714" s="7">
        <v>42088</v>
      </c>
      <c r="I714" s="6" t="s">
        <v>35</v>
      </c>
      <c r="J714" s="6" t="s">
        <v>1482</v>
      </c>
      <c r="K714" s="6" t="s">
        <v>37</v>
      </c>
      <c r="L714" s="6" t="s">
        <v>38</v>
      </c>
      <c r="M714" s="6" t="s">
        <v>39</v>
      </c>
      <c r="N714" s="6">
        <v>1.28</v>
      </c>
      <c r="O714" s="6">
        <v>108</v>
      </c>
    </row>
    <row r="715" spans="1:15" ht="14.25" customHeight="1" x14ac:dyDescent="0.3">
      <c r="A715" s="6" t="s">
        <v>1483</v>
      </c>
      <c r="B715" s="6">
        <v>32</v>
      </c>
      <c r="C715" s="6" t="s">
        <v>25</v>
      </c>
      <c r="D715" s="6" t="s">
        <v>69</v>
      </c>
      <c r="E715" s="6" t="s">
        <v>34</v>
      </c>
      <c r="F715" s="6">
        <v>1714</v>
      </c>
      <c r="G715" s="6">
        <v>114722.11</v>
      </c>
      <c r="H715" s="7">
        <v>43323</v>
      </c>
      <c r="I715" s="6" t="s">
        <v>41</v>
      </c>
      <c r="J715" s="6" t="s">
        <v>1484</v>
      </c>
      <c r="K715" s="6" t="s">
        <v>43</v>
      </c>
      <c r="L715" s="6" t="s">
        <v>44</v>
      </c>
      <c r="M715" s="6" t="s">
        <v>45</v>
      </c>
      <c r="N715" s="6">
        <v>3.25</v>
      </c>
      <c r="O715" s="6">
        <v>47</v>
      </c>
    </row>
    <row r="716" spans="1:15" ht="14.25" customHeight="1" x14ac:dyDescent="0.3">
      <c r="A716" s="6" t="s">
        <v>1485</v>
      </c>
      <c r="B716" s="6">
        <v>28</v>
      </c>
      <c r="C716" s="6" t="s">
        <v>62</v>
      </c>
      <c r="D716" s="6" t="s">
        <v>17</v>
      </c>
      <c r="E716" s="6" t="s">
        <v>48</v>
      </c>
      <c r="F716" s="6">
        <v>1715</v>
      </c>
      <c r="G716" s="6">
        <v>171294.34</v>
      </c>
      <c r="H716" s="7">
        <v>36608</v>
      </c>
      <c r="I716" s="6" t="s">
        <v>49</v>
      </c>
      <c r="J716" s="6" t="s">
        <v>1486</v>
      </c>
      <c r="K716" s="6" t="s">
        <v>51</v>
      </c>
      <c r="L716" s="6" t="s">
        <v>52</v>
      </c>
      <c r="M716" s="6" t="s">
        <v>53</v>
      </c>
      <c r="N716" s="6">
        <v>2.2999999999999998</v>
      </c>
      <c r="O716" s="6">
        <v>127</v>
      </c>
    </row>
    <row r="717" spans="1:15" ht="14.25" customHeight="1" x14ac:dyDescent="0.3">
      <c r="A717" s="6" t="s">
        <v>1487</v>
      </c>
      <c r="B717" s="6">
        <v>28</v>
      </c>
      <c r="C717" s="6" t="s">
        <v>62</v>
      </c>
      <c r="D717" s="6" t="s">
        <v>47</v>
      </c>
      <c r="E717" s="6" t="s">
        <v>34</v>
      </c>
      <c r="F717" s="6">
        <v>1716</v>
      </c>
      <c r="G717" s="6">
        <v>112367.3</v>
      </c>
      <c r="H717" s="7">
        <v>37419</v>
      </c>
      <c r="I717" s="6" t="s">
        <v>56</v>
      </c>
      <c r="J717" s="6" t="s">
        <v>1488</v>
      </c>
      <c r="K717" s="6" t="s">
        <v>21</v>
      </c>
      <c r="L717" s="6" t="s">
        <v>22</v>
      </c>
      <c r="M717" s="6" t="s">
        <v>23</v>
      </c>
      <c r="N717" s="6">
        <v>1.22</v>
      </c>
      <c r="O717" s="6">
        <v>74</v>
      </c>
    </row>
    <row r="718" spans="1:15" ht="14.25" customHeight="1" x14ac:dyDescent="0.3">
      <c r="A718" s="6" t="s">
        <v>1489</v>
      </c>
      <c r="B718" s="6">
        <v>60</v>
      </c>
      <c r="C718" s="6" t="s">
        <v>25</v>
      </c>
      <c r="D718" s="6" t="s">
        <v>17</v>
      </c>
      <c r="E718" s="6" t="s">
        <v>27</v>
      </c>
      <c r="F718" s="6">
        <v>1717</v>
      </c>
      <c r="G718" s="6">
        <v>164765.1</v>
      </c>
      <c r="H718" s="7">
        <v>39058</v>
      </c>
      <c r="I718" s="6" t="s">
        <v>63</v>
      </c>
      <c r="J718" s="6" t="s">
        <v>1490</v>
      </c>
      <c r="K718" s="6" t="s">
        <v>30</v>
      </c>
      <c r="L718" s="6" t="s">
        <v>31</v>
      </c>
      <c r="M718" s="6" t="s">
        <v>32</v>
      </c>
      <c r="N718" s="6">
        <v>4.78</v>
      </c>
      <c r="O718" s="6">
        <v>173</v>
      </c>
    </row>
    <row r="719" spans="1:15" ht="14.25" customHeight="1" x14ac:dyDescent="0.3">
      <c r="A719" s="6" t="s">
        <v>1491</v>
      </c>
      <c r="B719" s="6">
        <v>60</v>
      </c>
      <c r="C719" s="6" t="s">
        <v>25</v>
      </c>
      <c r="D719" s="6" t="s">
        <v>17</v>
      </c>
      <c r="E719" s="6" t="s">
        <v>34</v>
      </c>
      <c r="F719" s="6">
        <v>1718</v>
      </c>
      <c r="G719" s="6">
        <v>156816.26</v>
      </c>
      <c r="H719" s="7">
        <v>43656</v>
      </c>
      <c r="I719" s="6" t="s">
        <v>66</v>
      </c>
      <c r="J719" s="6" t="s">
        <v>1492</v>
      </c>
      <c r="K719" s="6" t="s">
        <v>37</v>
      </c>
      <c r="L719" s="6" t="s">
        <v>38</v>
      </c>
      <c r="M719" s="6" t="s">
        <v>39</v>
      </c>
      <c r="N719" s="6">
        <v>4.37</v>
      </c>
      <c r="O719" s="6">
        <v>54</v>
      </c>
    </row>
    <row r="720" spans="1:15" ht="14.25" customHeight="1" x14ac:dyDescent="0.3">
      <c r="A720" s="6" t="s">
        <v>1493</v>
      </c>
      <c r="B720" s="6">
        <v>33</v>
      </c>
      <c r="C720" s="6" t="s">
        <v>62</v>
      </c>
      <c r="D720" s="6" t="s">
        <v>47</v>
      </c>
      <c r="E720" s="6" t="s">
        <v>80</v>
      </c>
      <c r="F720" s="6">
        <v>1719</v>
      </c>
      <c r="G720" s="6">
        <v>179244.66</v>
      </c>
      <c r="H720" s="7">
        <v>37481</v>
      </c>
      <c r="I720" s="6" t="s">
        <v>70</v>
      </c>
      <c r="J720" s="6" t="s">
        <v>1494</v>
      </c>
      <c r="K720" s="6" t="s">
        <v>43</v>
      </c>
      <c r="L720" s="6" t="s">
        <v>44</v>
      </c>
      <c r="M720" s="6" t="s">
        <v>45</v>
      </c>
      <c r="N720" s="6">
        <v>4.07</v>
      </c>
      <c r="O720" s="6">
        <v>16</v>
      </c>
    </row>
    <row r="721" spans="1:15" ht="14.25" customHeight="1" x14ac:dyDescent="0.3">
      <c r="A721" s="6" t="s">
        <v>1495</v>
      </c>
      <c r="B721" s="6">
        <v>43</v>
      </c>
      <c r="C721" s="6" t="s">
        <v>25</v>
      </c>
      <c r="D721" s="6" t="s">
        <v>47</v>
      </c>
      <c r="E721" s="6" t="s">
        <v>80</v>
      </c>
      <c r="F721" s="6">
        <v>1720</v>
      </c>
      <c r="G721" s="6">
        <v>109485.27</v>
      </c>
      <c r="H721" s="7">
        <v>44898</v>
      </c>
      <c r="I721" s="6" t="s">
        <v>73</v>
      </c>
      <c r="J721" s="6" t="s">
        <v>1496</v>
      </c>
      <c r="K721" s="6" t="s">
        <v>51</v>
      </c>
      <c r="L721" s="6" t="s">
        <v>52</v>
      </c>
      <c r="M721" s="6" t="s">
        <v>53</v>
      </c>
      <c r="N721" s="6">
        <v>4.33</v>
      </c>
      <c r="O721" s="6">
        <v>38</v>
      </c>
    </row>
    <row r="722" spans="1:15" ht="14.25" customHeight="1" x14ac:dyDescent="0.3">
      <c r="A722" s="6" t="s">
        <v>1497</v>
      </c>
      <c r="B722" s="6">
        <v>24</v>
      </c>
      <c r="C722" s="6" t="s">
        <v>25</v>
      </c>
      <c r="D722" s="6" t="s">
        <v>17</v>
      </c>
      <c r="E722" s="6" t="s">
        <v>18</v>
      </c>
      <c r="F722" s="6">
        <v>1721</v>
      </c>
      <c r="G722" s="6">
        <v>161410.70000000001</v>
      </c>
      <c r="H722" s="7">
        <v>44414</v>
      </c>
      <c r="I722" s="6" t="s">
        <v>19</v>
      </c>
      <c r="J722" s="6" t="s">
        <v>1498</v>
      </c>
      <c r="K722" s="6" t="s">
        <v>21</v>
      </c>
      <c r="L722" s="6" t="s">
        <v>22</v>
      </c>
      <c r="M722" s="6" t="s">
        <v>23</v>
      </c>
      <c r="N722" s="6">
        <v>2.65</v>
      </c>
      <c r="O722" s="6">
        <v>66</v>
      </c>
    </row>
    <row r="723" spans="1:15" ht="14.25" customHeight="1" x14ac:dyDescent="0.3">
      <c r="A723" s="6" t="s">
        <v>1499</v>
      </c>
      <c r="B723" s="6">
        <v>34</v>
      </c>
      <c r="C723" s="6" t="s">
        <v>62</v>
      </c>
      <c r="D723" s="6" t="s">
        <v>69</v>
      </c>
      <c r="E723" s="6" t="s">
        <v>48</v>
      </c>
      <c r="F723" s="6">
        <v>1722</v>
      </c>
      <c r="G723" s="6">
        <v>134470.70000000001</v>
      </c>
      <c r="H723" s="7">
        <v>42766</v>
      </c>
      <c r="I723" s="6" t="s">
        <v>28</v>
      </c>
      <c r="J723" s="6" t="s">
        <v>1500</v>
      </c>
      <c r="K723" s="6" t="s">
        <v>30</v>
      </c>
      <c r="L723" s="6" t="s">
        <v>31</v>
      </c>
      <c r="M723" s="6" t="s">
        <v>32</v>
      </c>
      <c r="N723" s="6">
        <v>1.96</v>
      </c>
      <c r="O723" s="6">
        <v>144</v>
      </c>
    </row>
    <row r="724" spans="1:15" ht="14.25" customHeight="1" x14ac:dyDescent="0.3">
      <c r="A724" s="6" t="s">
        <v>1501</v>
      </c>
      <c r="B724" s="6">
        <v>51</v>
      </c>
      <c r="C724" s="6" t="s">
        <v>16</v>
      </c>
      <c r="D724" s="6" t="s">
        <v>55</v>
      </c>
      <c r="E724" s="6" t="s">
        <v>48</v>
      </c>
      <c r="F724" s="6">
        <v>1723</v>
      </c>
      <c r="G724" s="6">
        <v>128127.83</v>
      </c>
      <c r="H724" s="7">
        <v>40303</v>
      </c>
      <c r="I724" s="6" t="s">
        <v>35</v>
      </c>
      <c r="J724" s="6" t="s">
        <v>1502</v>
      </c>
      <c r="K724" s="6" t="s">
        <v>37</v>
      </c>
      <c r="L724" s="6" t="s">
        <v>38</v>
      </c>
      <c r="M724" s="6" t="s">
        <v>39</v>
      </c>
      <c r="N724" s="6">
        <v>1.68</v>
      </c>
      <c r="O724" s="6">
        <v>117</v>
      </c>
    </row>
    <row r="725" spans="1:15" ht="14.25" customHeight="1" x14ac:dyDescent="0.3">
      <c r="A725" s="6" t="s">
        <v>1503</v>
      </c>
      <c r="B725" s="6">
        <v>31</v>
      </c>
      <c r="C725" s="6" t="s">
        <v>62</v>
      </c>
      <c r="D725" s="6" t="s">
        <v>47</v>
      </c>
      <c r="E725" s="6" t="s">
        <v>80</v>
      </c>
      <c r="F725" s="6">
        <v>1724</v>
      </c>
      <c r="G725" s="6">
        <v>90363.78</v>
      </c>
      <c r="H725" s="7">
        <v>38846</v>
      </c>
      <c r="I725" s="6" t="s">
        <v>41</v>
      </c>
      <c r="J725" s="6" t="s">
        <v>1504</v>
      </c>
      <c r="K725" s="6" t="s">
        <v>43</v>
      </c>
      <c r="L725" s="6" t="s">
        <v>44</v>
      </c>
      <c r="M725" s="6" t="s">
        <v>45</v>
      </c>
      <c r="N725" s="6">
        <v>3.8</v>
      </c>
      <c r="O725" s="6">
        <v>152</v>
      </c>
    </row>
    <row r="726" spans="1:15" ht="14.25" customHeight="1" x14ac:dyDescent="0.3">
      <c r="A726" s="6" t="s">
        <v>1505</v>
      </c>
      <c r="B726" s="6">
        <v>30</v>
      </c>
      <c r="C726" s="6" t="s">
        <v>25</v>
      </c>
      <c r="D726" s="6" t="s">
        <v>55</v>
      </c>
      <c r="E726" s="6" t="s">
        <v>34</v>
      </c>
      <c r="F726" s="6">
        <v>1725</v>
      </c>
      <c r="G726" s="6">
        <v>126276.9</v>
      </c>
      <c r="H726" s="7">
        <v>40459</v>
      </c>
      <c r="I726" s="6" t="s">
        <v>49</v>
      </c>
      <c r="J726" s="6" t="s">
        <v>1506</v>
      </c>
      <c r="K726" s="6" t="s">
        <v>51</v>
      </c>
      <c r="L726" s="6" t="s">
        <v>52</v>
      </c>
      <c r="M726" s="6" t="s">
        <v>53</v>
      </c>
      <c r="N726" s="6">
        <v>4.1399999999999997</v>
      </c>
      <c r="O726" s="6">
        <v>198</v>
      </c>
    </row>
    <row r="727" spans="1:15" ht="14.25" customHeight="1" x14ac:dyDescent="0.3">
      <c r="A727" s="6" t="s">
        <v>1507</v>
      </c>
      <c r="B727" s="6">
        <v>27</v>
      </c>
      <c r="C727" s="6" t="s">
        <v>25</v>
      </c>
      <c r="D727" s="6" t="s">
        <v>69</v>
      </c>
      <c r="E727" s="6" t="s">
        <v>34</v>
      </c>
      <c r="F727" s="6">
        <v>1726</v>
      </c>
      <c r="G727" s="6">
        <v>58197.04</v>
      </c>
      <c r="H727" s="7">
        <v>39179</v>
      </c>
      <c r="I727" s="6" t="s">
        <v>56</v>
      </c>
      <c r="J727" s="6" t="s">
        <v>1508</v>
      </c>
      <c r="K727" s="6" t="s">
        <v>21</v>
      </c>
      <c r="L727" s="6" t="s">
        <v>22</v>
      </c>
      <c r="M727" s="6" t="s">
        <v>23</v>
      </c>
      <c r="N727" s="6">
        <v>1.5</v>
      </c>
      <c r="O727" s="6">
        <v>20</v>
      </c>
    </row>
    <row r="728" spans="1:15" ht="14.25" customHeight="1" x14ac:dyDescent="0.3">
      <c r="A728" s="6" t="s">
        <v>1509</v>
      </c>
      <c r="B728" s="6">
        <v>23</v>
      </c>
      <c r="C728" s="6" t="s">
        <v>16</v>
      </c>
      <c r="D728" s="6" t="s">
        <v>47</v>
      </c>
      <c r="E728" s="6" t="s">
        <v>18</v>
      </c>
      <c r="F728" s="6">
        <v>1727</v>
      </c>
      <c r="G728" s="6">
        <v>67318.33</v>
      </c>
      <c r="H728" s="7">
        <v>43859</v>
      </c>
      <c r="I728" s="6" t="s">
        <v>63</v>
      </c>
      <c r="J728" s="6" t="s">
        <v>1510</v>
      </c>
      <c r="K728" s="6" t="s">
        <v>30</v>
      </c>
      <c r="L728" s="6" t="s">
        <v>31</v>
      </c>
      <c r="M728" s="6" t="s">
        <v>32</v>
      </c>
      <c r="N728" s="6">
        <v>4.83</v>
      </c>
      <c r="O728" s="6">
        <v>130</v>
      </c>
    </row>
    <row r="729" spans="1:15" ht="14.25" customHeight="1" x14ac:dyDescent="0.3">
      <c r="A729" s="6" t="s">
        <v>1511</v>
      </c>
      <c r="B729" s="6">
        <v>37</v>
      </c>
      <c r="C729" s="6" t="s">
        <v>16</v>
      </c>
      <c r="D729" s="6" t="s">
        <v>26</v>
      </c>
      <c r="E729" s="6" t="s">
        <v>27</v>
      </c>
      <c r="F729" s="6">
        <v>1728</v>
      </c>
      <c r="G729" s="6">
        <v>121627.77</v>
      </c>
      <c r="H729" s="7">
        <v>42287</v>
      </c>
      <c r="I729" s="6" t="s">
        <v>66</v>
      </c>
      <c r="J729" s="6" t="s">
        <v>1512</v>
      </c>
      <c r="K729" s="6" t="s">
        <v>37</v>
      </c>
      <c r="L729" s="6" t="s">
        <v>38</v>
      </c>
      <c r="M729" s="6" t="s">
        <v>39</v>
      </c>
      <c r="N729" s="6">
        <v>3.4</v>
      </c>
      <c r="O729" s="6">
        <v>188</v>
      </c>
    </row>
    <row r="730" spans="1:15" ht="14.25" customHeight="1" x14ac:dyDescent="0.3">
      <c r="A730" s="6" t="s">
        <v>1513</v>
      </c>
      <c r="B730" s="6">
        <v>34</v>
      </c>
      <c r="C730" s="6" t="s">
        <v>62</v>
      </c>
      <c r="D730" s="6" t="s">
        <v>26</v>
      </c>
      <c r="E730" s="6" t="s">
        <v>27</v>
      </c>
      <c r="F730" s="6">
        <v>1729</v>
      </c>
      <c r="G730" s="6">
        <v>94799.09</v>
      </c>
      <c r="H730" s="7">
        <v>37214</v>
      </c>
      <c r="I730" s="6" t="s">
        <v>70</v>
      </c>
      <c r="J730" s="6" t="s">
        <v>1514</v>
      </c>
      <c r="K730" s="6" t="s">
        <v>43</v>
      </c>
      <c r="L730" s="6" t="s">
        <v>44</v>
      </c>
      <c r="M730" s="6" t="s">
        <v>45</v>
      </c>
      <c r="N730" s="6">
        <v>3.97</v>
      </c>
      <c r="O730" s="6">
        <v>21</v>
      </c>
    </row>
    <row r="731" spans="1:15" ht="14.25" customHeight="1" x14ac:dyDescent="0.3">
      <c r="A731" s="6" t="s">
        <v>1515</v>
      </c>
      <c r="B731" s="6">
        <v>34</v>
      </c>
      <c r="C731" s="6" t="s">
        <v>16</v>
      </c>
      <c r="D731" s="6" t="s">
        <v>17</v>
      </c>
      <c r="E731" s="6" t="s">
        <v>18</v>
      </c>
      <c r="F731" s="6">
        <v>1730</v>
      </c>
      <c r="G731" s="6">
        <v>185500.2</v>
      </c>
      <c r="H731" s="7">
        <v>39910</v>
      </c>
      <c r="I731" s="6" t="s">
        <v>73</v>
      </c>
      <c r="J731" s="6" t="s">
        <v>1516</v>
      </c>
      <c r="K731" s="6" t="s">
        <v>51</v>
      </c>
      <c r="L731" s="6" t="s">
        <v>52</v>
      </c>
      <c r="M731" s="6" t="s">
        <v>53</v>
      </c>
      <c r="N731" s="6">
        <v>1.81</v>
      </c>
      <c r="O731" s="6">
        <v>135</v>
      </c>
    </row>
    <row r="732" spans="1:15" ht="14.25" customHeight="1" x14ac:dyDescent="0.3">
      <c r="A732" s="6" t="s">
        <v>1517</v>
      </c>
      <c r="B732" s="6">
        <v>43</v>
      </c>
      <c r="C732" s="6" t="s">
        <v>25</v>
      </c>
      <c r="D732" s="6" t="s">
        <v>55</v>
      </c>
      <c r="E732" s="6" t="s">
        <v>27</v>
      </c>
      <c r="F732" s="6">
        <v>1731</v>
      </c>
      <c r="G732" s="6">
        <v>193072.67</v>
      </c>
      <c r="H732" s="7">
        <v>40220</v>
      </c>
      <c r="I732" s="6" t="s">
        <v>19</v>
      </c>
      <c r="J732" s="6" t="s">
        <v>1518</v>
      </c>
      <c r="K732" s="6" t="s">
        <v>21</v>
      </c>
      <c r="L732" s="6" t="s">
        <v>22</v>
      </c>
      <c r="M732" s="6" t="s">
        <v>23</v>
      </c>
      <c r="N732" s="6">
        <v>3.89</v>
      </c>
      <c r="O732" s="6">
        <v>56</v>
      </c>
    </row>
    <row r="733" spans="1:15" ht="14.25" customHeight="1" x14ac:dyDescent="0.3">
      <c r="A733" s="6" t="s">
        <v>1519</v>
      </c>
      <c r="B733" s="6">
        <v>40</v>
      </c>
      <c r="C733" s="6" t="s">
        <v>25</v>
      </c>
      <c r="D733" s="6" t="s">
        <v>26</v>
      </c>
      <c r="E733" s="6" t="s">
        <v>80</v>
      </c>
      <c r="F733" s="6">
        <v>1732</v>
      </c>
      <c r="G733" s="6">
        <v>181811.28</v>
      </c>
      <c r="H733" s="7">
        <v>39614</v>
      </c>
      <c r="I733" s="6" t="s">
        <v>28</v>
      </c>
      <c r="J733" s="6" t="s">
        <v>1520</v>
      </c>
      <c r="K733" s="6" t="s">
        <v>30</v>
      </c>
      <c r="L733" s="6" t="s">
        <v>31</v>
      </c>
      <c r="M733" s="6" t="s">
        <v>32</v>
      </c>
      <c r="N733" s="6">
        <v>1.03</v>
      </c>
      <c r="O733" s="6">
        <v>137</v>
      </c>
    </row>
    <row r="734" spans="1:15" ht="14.25" customHeight="1" x14ac:dyDescent="0.3">
      <c r="A734" s="6" t="s">
        <v>1521</v>
      </c>
      <c r="B734" s="6">
        <v>47</v>
      </c>
      <c r="C734" s="6" t="s">
        <v>25</v>
      </c>
      <c r="D734" s="6" t="s">
        <v>17</v>
      </c>
      <c r="E734" s="6" t="s">
        <v>48</v>
      </c>
      <c r="F734" s="6">
        <v>1733</v>
      </c>
      <c r="G734" s="6">
        <v>56193.36</v>
      </c>
      <c r="H734" s="7">
        <v>41259</v>
      </c>
      <c r="I734" s="6" t="s">
        <v>35</v>
      </c>
      <c r="J734" s="6" t="s">
        <v>1522</v>
      </c>
      <c r="K734" s="6" t="s">
        <v>37</v>
      </c>
      <c r="L734" s="6" t="s">
        <v>38</v>
      </c>
      <c r="M734" s="6" t="s">
        <v>39</v>
      </c>
      <c r="N734" s="6">
        <v>3.38</v>
      </c>
      <c r="O734" s="6">
        <v>3</v>
      </c>
    </row>
    <row r="735" spans="1:15" ht="14.25" customHeight="1" x14ac:dyDescent="0.3">
      <c r="A735" s="6" t="s">
        <v>1523</v>
      </c>
      <c r="B735" s="6">
        <v>35</v>
      </c>
      <c r="C735" s="6" t="s">
        <v>25</v>
      </c>
      <c r="D735" s="6" t="s">
        <v>17</v>
      </c>
      <c r="E735" s="6" t="s">
        <v>48</v>
      </c>
      <c r="F735" s="6">
        <v>1734</v>
      </c>
      <c r="G735" s="6">
        <v>172901.1</v>
      </c>
      <c r="H735" s="7">
        <v>44370</v>
      </c>
      <c r="I735" s="6" t="s">
        <v>41</v>
      </c>
      <c r="J735" s="6" t="s">
        <v>1524</v>
      </c>
      <c r="K735" s="6" t="s">
        <v>43</v>
      </c>
      <c r="L735" s="6" t="s">
        <v>44</v>
      </c>
      <c r="M735" s="6" t="s">
        <v>45</v>
      </c>
      <c r="N735" s="6">
        <v>4.2300000000000004</v>
      </c>
      <c r="O735" s="6">
        <v>187</v>
      </c>
    </row>
    <row r="736" spans="1:15" ht="14.25" customHeight="1" x14ac:dyDescent="0.3">
      <c r="A736" s="6" t="s">
        <v>1525</v>
      </c>
      <c r="B736" s="6">
        <v>52</v>
      </c>
      <c r="C736" s="6" t="s">
        <v>16</v>
      </c>
      <c r="D736" s="6" t="s">
        <v>17</v>
      </c>
      <c r="E736" s="6" t="s">
        <v>27</v>
      </c>
      <c r="F736" s="6">
        <v>1735</v>
      </c>
      <c r="G736" s="6">
        <v>119029.05</v>
      </c>
      <c r="H736" s="7">
        <v>36814</v>
      </c>
      <c r="I736" s="6" t="s">
        <v>49</v>
      </c>
      <c r="J736" s="6" t="s">
        <v>1526</v>
      </c>
      <c r="K736" s="6" t="s">
        <v>51</v>
      </c>
      <c r="L736" s="6" t="s">
        <v>52</v>
      </c>
      <c r="M736" s="6" t="s">
        <v>53</v>
      </c>
      <c r="N736" s="6">
        <v>1.2</v>
      </c>
      <c r="O736" s="6">
        <v>163</v>
      </c>
    </row>
    <row r="737" spans="1:15" ht="14.25" customHeight="1" x14ac:dyDescent="0.3">
      <c r="A737" s="6" t="s">
        <v>1527</v>
      </c>
      <c r="B737" s="6">
        <v>50</v>
      </c>
      <c r="C737" s="6" t="s">
        <v>25</v>
      </c>
      <c r="D737" s="6" t="s">
        <v>69</v>
      </c>
      <c r="E737" s="6" t="s">
        <v>27</v>
      </c>
      <c r="F737" s="6">
        <v>1736</v>
      </c>
      <c r="G737" s="6">
        <v>57038.63</v>
      </c>
      <c r="H737" s="7">
        <v>44376</v>
      </c>
      <c r="I737" s="6" t="s">
        <v>56</v>
      </c>
      <c r="J737" s="6" t="s">
        <v>1528</v>
      </c>
      <c r="K737" s="6" t="s">
        <v>21</v>
      </c>
      <c r="L737" s="6" t="s">
        <v>22</v>
      </c>
      <c r="M737" s="6" t="s">
        <v>23</v>
      </c>
      <c r="N737" s="6">
        <v>2.48</v>
      </c>
      <c r="O737" s="6">
        <v>111</v>
      </c>
    </row>
    <row r="738" spans="1:15" ht="14.25" customHeight="1" x14ac:dyDescent="0.3">
      <c r="A738" s="6" t="s">
        <v>1529</v>
      </c>
      <c r="B738" s="6">
        <v>63</v>
      </c>
      <c r="C738" s="6" t="s">
        <v>25</v>
      </c>
      <c r="D738" s="6" t="s">
        <v>55</v>
      </c>
      <c r="E738" s="6" t="s">
        <v>27</v>
      </c>
      <c r="F738" s="6">
        <v>1737</v>
      </c>
      <c r="G738" s="6">
        <v>67698.48</v>
      </c>
      <c r="H738" s="7">
        <v>41323</v>
      </c>
      <c r="I738" s="6" t="s">
        <v>63</v>
      </c>
      <c r="J738" s="6" t="s">
        <v>1530</v>
      </c>
      <c r="K738" s="6" t="s">
        <v>30</v>
      </c>
      <c r="L738" s="6" t="s">
        <v>31</v>
      </c>
      <c r="M738" s="6" t="s">
        <v>32</v>
      </c>
      <c r="N738" s="6">
        <v>1.59</v>
      </c>
      <c r="O738" s="6">
        <v>112</v>
      </c>
    </row>
    <row r="739" spans="1:15" ht="14.25" customHeight="1" x14ac:dyDescent="0.3">
      <c r="A739" s="6" t="s">
        <v>1531</v>
      </c>
      <c r="B739" s="6">
        <v>43</v>
      </c>
      <c r="C739" s="6" t="s">
        <v>25</v>
      </c>
      <c r="D739" s="6" t="s">
        <v>47</v>
      </c>
      <c r="E739" s="6" t="s">
        <v>48</v>
      </c>
      <c r="F739" s="6">
        <v>1738</v>
      </c>
      <c r="G739" s="6">
        <v>169170.6</v>
      </c>
      <c r="H739" s="7">
        <v>42807</v>
      </c>
      <c r="I739" s="6" t="s">
        <v>66</v>
      </c>
      <c r="J739" s="6" t="s">
        <v>1532</v>
      </c>
      <c r="K739" s="6" t="s">
        <v>37</v>
      </c>
      <c r="L739" s="6" t="s">
        <v>38</v>
      </c>
      <c r="M739" s="6" t="s">
        <v>39</v>
      </c>
      <c r="N739" s="6">
        <v>3.77</v>
      </c>
      <c r="O739" s="6">
        <v>144</v>
      </c>
    </row>
    <row r="740" spans="1:15" ht="14.25" customHeight="1" x14ac:dyDescent="0.3">
      <c r="A740" s="6" t="s">
        <v>1533</v>
      </c>
      <c r="B740" s="6">
        <v>28</v>
      </c>
      <c r="C740" s="6" t="s">
        <v>62</v>
      </c>
      <c r="D740" s="6" t="s">
        <v>17</v>
      </c>
      <c r="E740" s="6" t="s">
        <v>27</v>
      </c>
      <c r="F740" s="6">
        <v>1739</v>
      </c>
      <c r="G740" s="6">
        <v>122593.74</v>
      </c>
      <c r="H740" s="7">
        <v>42432</v>
      </c>
      <c r="I740" s="6" t="s">
        <v>70</v>
      </c>
      <c r="J740" s="6" t="s">
        <v>1534</v>
      </c>
      <c r="K740" s="6" t="s">
        <v>43</v>
      </c>
      <c r="L740" s="6" t="s">
        <v>44</v>
      </c>
      <c r="M740" s="6" t="s">
        <v>45</v>
      </c>
      <c r="N740" s="6">
        <v>3.71</v>
      </c>
      <c r="O740" s="6">
        <v>75</v>
      </c>
    </row>
    <row r="741" spans="1:15" ht="14.25" customHeight="1" x14ac:dyDescent="0.3">
      <c r="A741" s="6" t="s">
        <v>1535</v>
      </c>
      <c r="B741" s="6">
        <v>58</v>
      </c>
      <c r="C741" s="6" t="s">
        <v>62</v>
      </c>
      <c r="D741" s="6" t="s">
        <v>47</v>
      </c>
      <c r="E741" s="6" t="s">
        <v>34</v>
      </c>
      <c r="F741" s="6">
        <v>1740</v>
      </c>
      <c r="G741" s="6">
        <v>138495.35999999999</v>
      </c>
      <c r="H741" s="7">
        <v>40530</v>
      </c>
      <c r="I741" s="6" t="s">
        <v>73</v>
      </c>
      <c r="J741" s="6" t="s">
        <v>1536</v>
      </c>
      <c r="K741" s="6" t="s">
        <v>51</v>
      </c>
      <c r="L741" s="6" t="s">
        <v>52</v>
      </c>
      <c r="M741" s="6" t="s">
        <v>53</v>
      </c>
      <c r="N741" s="6">
        <v>2.5499999999999998</v>
      </c>
      <c r="O741" s="6">
        <v>177</v>
      </c>
    </row>
    <row r="742" spans="1:15" ht="14.25" customHeight="1" x14ac:dyDescent="0.3">
      <c r="A742" s="6" t="s">
        <v>1537</v>
      </c>
      <c r="B742" s="6">
        <v>62</v>
      </c>
      <c r="C742" s="6" t="s">
        <v>25</v>
      </c>
      <c r="D742" s="6" t="s">
        <v>26</v>
      </c>
      <c r="E742" s="6" t="s">
        <v>34</v>
      </c>
      <c r="F742" s="6">
        <v>1741</v>
      </c>
      <c r="G742" s="6">
        <v>53051.51</v>
      </c>
      <c r="H742" s="7">
        <v>43519</v>
      </c>
      <c r="I742" s="6" t="s">
        <v>19</v>
      </c>
      <c r="J742" s="6" t="s">
        <v>1538</v>
      </c>
      <c r="K742" s="6" t="s">
        <v>21</v>
      </c>
      <c r="L742" s="6" t="s">
        <v>22</v>
      </c>
      <c r="M742" s="6" t="s">
        <v>23</v>
      </c>
      <c r="N742" s="6">
        <v>2.58</v>
      </c>
      <c r="O742" s="6">
        <v>111</v>
      </c>
    </row>
    <row r="743" spans="1:15" ht="14.25" customHeight="1" x14ac:dyDescent="0.3">
      <c r="A743" s="6" t="s">
        <v>1539</v>
      </c>
      <c r="B743" s="6">
        <v>48</v>
      </c>
      <c r="C743" s="6" t="s">
        <v>16</v>
      </c>
      <c r="D743" s="6" t="s">
        <v>69</v>
      </c>
      <c r="E743" s="6" t="s">
        <v>80</v>
      </c>
      <c r="F743" s="6">
        <v>1742</v>
      </c>
      <c r="G743" s="6">
        <v>55561.86</v>
      </c>
      <c r="H743" s="7">
        <v>39716</v>
      </c>
      <c r="I743" s="6" t="s">
        <v>28</v>
      </c>
      <c r="J743" s="6" t="s">
        <v>1540</v>
      </c>
      <c r="K743" s="6" t="s">
        <v>30</v>
      </c>
      <c r="L743" s="6" t="s">
        <v>31</v>
      </c>
      <c r="M743" s="6" t="s">
        <v>32</v>
      </c>
      <c r="N743" s="6">
        <v>2.73</v>
      </c>
      <c r="O743" s="6">
        <v>107</v>
      </c>
    </row>
    <row r="744" spans="1:15" ht="14.25" customHeight="1" x14ac:dyDescent="0.3">
      <c r="A744" s="6" t="s">
        <v>1541</v>
      </c>
      <c r="B744" s="6">
        <v>52</v>
      </c>
      <c r="C744" s="6" t="s">
        <v>16</v>
      </c>
      <c r="D744" s="6" t="s">
        <v>47</v>
      </c>
      <c r="E744" s="6" t="s">
        <v>18</v>
      </c>
      <c r="F744" s="6">
        <v>1743</v>
      </c>
      <c r="G744" s="6">
        <v>114242.76</v>
      </c>
      <c r="H744" s="7">
        <v>36807</v>
      </c>
      <c r="I744" s="6" t="s">
        <v>35</v>
      </c>
      <c r="J744" s="6" t="s">
        <v>1542</v>
      </c>
      <c r="K744" s="6" t="s">
        <v>37</v>
      </c>
      <c r="L744" s="6" t="s">
        <v>38</v>
      </c>
      <c r="M744" s="6" t="s">
        <v>39</v>
      </c>
      <c r="N744" s="6">
        <v>4.83</v>
      </c>
      <c r="O744" s="6">
        <v>121</v>
      </c>
    </row>
    <row r="745" spans="1:15" ht="14.25" customHeight="1" x14ac:dyDescent="0.3">
      <c r="A745" s="6" t="s">
        <v>1543</v>
      </c>
      <c r="B745" s="6">
        <v>27</v>
      </c>
      <c r="C745" s="6" t="s">
        <v>62</v>
      </c>
      <c r="D745" s="6" t="s">
        <v>17</v>
      </c>
      <c r="E745" s="6" t="s">
        <v>80</v>
      </c>
      <c r="F745" s="6">
        <v>1744</v>
      </c>
      <c r="G745" s="6">
        <v>125727.01</v>
      </c>
      <c r="H745" s="7">
        <v>43079</v>
      </c>
      <c r="I745" s="6" t="s">
        <v>41</v>
      </c>
      <c r="J745" s="6" t="s">
        <v>1544</v>
      </c>
      <c r="K745" s="6" t="s">
        <v>43</v>
      </c>
      <c r="L745" s="6" t="s">
        <v>44</v>
      </c>
      <c r="M745" s="6" t="s">
        <v>45</v>
      </c>
      <c r="N745" s="6">
        <v>2.15</v>
      </c>
      <c r="O745" s="6">
        <v>80</v>
      </c>
    </row>
    <row r="746" spans="1:15" ht="14.25" customHeight="1" x14ac:dyDescent="0.3">
      <c r="A746" s="6" t="s">
        <v>1545</v>
      </c>
      <c r="B746" s="6">
        <v>37</v>
      </c>
      <c r="C746" s="6" t="s">
        <v>62</v>
      </c>
      <c r="D746" s="6" t="s">
        <v>69</v>
      </c>
      <c r="E746" s="6" t="s">
        <v>48</v>
      </c>
      <c r="F746" s="6">
        <v>1745</v>
      </c>
      <c r="G746" s="6">
        <v>73836.81</v>
      </c>
      <c r="H746" s="7">
        <v>42297</v>
      </c>
      <c r="I746" s="6" t="s">
        <v>49</v>
      </c>
      <c r="J746" s="6" t="s">
        <v>1546</v>
      </c>
      <c r="K746" s="6" t="s">
        <v>51</v>
      </c>
      <c r="L746" s="6" t="s">
        <v>52</v>
      </c>
      <c r="M746" s="6" t="s">
        <v>53</v>
      </c>
      <c r="N746" s="6">
        <v>4.04</v>
      </c>
      <c r="O746" s="6">
        <v>170</v>
      </c>
    </row>
    <row r="747" spans="1:15" ht="14.25" customHeight="1" x14ac:dyDescent="0.3">
      <c r="A747" s="6" t="s">
        <v>1547</v>
      </c>
      <c r="B747" s="6">
        <v>59</v>
      </c>
      <c r="C747" s="6" t="s">
        <v>16</v>
      </c>
      <c r="D747" s="6" t="s">
        <v>17</v>
      </c>
      <c r="E747" s="6" t="s">
        <v>34</v>
      </c>
      <c r="F747" s="6">
        <v>1746</v>
      </c>
      <c r="G747" s="6">
        <v>105737.07</v>
      </c>
      <c r="H747" s="7">
        <v>41567</v>
      </c>
      <c r="I747" s="6" t="s">
        <v>56</v>
      </c>
      <c r="J747" s="6" t="s">
        <v>1548</v>
      </c>
      <c r="K747" s="6" t="s">
        <v>21</v>
      </c>
      <c r="L747" s="6" t="s">
        <v>22</v>
      </c>
      <c r="M747" s="6" t="s">
        <v>23</v>
      </c>
      <c r="N747" s="6">
        <v>4.2300000000000004</v>
      </c>
      <c r="O747" s="6">
        <v>117</v>
      </c>
    </row>
    <row r="748" spans="1:15" ht="14.25" customHeight="1" x14ac:dyDescent="0.3">
      <c r="A748" s="6" t="s">
        <v>1549</v>
      </c>
      <c r="B748" s="6">
        <v>59</v>
      </c>
      <c r="C748" s="6" t="s">
        <v>62</v>
      </c>
      <c r="D748" s="6" t="s">
        <v>69</v>
      </c>
      <c r="E748" s="6" t="s">
        <v>18</v>
      </c>
      <c r="F748" s="6">
        <v>1747</v>
      </c>
      <c r="G748" s="6">
        <v>50541.82</v>
      </c>
      <c r="H748" s="7">
        <v>37949</v>
      </c>
      <c r="I748" s="6" t="s">
        <v>63</v>
      </c>
      <c r="J748" s="6" t="s">
        <v>1550</v>
      </c>
      <c r="K748" s="6" t="s">
        <v>30</v>
      </c>
      <c r="L748" s="6" t="s">
        <v>31</v>
      </c>
      <c r="M748" s="6" t="s">
        <v>32</v>
      </c>
      <c r="N748" s="6">
        <v>2.84</v>
      </c>
      <c r="O748" s="6">
        <v>59</v>
      </c>
    </row>
    <row r="749" spans="1:15" ht="14.25" customHeight="1" x14ac:dyDescent="0.3">
      <c r="A749" s="6" t="s">
        <v>1551</v>
      </c>
      <c r="B749" s="6">
        <v>53</v>
      </c>
      <c r="C749" s="6" t="s">
        <v>62</v>
      </c>
      <c r="D749" s="6" t="s">
        <v>47</v>
      </c>
      <c r="E749" s="6" t="s">
        <v>34</v>
      </c>
      <c r="F749" s="6">
        <v>1748</v>
      </c>
      <c r="G749" s="6">
        <v>70002.009999999995</v>
      </c>
      <c r="H749" s="7">
        <v>38536</v>
      </c>
      <c r="I749" s="6" t="s">
        <v>66</v>
      </c>
      <c r="J749" s="6" t="s">
        <v>1552</v>
      </c>
      <c r="K749" s="6" t="s">
        <v>37</v>
      </c>
      <c r="L749" s="6" t="s">
        <v>38</v>
      </c>
      <c r="M749" s="6" t="s">
        <v>39</v>
      </c>
      <c r="N749" s="6">
        <v>3.67</v>
      </c>
      <c r="O749" s="6">
        <v>167</v>
      </c>
    </row>
    <row r="750" spans="1:15" ht="14.25" customHeight="1" x14ac:dyDescent="0.3">
      <c r="A750" s="6" t="s">
        <v>1553</v>
      </c>
      <c r="B750" s="6">
        <v>54</v>
      </c>
      <c r="C750" s="6" t="s">
        <v>25</v>
      </c>
      <c r="D750" s="6" t="s">
        <v>47</v>
      </c>
      <c r="E750" s="6" t="s">
        <v>27</v>
      </c>
      <c r="F750" s="6">
        <v>1749</v>
      </c>
      <c r="G750" s="6">
        <v>53749.14</v>
      </c>
      <c r="H750" s="7">
        <v>40906</v>
      </c>
      <c r="I750" s="6" t="s">
        <v>70</v>
      </c>
      <c r="J750" s="6" t="s">
        <v>1554</v>
      </c>
      <c r="K750" s="6" t="s">
        <v>43</v>
      </c>
      <c r="L750" s="6" t="s">
        <v>44</v>
      </c>
      <c r="M750" s="6" t="s">
        <v>45</v>
      </c>
      <c r="N750" s="6">
        <v>3.85</v>
      </c>
      <c r="O750" s="6">
        <v>83</v>
      </c>
    </row>
    <row r="751" spans="1:15" ht="14.25" customHeight="1" x14ac:dyDescent="0.3">
      <c r="A751" s="6" t="s">
        <v>1555</v>
      </c>
      <c r="B751" s="6">
        <v>38</v>
      </c>
      <c r="C751" s="6" t="s">
        <v>16</v>
      </c>
      <c r="D751" s="6" t="s">
        <v>26</v>
      </c>
      <c r="E751" s="6" t="s">
        <v>48</v>
      </c>
      <c r="F751" s="6">
        <v>1750</v>
      </c>
      <c r="G751" s="6">
        <v>182042.48</v>
      </c>
      <c r="H751" s="7">
        <v>37642</v>
      </c>
      <c r="I751" s="6" t="s">
        <v>73</v>
      </c>
      <c r="J751" s="6" t="s">
        <v>1556</v>
      </c>
      <c r="K751" s="6" t="s">
        <v>51</v>
      </c>
      <c r="L751" s="6" t="s">
        <v>52</v>
      </c>
      <c r="M751" s="6" t="s">
        <v>53</v>
      </c>
      <c r="N751" s="6">
        <v>3.27</v>
      </c>
      <c r="O751" s="6">
        <v>199</v>
      </c>
    </row>
    <row r="752" spans="1:15" ht="14.25" customHeight="1" x14ac:dyDescent="0.3">
      <c r="A752" s="6" t="s">
        <v>1557</v>
      </c>
      <c r="B752" s="6">
        <v>54</v>
      </c>
      <c r="C752" s="6" t="s">
        <v>25</v>
      </c>
      <c r="D752" s="6" t="s">
        <v>55</v>
      </c>
      <c r="E752" s="6" t="s">
        <v>18</v>
      </c>
      <c r="F752" s="6">
        <v>1751</v>
      </c>
      <c r="G752" s="6">
        <v>59206.9</v>
      </c>
      <c r="H752" s="7">
        <v>43637</v>
      </c>
      <c r="I752" s="6" t="s">
        <v>19</v>
      </c>
      <c r="J752" s="6" t="s">
        <v>1558</v>
      </c>
      <c r="K752" s="6" t="s">
        <v>21</v>
      </c>
      <c r="L752" s="6" t="s">
        <v>22</v>
      </c>
      <c r="M752" s="6" t="s">
        <v>23</v>
      </c>
      <c r="N752" s="6">
        <v>2.2200000000000002</v>
      </c>
      <c r="O752" s="6">
        <v>34</v>
      </c>
    </row>
    <row r="753" spans="1:15" ht="14.25" customHeight="1" x14ac:dyDescent="0.3">
      <c r="A753" s="6" t="s">
        <v>1559</v>
      </c>
      <c r="B753" s="6">
        <v>32</v>
      </c>
      <c r="C753" s="6" t="s">
        <v>62</v>
      </c>
      <c r="D753" s="6" t="s">
        <v>17</v>
      </c>
      <c r="E753" s="6" t="s">
        <v>80</v>
      </c>
      <c r="F753" s="6">
        <v>1752</v>
      </c>
      <c r="G753" s="6">
        <v>134085.07</v>
      </c>
      <c r="H753" s="7">
        <v>36873</v>
      </c>
      <c r="I753" s="6" t="s">
        <v>28</v>
      </c>
      <c r="J753" s="6" t="s">
        <v>1560</v>
      </c>
      <c r="K753" s="6" t="s">
        <v>30</v>
      </c>
      <c r="L753" s="6" t="s">
        <v>31</v>
      </c>
      <c r="M753" s="6" t="s">
        <v>32</v>
      </c>
      <c r="N753" s="6">
        <v>3.13</v>
      </c>
      <c r="O753" s="6">
        <v>96</v>
      </c>
    </row>
    <row r="754" spans="1:15" ht="14.25" customHeight="1" x14ac:dyDescent="0.3">
      <c r="A754" s="6" t="s">
        <v>1561</v>
      </c>
      <c r="B754" s="6">
        <v>34</v>
      </c>
      <c r="C754" s="6" t="s">
        <v>62</v>
      </c>
      <c r="D754" s="6" t="s">
        <v>17</v>
      </c>
      <c r="E754" s="6" t="s">
        <v>48</v>
      </c>
      <c r="F754" s="6">
        <v>1753</v>
      </c>
      <c r="G754" s="6">
        <v>137779.9</v>
      </c>
      <c r="H754" s="7">
        <v>41035</v>
      </c>
      <c r="I754" s="6" t="s">
        <v>35</v>
      </c>
      <c r="J754" s="6" t="s">
        <v>1562</v>
      </c>
      <c r="K754" s="6" t="s">
        <v>37</v>
      </c>
      <c r="L754" s="6" t="s">
        <v>38</v>
      </c>
      <c r="M754" s="6" t="s">
        <v>39</v>
      </c>
      <c r="N754" s="6">
        <v>1.73</v>
      </c>
      <c r="O754" s="6">
        <v>185</v>
      </c>
    </row>
    <row r="755" spans="1:15" ht="14.25" customHeight="1" x14ac:dyDescent="0.3">
      <c r="A755" s="6" t="s">
        <v>1563</v>
      </c>
      <c r="B755" s="6">
        <v>51</v>
      </c>
      <c r="C755" s="6" t="s">
        <v>62</v>
      </c>
      <c r="D755" s="6" t="s">
        <v>26</v>
      </c>
      <c r="E755" s="6" t="s">
        <v>80</v>
      </c>
      <c r="F755" s="6">
        <v>1754</v>
      </c>
      <c r="G755" s="6">
        <v>50661.46</v>
      </c>
      <c r="H755" s="7">
        <v>43320</v>
      </c>
      <c r="I755" s="6" t="s">
        <v>41</v>
      </c>
      <c r="J755" s="6" t="s">
        <v>1564</v>
      </c>
      <c r="K755" s="6" t="s">
        <v>43</v>
      </c>
      <c r="L755" s="6" t="s">
        <v>44</v>
      </c>
      <c r="M755" s="6" t="s">
        <v>45</v>
      </c>
      <c r="N755" s="6">
        <v>3.3</v>
      </c>
      <c r="O755" s="6">
        <v>76</v>
      </c>
    </row>
    <row r="756" spans="1:15" ht="14.25" customHeight="1" x14ac:dyDescent="0.3">
      <c r="A756" s="6" t="s">
        <v>1565</v>
      </c>
      <c r="B756" s="6">
        <v>22</v>
      </c>
      <c r="C756" s="6" t="s">
        <v>62</v>
      </c>
      <c r="D756" s="6" t="s">
        <v>69</v>
      </c>
      <c r="E756" s="6" t="s">
        <v>80</v>
      </c>
      <c r="F756" s="6">
        <v>1755</v>
      </c>
      <c r="G756" s="6">
        <v>141839.85</v>
      </c>
      <c r="H756" s="7">
        <v>41168</v>
      </c>
      <c r="I756" s="6" t="s">
        <v>49</v>
      </c>
      <c r="J756" s="6" t="s">
        <v>1566</v>
      </c>
      <c r="K756" s="6" t="s">
        <v>51</v>
      </c>
      <c r="L756" s="6" t="s">
        <v>52</v>
      </c>
      <c r="M756" s="6" t="s">
        <v>53</v>
      </c>
      <c r="N756" s="6">
        <v>4.38</v>
      </c>
      <c r="O756" s="6">
        <v>114</v>
      </c>
    </row>
    <row r="757" spans="1:15" ht="14.25" customHeight="1" x14ac:dyDescent="0.3">
      <c r="A757" s="6" t="s">
        <v>1567</v>
      </c>
      <c r="B757" s="6">
        <v>51</v>
      </c>
      <c r="C757" s="6" t="s">
        <v>16</v>
      </c>
      <c r="D757" s="6" t="s">
        <v>69</v>
      </c>
      <c r="E757" s="6" t="s">
        <v>80</v>
      </c>
      <c r="F757" s="6">
        <v>1756</v>
      </c>
      <c r="G757" s="6">
        <v>177191.45</v>
      </c>
      <c r="H757" s="7">
        <v>40140</v>
      </c>
      <c r="I757" s="6" t="s">
        <v>56</v>
      </c>
      <c r="J757" s="6" t="s">
        <v>1568</v>
      </c>
      <c r="K757" s="6" t="s">
        <v>21</v>
      </c>
      <c r="L757" s="6" t="s">
        <v>22</v>
      </c>
      <c r="M757" s="6" t="s">
        <v>23</v>
      </c>
      <c r="N757" s="6">
        <v>1.58</v>
      </c>
      <c r="O757" s="6">
        <v>28</v>
      </c>
    </row>
    <row r="758" spans="1:15" ht="14.25" customHeight="1" x14ac:dyDescent="0.3">
      <c r="A758" s="6" t="s">
        <v>1569</v>
      </c>
      <c r="B758" s="6">
        <v>48</v>
      </c>
      <c r="C758" s="6" t="s">
        <v>16</v>
      </c>
      <c r="D758" s="6" t="s">
        <v>47</v>
      </c>
      <c r="E758" s="6" t="s">
        <v>27</v>
      </c>
      <c r="F758" s="6">
        <v>1757</v>
      </c>
      <c r="G758" s="6">
        <v>136567.35999999999</v>
      </c>
      <c r="H758" s="7">
        <v>38628</v>
      </c>
      <c r="I758" s="6" t="s">
        <v>63</v>
      </c>
      <c r="J758" s="6" t="s">
        <v>1570</v>
      </c>
      <c r="K758" s="6" t="s">
        <v>30</v>
      </c>
      <c r="L758" s="6" t="s">
        <v>31</v>
      </c>
      <c r="M758" s="6" t="s">
        <v>32</v>
      </c>
      <c r="N758" s="6">
        <v>2.66</v>
      </c>
      <c r="O758" s="6">
        <v>24</v>
      </c>
    </row>
    <row r="759" spans="1:15" ht="14.25" customHeight="1" x14ac:dyDescent="0.3">
      <c r="A759" s="6" t="s">
        <v>1571</v>
      </c>
      <c r="B759" s="6">
        <v>61</v>
      </c>
      <c r="C759" s="6" t="s">
        <v>16</v>
      </c>
      <c r="D759" s="6" t="s">
        <v>47</v>
      </c>
      <c r="E759" s="6" t="s">
        <v>80</v>
      </c>
      <c r="F759" s="6">
        <v>1758</v>
      </c>
      <c r="G759" s="6">
        <v>77844.929999999993</v>
      </c>
      <c r="H759" s="7">
        <v>41223</v>
      </c>
      <c r="I759" s="6" t="s">
        <v>66</v>
      </c>
      <c r="J759" s="6" t="s">
        <v>1572</v>
      </c>
      <c r="K759" s="6" t="s">
        <v>37</v>
      </c>
      <c r="L759" s="6" t="s">
        <v>38</v>
      </c>
      <c r="M759" s="6" t="s">
        <v>39</v>
      </c>
      <c r="N759" s="6">
        <v>2.14</v>
      </c>
      <c r="O759" s="6">
        <v>44</v>
      </c>
    </row>
    <row r="760" spans="1:15" ht="14.25" customHeight="1" x14ac:dyDescent="0.3">
      <c r="A760" s="6" t="s">
        <v>1573</v>
      </c>
      <c r="B760" s="6">
        <v>44</v>
      </c>
      <c r="C760" s="6" t="s">
        <v>16</v>
      </c>
      <c r="D760" s="6" t="s">
        <v>17</v>
      </c>
      <c r="E760" s="6" t="s">
        <v>34</v>
      </c>
      <c r="F760" s="6">
        <v>1759</v>
      </c>
      <c r="G760" s="6">
        <v>132596.01999999999</v>
      </c>
      <c r="H760" s="7">
        <v>44430</v>
      </c>
      <c r="I760" s="6" t="s">
        <v>70</v>
      </c>
      <c r="J760" s="6" t="s">
        <v>1574</v>
      </c>
      <c r="K760" s="6" t="s">
        <v>43</v>
      </c>
      <c r="L760" s="6" t="s">
        <v>44</v>
      </c>
      <c r="M760" s="6" t="s">
        <v>45</v>
      </c>
      <c r="N760" s="6">
        <v>2.0699999999999998</v>
      </c>
      <c r="O760" s="6">
        <v>117</v>
      </c>
    </row>
    <row r="761" spans="1:15" ht="14.25" customHeight="1" x14ac:dyDescent="0.3">
      <c r="A761" s="6" t="s">
        <v>1575</v>
      </c>
      <c r="B761" s="6">
        <v>41</v>
      </c>
      <c r="C761" s="6" t="s">
        <v>25</v>
      </c>
      <c r="D761" s="6" t="s">
        <v>55</v>
      </c>
      <c r="E761" s="6" t="s">
        <v>18</v>
      </c>
      <c r="F761" s="6">
        <v>1760</v>
      </c>
      <c r="G761" s="6">
        <v>154667.48000000001</v>
      </c>
      <c r="H761" s="7">
        <v>40897</v>
      </c>
      <c r="I761" s="6" t="s">
        <v>73</v>
      </c>
      <c r="J761" s="6" t="s">
        <v>1576</v>
      </c>
      <c r="K761" s="6" t="s">
        <v>51</v>
      </c>
      <c r="L761" s="6" t="s">
        <v>52</v>
      </c>
      <c r="M761" s="6" t="s">
        <v>53</v>
      </c>
      <c r="N761" s="6">
        <v>2.35</v>
      </c>
      <c r="O761" s="6">
        <v>117</v>
      </c>
    </row>
    <row r="762" spans="1:15" ht="14.25" customHeight="1" x14ac:dyDescent="0.3">
      <c r="A762" s="6" t="s">
        <v>1577</v>
      </c>
      <c r="B762" s="6">
        <v>27</v>
      </c>
      <c r="C762" s="6" t="s">
        <v>25</v>
      </c>
      <c r="D762" s="6" t="s">
        <v>17</v>
      </c>
      <c r="E762" s="6" t="s">
        <v>18</v>
      </c>
      <c r="F762" s="6">
        <v>1761</v>
      </c>
      <c r="G762" s="6">
        <v>152616.01999999999</v>
      </c>
      <c r="H762" s="7">
        <v>39827</v>
      </c>
      <c r="I762" s="6" t="s">
        <v>19</v>
      </c>
      <c r="J762" s="6" t="s">
        <v>1578</v>
      </c>
      <c r="K762" s="6" t="s">
        <v>21</v>
      </c>
      <c r="L762" s="6" t="s">
        <v>22</v>
      </c>
      <c r="M762" s="6" t="s">
        <v>23</v>
      </c>
      <c r="N762" s="6">
        <v>1.82</v>
      </c>
      <c r="O762" s="6">
        <v>55</v>
      </c>
    </row>
    <row r="763" spans="1:15" ht="14.25" customHeight="1" x14ac:dyDescent="0.3">
      <c r="A763" s="6" t="s">
        <v>1579</v>
      </c>
      <c r="B763" s="6">
        <v>58</v>
      </c>
      <c r="C763" s="6" t="s">
        <v>25</v>
      </c>
      <c r="D763" s="6" t="s">
        <v>69</v>
      </c>
      <c r="E763" s="6" t="s">
        <v>48</v>
      </c>
      <c r="F763" s="6">
        <v>1762</v>
      </c>
      <c r="G763" s="6">
        <v>141817.72</v>
      </c>
      <c r="H763" s="7">
        <v>37804</v>
      </c>
      <c r="I763" s="6" t="s">
        <v>28</v>
      </c>
      <c r="J763" s="6" t="s">
        <v>1580</v>
      </c>
      <c r="K763" s="6" t="s">
        <v>30</v>
      </c>
      <c r="L763" s="6" t="s">
        <v>31</v>
      </c>
      <c r="M763" s="6" t="s">
        <v>32</v>
      </c>
      <c r="N763" s="6">
        <v>2.95</v>
      </c>
      <c r="O763" s="6">
        <v>41</v>
      </c>
    </row>
    <row r="764" spans="1:15" ht="14.25" customHeight="1" x14ac:dyDescent="0.3">
      <c r="A764" s="6" t="s">
        <v>1581</v>
      </c>
      <c r="B764" s="6">
        <v>41</v>
      </c>
      <c r="C764" s="6" t="s">
        <v>62</v>
      </c>
      <c r="D764" s="6" t="s">
        <v>55</v>
      </c>
      <c r="E764" s="6" t="s">
        <v>34</v>
      </c>
      <c r="F764" s="6">
        <v>1763</v>
      </c>
      <c r="G764" s="6">
        <v>107386.44</v>
      </c>
      <c r="H764" s="7">
        <v>40163</v>
      </c>
      <c r="I764" s="6" t="s">
        <v>35</v>
      </c>
      <c r="J764" s="6" t="s">
        <v>1582</v>
      </c>
      <c r="K764" s="6" t="s">
        <v>37</v>
      </c>
      <c r="L764" s="6" t="s">
        <v>38</v>
      </c>
      <c r="M764" s="6" t="s">
        <v>39</v>
      </c>
      <c r="N764" s="6">
        <v>1.35</v>
      </c>
      <c r="O764" s="6">
        <v>182</v>
      </c>
    </row>
    <row r="765" spans="1:15" ht="14.25" customHeight="1" x14ac:dyDescent="0.3">
      <c r="A765" s="6" t="s">
        <v>1583</v>
      </c>
      <c r="B765" s="6">
        <v>58</v>
      </c>
      <c r="C765" s="6" t="s">
        <v>16</v>
      </c>
      <c r="D765" s="6" t="s">
        <v>55</v>
      </c>
      <c r="E765" s="6" t="s">
        <v>80</v>
      </c>
      <c r="F765" s="6">
        <v>1764</v>
      </c>
      <c r="G765" s="6">
        <v>68212.17</v>
      </c>
      <c r="H765" s="7">
        <v>41846</v>
      </c>
      <c r="I765" s="6" t="s">
        <v>41</v>
      </c>
      <c r="J765" s="6" t="s">
        <v>1584</v>
      </c>
      <c r="K765" s="6" t="s">
        <v>43</v>
      </c>
      <c r="L765" s="6" t="s">
        <v>44</v>
      </c>
      <c r="M765" s="6" t="s">
        <v>45</v>
      </c>
      <c r="N765" s="6">
        <v>4.5199999999999996</v>
      </c>
      <c r="O765" s="6">
        <v>198</v>
      </c>
    </row>
    <row r="766" spans="1:15" ht="14.25" customHeight="1" x14ac:dyDescent="0.3">
      <c r="A766" s="6" t="s">
        <v>1585</v>
      </c>
      <c r="B766" s="6">
        <v>27</v>
      </c>
      <c r="C766" s="6" t="s">
        <v>16</v>
      </c>
      <c r="D766" s="6" t="s">
        <v>26</v>
      </c>
      <c r="E766" s="6" t="s">
        <v>34</v>
      </c>
      <c r="F766" s="6">
        <v>1765</v>
      </c>
      <c r="G766" s="6">
        <v>60709.21</v>
      </c>
      <c r="H766" s="7">
        <v>43859</v>
      </c>
      <c r="I766" s="6" t="s">
        <v>49</v>
      </c>
      <c r="J766" s="6" t="s">
        <v>1586</v>
      </c>
      <c r="K766" s="6" t="s">
        <v>51</v>
      </c>
      <c r="L766" s="6" t="s">
        <v>52</v>
      </c>
      <c r="M766" s="6" t="s">
        <v>53</v>
      </c>
      <c r="N766" s="6">
        <v>3.42</v>
      </c>
      <c r="O766" s="6">
        <v>47</v>
      </c>
    </row>
    <row r="767" spans="1:15" ht="14.25" customHeight="1" x14ac:dyDescent="0.3">
      <c r="A767" s="6" t="s">
        <v>1587</v>
      </c>
      <c r="B767" s="6">
        <v>50</v>
      </c>
      <c r="C767" s="6" t="s">
        <v>16</v>
      </c>
      <c r="D767" s="6" t="s">
        <v>47</v>
      </c>
      <c r="E767" s="6" t="s">
        <v>80</v>
      </c>
      <c r="F767" s="6">
        <v>1766</v>
      </c>
      <c r="G767" s="6">
        <v>141725.93</v>
      </c>
      <c r="H767" s="7">
        <v>43105</v>
      </c>
      <c r="I767" s="6" t="s">
        <v>56</v>
      </c>
      <c r="J767" s="6" t="s">
        <v>1588</v>
      </c>
      <c r="K767" s="6" t="s">
        <v>21</v>
      </c>
      <c r="L767" s="6" t="s">
        <v>22</v>
      </c>
      <c r="M767" s="6" t="s">
        <v>23</v>
      </c>
      <c r="N767" s="6">
        <v>4.62</v>
      </c>
      <c r="O767" s="6">
        <v>125</v>
      </c>
    </row>
    <row r="768" spans="1:15" ht="14.25" customHeight="1" x14ac:dyDescent="0.3">
      <c r="A768" s="6" t="s">
        <v>1589</v>
      </c>
      <c r="B768" s="6">
        <v>34</v>
      </c>
      <c r="C768" s="6" t="s">
        <v>25</v>
      </c>
      <c r="D768" s="6" t="s">
        <v>55</v>
      </c>
      <c r="E768" s="6" t="s">
        <v>80</v>
      </c>
      <c r="F768" s="6">
        <v>1767</v>
      </c>
      <c r="G768" s="6">
        <v>104378.84</v>
      </c>
      <c r="H768" s="7">
        <v>41095</v>
      </c>
      <c r="I768" s="6" t="s">
        <v>63</v>
      </c>
      <c r="J768" s="6" t="s">
        <v>1590</v>
      </c>
      <c r="K768" s="6" t="s">
        <v>30</v>
      </c>
      <c r="L768" s="6" t="s">
        <v>31</v>
      </c>
      <c r="M768" s="6" t="s">
        <v>32</v>
      </c>
      <c r="N768" s="6">
        <v>1.61</v>
      </c>
      <c r="O768" s="6">
        <v>131</v>
      </c>
    </row>
    <row r="769" spans="1:15" ht="14.25" customHeight="1" x14ac:dyDescent="0.3">
      <c r="A769" s="6" t="s">
        <v>1591</v>
      </c>
      <c r="B769" s="6">
        <v>48</v>
      </c>
      <c r="C769" s="6" t="s">
        <v>62</v>
      </c>
      <c r="D769" s="6" t="s">
        <v>17</v>
      </c>
      <c r="E769" s="6" t="s">
        <v>18</v>
      </c>
      <c r="F769" s="6">
        <v>1768</v>
      </c>
      <c r="G769" s="6">
        <v>50308.51</v>
      </c>
      <c r="H769" s="7">
        <v>44010</v>
      </c>
      <c r="I769" s="6" t="s">
        <v>66</v>
      </c>
      <c r="J769" s="6" t="s">
        <v>1592</v>
      </c>
      <c r="K769" s="6" t="s">
        <v>37</v>
      </c>
      <c r="L769" s="6" t="s">
        <v>38</v>
      </c>
      <c r="M769" s="6" t="s">
        <v>39</v>
      </c>
      <c r="N769" s="6">
        <v>4.0999999999999996</v>
      </c>
      <c r="O769" s="6">
        <v>33</v>
      </c>
    </row>
    <row r="770" spans="1:15" ht="14.25" customHeight="1" x14ac:dyDescent="0.3">
      <c r="A770" s="6" t="s">
        <v>1593</v>
      </c>
      <c r="B770" s="6">
        <v>41</v>
      </c>
      <c r="C770" s="6" t="s">
        <v>62</v>
      </c>
      <c r="D770" s="6" t="s">
        <v>69</v>
      </c>
      <c r="E770" s="6" t="s">
        <v>27</v>
      </c>
      <c r="F770" s="6">
        <v>1769</v>
      </c>
      <c r="G770" s="6">
        <v>72412.759999999995</v>
      </c>
      <c r="H770" s="7">
        <v>39207</v>
      </c>
      <c r="I770" s="6" t="s">
        <v>70</v>
      </c>
      <c r="J770" s="6" t="s">
        <v>1594</v>
      </c>
      <c r="K770" s="6" t="s">
        <v>43</v>
      </c>
      <c r="L770" s="6" t="s">
        <v>44</v>
      </c>
      <c r="M770" s="6" t="s">
        <v>45</v>
      </c>
      <c r="N770" s="6">
        <v>4.55</v>
      </c>
      <c r="O770" s="6">
        <v>110</v>
      </c>
    </row>
    <row r="771" spans="1:15" ht="14.25" customHeight="1" x14ac:dyDescent="0.3">
      <c r="A771" s="6" t="s">
        <v>1595</v>
      </c>
      <c r="B771" s="6">
        <v>34</v>
      </c>
      <c r="C771" s="6" t="s">
        <v>62</v>
      </c>
      <c r="D771" s="6" t="s">
        <v>47</v>
      </c>
      <c r="E771" s="6" t="s">
        <v>48</v>
      </c>
      <c r="F771" s="6">
        <v>1770</v>
      </c>
      <c r="G771" s="6">
        <v>154695.92000000001</v>
      </c>
      <c r="H771" s="7">
        <v>38734</v>
      </c>
      <c r="I771" s="6" t="s">
        <v>73</v>
      </c>
      <c r="J771" s="6" t="s">
        <v>1596</v>
      </c>
      <c r="K771" s="6" t="s">
        <v>51</v>
      </c>
      <c r="L771" s="6" t="s">
        <v>52</v>
      </c>
      <c r="M771" s="6" t="s">
        <v>53</v>
      </c>
      <c r="N771" s="6">
        <v>2.2799999999999998</v>
      </c>
      <c r="O771" s="6">
        <v>81</v>
      </c>
    </row>
    <row r="772" spans="1:15" ht="14.25" customHeight="1" x14ac:dyDescent="0.3">
      <c r="A772" s="6" t="s">
        <v>1597</v>
      </c>
      <c r="B772" s="6">
        <v>60</v>
      </c>
      <c r="C772" s="6" t="s">
        <v>25</v>
      </c>
      <c r="D772" s="6" t="s">
        <v>17</v>
      </c>
      <c r="E772" s="6" t="s">
        <v>18</v>
      </c>
      <c r="F772" s="6">
        <v>1771</v>
      </c>
      <c r="G772" s="6">
        <v>163717.85999999999</v>
      </c>
      <c r="H772" s="7">
        <v>43425</v>
      </c>
      <c r="I772" s="6" t="s">
        <v>19</v>
      </c>
      <c r="J772" s="6" t="s">
        <v>1598</v>
      </c>
      <c r="K772" s="6" t="s">
        <v>21</v>
      </c>
      <c r="L772" s="6" t="s">
        <v>22</v>
      </c>
      <c r="M772" s="6" t="s">
        <v>23</v>
      </c>
      <c r="N772" s="6">
        <v>4.3099999999999996</v>
      </c>
      <c r="O772" s="6">
        <v>188</v>
      </c>
    </row>
    <row r="773" spans="1:15" ht="14.25" customHeight="1" x14ac:dyDescent="0.3">
      <c r="A773" s="6" t="s">
        <v>1599</v>
      </c>
      <c r="B773" s="6">
        <v>29</v>
      </c>
      <c r="C773" s="6" t="s">
        <v>16</v>
      </c>
      <c r="D773" s="6" t="s">
        <v>69</v>
      </c>
      <c r="E773" s="6" t="s">
        <v>80</v>
      </c>
      <c r="F773" s="6">
        <v>1772</v>
      </c>
      <c r="G773" s="6">
        <v>137422.34</v>
      </c>
      <c r="H773" s="7">
        <v>37102</v>
      </c>
      <c r="I773" s="6" t="s">
        <v>28</v>
      </c>
      <c r="J773" s="6" t="s">
        <v>1600</v>
      </c>
      <c r="K773" s="6" t="s">
        <v>30</v>
      </c>
      <c r="L773" s="6" t="s">
        <v>31</v>
      </c>
      <c r="M773" s="6" t="s">
        <v>32</v>
      </c>
      <c r="N773" s="6">
        <v>4.67</v>
      </c>
      <c r="O773" s="6">
        <v>63</v>
      </c>
    </row>
    <row r="774" spans="1:15" ht="14.25" customHeight="1" x14ac:dyDescent="0.3">
      <c r="A774" s="6" t="s">
        <v>1601</v>
      </c>
      <c r="B774" s="6">
        <v>38</v>
      </c>
      <c r="C774" s="6" t="s">
        <v>25</v>
      </c>
      <c r="D774" s="6" t="s">
        <v>17</v>
      </c>
      <c r="E774" s="6" t="s">
        <v>48</v>
      </c>
      <c r="F774" s="6">
        <v>1773</v>
      </c>
      <c r="G774" s="6">
        <v>140755.16</v>
      </c>
      <c r="H774" s="7">
        <v>44543</v>
      </c>
      <c r="I774" s="6" t="s">
        <v>35</v>
      </c>
      <c r="J774" s="6" t="s">
        <v>1602</v>
      </c>
      <c r="K774" s="6" t="s">
        <v>37</v>
      </c>
      <c r="L774" s="6" t="s">
        <v>38</v>
      </c>
      <c r="M774" s="6" t="s">
        <v>39</v>
      </c>
      <c r="N774" s="6">
        <v>3.8</v>
      </c>
      <c r="O774" s="6">
        <v>141</v>
      </c>
    </row>
    <row r="775" spans="1:15" ht="14.25" customHeight="1" x14ac:dyDescent="0.3">
      <c r="A775" s="6" t="s">
        <v>1603</v>
      </c>
      <c r="B775" s="6">
        <v>51</v>
      </c>
      <c r="C775" s="6" t="s">
        <v>16</v>
      </c>
      <c r="D775" s="6" t="s">
        <v>17</v>
      </c>
      <c r="E775" s="6" t="s">
        <v>80</v>
      </c>
      <c r="F775" s="6">
        <v>1774</v>
      </c>
      <c r="G775" s="6">
        <v>91063.4</v>
      </c>
      <c r="H775" s="7">
        <v>39084</v>
      </c>
      <c r="I775" s="6" t="s">
        <v>41</v>
      </c>
      <c r="J775" s="6" t="s">
        <v>1604</v>
      </c>
      <c r="K775" s="6" t="s">
        <v>43</v>
      </c>
      <c r="L775" s="6" t="s">
        <v>44</v>
      </c>
      <c r="M775" s="6" t="s">
        <v>45</v>
      </c>
      <c r="N775" s="6">
        <v>2.3199999999999998</v>
      </c>
      <c r="O775" s="6">
        <v>83</v>
      </c>
    </row>
    <row r="776" spans="1:15" ht="14.25" customHeight="1" x14ac:dyDescent="0.3">
      <c r="A776" s="6" t="s">
        <v>1605</v>
      </c>
      <c r="B776" s="6">
        <v>22</v>
      </c>
      <c r="C776" s="6" t="s">
        <v>62</v>
      </c>
      <c r="D776" s="6" t="s">
        <v>47</v>
      </c>
      <c r="E776" s="6" t="s">
        <v>18</v>
      </c>
      <c r="F776" s="6">
        <v>1775</v>
      </c>
      <c r="G776" s="6">
        <v>123283.18</v>
      </c>
      <c r="H776" s="7">
        <v>44419</v>
      </c>
      <c r="I776" s="6" t="s">
        <v>49</v>
      </c>
      <c r="J776" s="6" t="s">
        <v>1606</v>
      </c>
      <c r="K776" s="6" t="s">
        <v>51</v>
      </c>
      <c r="L776" s="6" t="s">
        <v>52</v>
      </c>
      <c r="M776" s="6" t="s">
        <v>53</v>
      </c>
      <c r="N776" s="6">
        <v>3.38</v>
      </c>
      <c r="O776" s="6">
        <v>23</v>
      </c>
    </row>
    <row r="777" spans="1:15" ht="14.25" customHeight="1" x14ac:dyDescent="0.3">
      <c r="A777" s="6" t="s">
        <v>1607</v>
      </c>
      <c r="B777" s="6">
        <v>45</v>
      </c>
      <c r="C777" s="6" t="s">
        <v>16</v>
      </c>
      <c r="D777" s="6" t="s">
        <v>69</v>
      </c>
      <c r="E777" s="6" t="s">
        <v>80</v>
      </c>
      <c r="F777" s="6">
        <v>1776</v>
      </c>
      <c r="G777" s="6">
        <v>190698.06</v>
      </c>
      <c r="H777" s="7">
        <v>37872</v>
      </c>
      <c r="I777" s="6" t="s">
        <v>56</v>
      </c>
      <c r="J777" s="6" t="s">
        <v>1608</v>
      </c>
      <c r="K777" s="6" t="s">
        <v>21</v>
      </c>
      <c r="L777" s="6" t="s">
        <v>22</v>
      </c>
      <c r="M777" s="6" t="s">
        <v>23</v>
      </c>
      <c r="N777" s="6">
        <v>3.27</v>
      </c>
      <c r="O777" s="6">
        <v>176</v>
      </c>
    </row>
    <row r="778" spans="1:15" ht="14.25" customHeight="1" x14ac:dyDescent="0.3">
      <c r="A778" s="6" t="s">
        <v>1609</v>
      </c>
      <c r="B778" s="6">
        <v>37</v>
      </c>
      <c r="C778" s="6" t="s">
        <v>62</v>
      </c>
      <c r="D778" s="6" t="s">
        <v>17</v>
      </c>
      <c r="E778" s="6" t="s">
        <v>48</v>
      </c>
      <c r="F778" s="6">
        <v>1777</v>
      </c>
      <c r="G778" s="6">
        <v>107718.1</v>
      </c>
      <c r="H778" s="7">
        <v>39215</v>
      </c>
      <c r="I778" s="6" t="s">
        <v>63</v>
      </c>
      <c r="J778" s="6" t="s">
        <v>1610</v>
      </c>
      <c r="K778" s="6" t="s">
        <v>30</v>
      </c>
      <c r="L778" s="6" t="s">
        <v>31</v>
      </c>
      <c r="M778" s="6" t="s">
        <v>32</v>
      </c>
      <c r="N778" s="6">
        <v>3.35</v>
      </c>
      <c r="O778" s="6">
        <v>139</v>
      </c>
    </row>
    <row r="779" spans="1:15" ht="14.25" customHeight="1" x14ac:dyDescent="0.3">
      <c r="A779" s="6" t="s">
        <v>1611</v>
      </c>
      <c r="B779" s="6">
        <v>32</v>
      </c>
      <c r="C779" s="6" t="s">
        <v>62</v>
      </c>
      <c r="D779" s="6" t="s">
        <v>55</v>
      </c>
      <c r="E779" s="6" t="s">
        <v>80</v>
      </c>
      <c r="F779" s="6">
        <v>1778</v>
      </c>
      <c r="G779" s="6">
        <v>141496.26</v>
      </c>
      <c r="H779" s="7">
        <v>41348</v>
      </c>
      <c r="I779" s="6" t="s">
        <v>66</v>
      </c>
      <c r="J779" s="6" t="s">
        <v>1612</v>
      </c>
      <c r="K779" s="6" t="s">
        <v>37</v>
      </c>
      <c r="L779" s="6" t="s">
        <v>38</v>
      </c>
      <c r="M779" s="6" t="s">
        <v>39</v>
      </c>
      <c r="N779" s="6">
        <v>3.04</v>
      </c>
      <c r="O779" s="6">
        <v>49</v>
      </c>
    </row>
    <row r="780" spans="1:15" ht="14.25" customHeight="1" x14ac:dyDescent="0.3">
      <c r="A780" s="6" t="s">
        <v>1613</v>
      </c>
      <c r="B780" s="6">
        <v>25</v>
      </c>
      <c r="C780" s="6" t="s">
        <v>62</v>
      </c>
      <c r="D780" s="6" t="s">
        <v>47</v>
      </c>
      <c r="E780" s="6" t="s">
        <v>18</v>
      </c>
      <c r="F780" s="6">
        <v>1779</v>
      </c>
      <c r="G780" s="6">
        <v>104793.29</v>
      </c>
      <c r="H780" s="7">
        <v>43074</v>
      </c>
      <c r="I780" s="6" t="s">
        <v>70</v>
      </c>
      <c r="J780" s="6" t="s">
        <v>1614</v>
      </c>
      <c r="K780" s="6" t="s">
        <v>43</v>
      </c>
      <c r="L780" s="6" t="s">
        <v>44</v>
      </c>
      <c r="M780" s="6" t="s">
        <v>45</v>
      </c>
      <c r="N780" s="6">
        <v>3.08</v>
      </c>
      <c r="O780" s="6">
        <v>31</v>
      </c>
    </row>
    <row r="781" spans="1:15" ht="14.25" customHeight="1" x14ac:dyDescent="0.3">
      <c r="A781" s="6" t="s">
        <v>1615</v>
      </c>
      <c r="B781" s="6">
        <v>25</v>
      </c>
      <c r="C781" s="6" t="s">
        <v>16</v>
      </c>
      <c r="D781" s="6" t="s">
        <v>26</v>
      </c>
      <c r="E781" s="6" t="s">
        <v>80</v>
      </c>
      <c r="F781" s="6">
        <v>1780</v>
      </c>
      <c r="G781" s="6">
        <v>117477.05</v>
      </c>
      <c r="H781" s="7">
        <v>43820</v>
      </c>
      <c r="I781" s="6" t="s">
        <v>73</v>
      </c>
      <c r="J781" s="6" t="s">
        <v>1616</v>
      </c>
      <c r="K781" s="6" t="s">
        <v>51</v>
      </c>
      <c r="L781" s="6" t="s">
        <v>52</v>
      </c>
      <c r="M781" s="6" t="s">
        <v>53</v>
      </c>
      <c r="N781" s="6">
        <v>1.68</v>
      </c>
      <c r="O781" s="6">
        <v>68</v>
      </c>
    </row>
    <row r="782" spans="1:15" ht="14.25" customHeight="1" x14ac:dyDescent="0.3">
      <c r="A782" s="6" t="s">
        <v>1617</v>
      </c>
      <c r="B782" s="6">
        <v>38</v>
      </c>
      <c r="C782" s="6" t="s">
        <v>25</v>
      </c>
      <c r="D782" s="6" t="s">
        <v>55</v>
      </c>
      <c r="E782" s="6" t="s">
        <v>48</v>
      </c>
      <c r="F782" s="6">
        <v>1781</v>
      </c>
      <c r="G782" s="6">
        <v>167427.6</v>
      </c>
      <c r="H782" s="7">
        <v>42551</v>
      </c>
      <c r="I782" s="6" t="s">
        <v>19</v>
      </c>
      <c r="J782" s="6" t="s">
        <v>1618</v>
      </c>
      <c r="K782" s="6" t="s">
        <v>21</v>
      </c>
      <c r="L782" s="6" t="s">
        <v>22</v>
      </c>
      <c r="M782" s="6" t="s">
        <v>23</v>
      </c>
      <c r="N782" s="6">
        <v>3.71</v>
      </c>
      <c r="O782" s="6">
        <v>137</v>
      </c>
    </row>
    <row r="783" spans="1:15" ht="14.25" customHeight="1" x14ac:dyDescent="0.3">
      <c r="A783" s="6" t="s">
        <v>1619</v>
      </c>
      <c r="B783" s="6">
        <v>31</v>
      </c>
      <c r="C783" s="6" t="s">
        <v>62</v>
      </c>
      <c r="D783" s="6" t="s">
        <v>69</v>
      </c>
      <c r="E783" s="6" t="s">
        <v>34</v>
      </c>
      <c r="F783" s="6">
        <v>1782</v>
      </c>
      <c r="G783" s="6">
        <v>108804.63</v>
      </c>
      <c r="H783" s="7">
        <v>39131</v>
      </c>
      <c r="I783" s="6" t="s">
        <v>28</v>
      </c>
      <c r="J783" s="6" t="s">
        <v>1620</v>
      </c>
      <c r="K783" s="6" t="s">
        <v>30</v>
      </c>
      <c r="L783" s="6" t="s">
        <v>31</v>
      </c>
      <c r="M783" s="6" t="s">
        <v>32</v>
      </c>
      <c r="N783" s="6">
        <v>2.41</v>
      </c>
      <c r="O783" s="6">
        <v>176</v>
      </c>
    </row>
    <row r="784" spans="1:15" ht="14.25" customHeight="1" x14ac:dyDescent="0.3">
      <c r="A784" s="6" t="s">
        <v>1621</v>
      </c>
      <c r="B784" s="6">
        <v>42</v>
      </c>
      <c r="C784" s="6" t="s">
        <v>16</v>
      </c>
      <c r="D784" s="6" t="s">
        <v>55</v>
      </c>
      <c r="E784" s="6" t="s">
        <v>34</v>
      </c>
      <c r="F784" s="6">
        <v>1783</v>
      </c>
      <c r="G784" s="6">
        <v>115623.33</v>
      </c>
      <c r="H784" s="7">
        <v>40685</v>
      </c>
      <c r="I784" s="6" t="s">
        <v>35</v>
      </c>
      <c r="J784" s="6" t="s">
        <v>1622</v>
      </c>
      <c r="K784" s="6" t="s">
        <v>37</v>
      </c>
      <c r="L784" s="6" t="s">
        <v>38</v>
      </c>
      <c r="M784" s="6" t="s">
        <v>39</v>
      </c>
      <c r="N784" s="6">
        <v>3.41</v>
      </c>
      <c r="O784" s="6">
        <v>158</v>
      </c>
    </row>
    <row r="785" spans="1:15" ht="14.25" customHeight="1" x14ac:dyDescent="0.3">
      <c r="A785" s="6" t="s">
        <v>1623</v>
      </c>
      <c r="B785" s="6">
        <v>59</v>
      </c>
      <c r="C785" s="6" t="s">
        <v>62</v>
      </c>
      <c r="D785" s="6" t="s">
        <v>17</v>
      </c>
      <c r="E785" s="6" t="s">
        <v>27</v>
      </c>
      <c r="F785" s="6">
        <v>1784</v>
      </c>
      <c r="G785" s="6">
        <v>93067.7</v>
      </c>
      <c r="H785" s="7">
        <v>41246</v>
      </c>
      <c r="I785" s="6" t="s">
        <v>41</v>
      </c>
      <c r="J785" s="6" t="s">
        <v>1624</v>
      </c>
      <c r="K785" s="6" t="s">
        <v>43</v>
      </c>
      <c r="L785" s="6" t="s">
        <v>44</v>
      </c>
      <c r="M785" s="6" t="s">
        <v>45</v>
      </c>
      <c r="N785" s="6">
        <v>2.19</v>
      </c>
      <c r="O785" s="6">
        <v>179</v>
      </c>
    </row>
    <row r="786" spans="1:15" ht="14.25" customHeight="1" x14ac:dyDescent="0.3">
      <c r="A786" s="6" t="s">
        <v>1625</v>
      </c>
      <c r="B786" s="6">
        <v>39</v>
      </c>
      <c r="C786" s="6" t="s">
        <v>16</v>
      </c>
      <c r="D786" s="6" t="s">
        <v>26</v>
      </c>
      <c r="E786" s="6" t="s">
        <v>27</v>
      </c>
      <c r="F786" s="6">
        <v>1785</v>
      </c>
      <c r="G786" s="6">
        <v>173338.15</v>
      </c>
      <c r="H786" s="7">
        <v>40950</v>
      </c>
      <c r="I786" s="6" t="s">
        <v>49</v>
      </c>
      <c r="J786" s="6" t="s">
        <v>1626</v>
      </c>
      <c r="K786" s="6" t="s">
        <v>51</v>
      </c>
      <c r="L786" s="6" t="s">
        <v>52</v>
      </c>
      <c r="M786" s="6" t="s">
        <v>53</v>
      </c>
      <c r="N786" s="6">
        <v>3.82</v>
      </c>
      <c r="O786" s="6">
        <v>154</v>
      </c>
    </row>
    <row r="787" spans="1:15" ht="14.25" customHeight="1" x14ac:dyDescent="0.3">
      <c r="A787" s="6" t="s">
        <v>1627</v>
      </c>
      <c r="B787" s="6">
        <v>31</v>
      </c>
      <c r="C787" s="6" t="s">
        <v>25</v>
      </c>
      <c r="D787" s="6" t="s">
        <v>47</v>
      </c>
      <c r="E787" s="6" t="s">
        <v>18</v>
      </c>
      <c r="F787" s="6">
        <v>1786</v>
      </c>
      <c r="G787" s="6">
        <v>95463.15</v>
      </c>
      <c r="H787" s="7">
        <v>37413</v>
      </c>
      <c r="I787" s="6" t="s">
        <v>56</v>
      </c>
      <c r="J787" s="6" t="s">
        <v>1628</v>
      </c>
      <c r="K787" s="6" t="s">
        <v>21</v>
      </c>
      <c r="L787" s="6" t="s">
        <v>22</v>
      </c>
      <c r="M787" s="6" t="s">
        <v>23</v>
      </c>
      <c r="N787" s="6">
        <v>3.39</v>
      </c>
      <c r="O787" s="6">
        <v>27</v>
      </c>
    </row>
    <row r="788" spans="1:15" ht="14.25" customHeight="1" x14ac:dyDescent="0.3">
      <c r="A788" s="6" t="s">
        <v>1629</v>
      </c>
      <c r="B788" s="6">
        <v>37</v>
      </c>
      <c r="C788" s="6" t="s">
        <v>62</v>
      </c>
      <c r="D788" s="6" t="s">
        <v>26</v>
      </c>
      <c r="E788" s="6" t="s">
        <v>80</v>
      </c>
      <c r="F788" s="6">
        <v>1787</v>
      </c>
      <c r="G788" s="6">
        <v>159641.56</v>
      </c>
      <c r="H788" s="7">
        <v>39486</v>
      </c>
      <c r="I788" s="6" t="s">
        <v>63</v>
      </c>
      <c r="J788" s="6" t="s">
        <v>1630</v>
      </c>
      <c r="K788" s="6" t="s">
        <v>30</v>
      </c>
      <c r="L788" s="6" t="s">
        <v>31</v>
      </c>
      <c r="M788" s="6" t="s">
        <v>32</v>
      </c>
      <c r="N788" s="6">
        <v>3.9</v>
      </c>
      <c r="O788" s="6">
        <v>46</v>
      </c>
    </row>
    <row r="789" spans="1:15" ht="14.25" customHeight="1" x14ac:dyDescent="0.3">
      <c r="A789" s="6" t="s">
        <v>1631</v>
      </c>
      <c r="B789" s="6">
        <v>60</v>
      </c>
      <c r="C789" s="6" t="s">
        <v>62</v>
      </c>
      <c r="D789" s="6" t="s">
        <v>55</v>
      </c>
      <c r="E789" s="6" t="s">
        <v>80</v>
      </c>
      <c r="F789" s="6">
        <v>1788</v>
      </c>
      <c r="G789" s="6">
        <v>189137.4</v>
      </c>
      <c r="H789" s="7">
        <v>42960</v>
      </c>
      <c r="I789" s="6" t="s">
        <v>66</v>
      </c>
      <c r="J789" s="6" t="s">
        <v>1632</v>
      </c>
      <c r="K789" s="6" t="s">
        <v>37</v>
      </c>
      <c r="L789" s="6" t="s">
        <v>38</v>
      </c>
      <c r="M789" s="6" t="s">
        <v>39</v>
      </c>
      <c r="N789" s="6">
        <v>3.99</v>
      </c>
      <c r="O789" s="6">
        <v>89</v>
      </c>
    </row>
    <row r="790" spans="1:15" ht="14.25" customHeight="1" x14ac:dyDescent="0.3">
      <c r="A790" s="6" t="s">
        <v>1633</v>
      </c>
      <c r="B790" s="6">
        <v>36</v>
      </c>
      <c r="C790" s="6" t="s">
        <v>62</v>
      </c>
      <c r="D790" s="6" t="s">
        <v>26</v>
      </c>
      <c r="E790" s="6" t="s">
        <v>80</v>
      </c>
      <c r="F790" s="6">
        <v>1789</v>
      </c>
      <c r="G790" s="6">
        <v>165298.79999999999</v>
      </c>
      <c r="H790" s="7">
        <v>41435</v>
      </c>
      <c r="I790" s="6" t="s">
        <v>70</v>
      </c>
      <c r="J790" s="6" t="s">
        <v>1634</v>
      </c>
      <c r="K790" s="6" t="s">
        <v>43</v>
      </c>
      <c r="L790" s="6" t="s">
        <v>44</v>
      </c>
      <c r="M790" s="6" t="s">
        <v>45</v>
      </c>
      <c r="N790" s="6">
        <v>3.91</v>
      </c>
      <c r="O790" s="6">
        <v>77</v>
      </c>
    </row>
    <row r="791" spans="1:15" ht="14.25" customHeight="1" x14ac:dyDescent="0.3">
      <c r="A791" s="6" t="s">
        <v>1635</v>
      </c>
      <c r="B791" s="6">
        <v>55</v>
      </c>
      <c r="C791" s="6" t="s">
        <v>25</v>
      </c>
      <c r="D791" s="6" t="s">
        <v>69</v>
      </c>
      <c r="E791" s="6" t="s">
        <v>18</v>
      </c>
      <c r="F791" s="6">
        <v>1790</v>
      </c>
      <c r="G791" s="6">
        <v>180449.3</v>
      </c>
      <c r="H791" s="7">
        <v>39500</v>
      </c>
      <c r="I791" s="6" t="s">
        <v>73</v>
      </c>
      <c r="J791" s="6" t="s">
        <v>1636</v>
      </c>
      <c r="K791" s="6" t="s">
        <v>51</v>
      </c>
      <c r="L791" s="6" t="s">
        <v>52</v>
      </c>
      <c r="M791" s="6" t="s">
        <v>53</v>
      </c>
      <c r="N791" s="6">
        <v>4.49</v>
      </c>
      <c r="O791" s="6">
        <v>57</v>
      </c>
    </row>
    <row r="792" spans="1:15" ht="14.25" customHeight="1" x14ac:dyDescent="0.3">
      <c r="A792" s="6" t="s">
        <v>1637</v>
      </c>
      <c r="B792" s="6">
        <v>26</v>
      </c>
      <c r="C792" s="6" t="s">
        <v>16</v>
      </c>
      <c r="D792" s="6" t="s">
        <v>17</v>
      </c>
      <c r="E792" s="6" t="s">
        <v>18</v>
      </c>
      <c r="F792" s="6">
        <v>1791</v>
      </c>
      <c r="G792" s="6">
        <v>71260.58</v>
      </c>
      <c r="H792" s="7">
        <v>36689</v>
      </c>
      <c r="I792" s="6" t="s">
        <v>19</v>
      </c>
      <c r="J792" s="6" t="s">
        <v>1638</v>
      </c>
      <c r="K792" s="6" t="s">
        <v>21</v>
      </c>
      <c r="L792" s="6" t="s">
        <v>22</v>
      </c>
      <c r="M792" s="6" t="s">
        <v>23</v>
      </c>
      <c r="N792" s="6">
        <v>4.8499999999999996</v>
      </c>
      <c r="O792" s="6">
        <v>36</v>
      </c>
    </row>
    <row r="793" spans="1:15" ht="14.25" customHeight="1" x14ac:dyDescent="0.3">
      <c r="A793" s="6" t="s">
        <v>1639</v>
      </c>
      <c r="B793" s="6">
        <v>38</v>
      </c>
      <c r="C793" s="6" t="s">
        <v>62</v>
      </c>
      <c r="D793" s="6" t="s">
        <v>17</v>
      </c>
      <c r="E793" s="6" t="s">
        <v>80</v>
      </c>
      <c r="F793" s="6">
        <v>1792</v>
      </c>
      <c r="G793" s="6">
        <v>110385.22</v>
      </c>
      <c r="H793" s="7">
        <v>36708</v>
      </c>
      <c r="I793" s="6" t="s">
        <v>28</v>
      </c>
      <c r="J793" s="6" t="s">
        <v>1640</v>
      </c>
      <c r="K793" s="6" t="s">
        <v>30</v>
      </c>
      <c r="L793" s="6" t="s">
        <v>31</v>
      </c>
      <c r="M793" s="6" t="s">
        <v>32</v>
      </c>
      <c r="N793" s="6">
        <v>2.87</v>
      </c>
      <c r="O793" s="6">
        <v>167</v>
      </c>
    </row>
    <row r="794" spans="1:15" ht="14.25" customHeight="1" x14ac:dyDescent="0.3">
      <c r="A794" s="6" t="s">
        <v>1641</v>
      </c>
      <c r="B794" s="6">
        <v>58</v>
      </c>
      <c r="C794" s="6" t="s">
        <v>62</v>
      </c>
      <c r="D794" s="6" t="s">
        <v>69</v>
      </c>
      <c r="E794" s="6" t="s">
        <v>48</v>
      </c>
      <c r="F794" s="6">
        <v>1793</v>
      </c>
      <c r="G794" s="6">
        <v>53845.26</v>
      </c>
      <c r="H794" s="7">
        <v>41523</v>
      </c>
      <c r="I794" s="6" t="s">
        <v>35</v>
      </c>
      <c r="J794" s="6" t="s">
        <v>1642</v>
      </c>
      <c r="K794" s="6" t="s">
        <v>37</v>
      </c>
      <c r="L794" s="6" t="s">
        <v>38</v>
      </c>
      <c r="M794" s="6" t="s">
        <v>39</v>
      </c>
      <c r="N794" s="6">
        <v>2.09</v>
      </c>
      <c r="O794" s="6">
        <v>67</v>
      </c>
    </row>
    <row r="795" spans="1:15" ht="14.25" customHeight="1" x14ac:dyDescent="0.3">
      <c r="A795" s="6" t="s">
        <v>37</v>
      </c>
      <c r="B795" s="6">
        <v>29</v>
      </c>
      <c r="C795" s="6" t="s">
        <v>25</v>
      </c>
      <c r="D795" s="6" t="s">
        <v>17</v>
      </c>
      <c r="E795" s="6" t="s">
        <v>18</v>
      </c>
      <c r="F795" s="6">
        <v>1794</v>
      </c>
      <c r="G795" s="6">
        <v>128392.58</v>
      </c>
      <c r="H795" s="7">
        <v>41254</v>
      </c>
      <c r="I795" s="6" t="s">
        <v>41</v>
      </c>
      <c r="J795" s="6" t="s">
        <v>1643</v>
      </c>
      <c r="K795" s="6" t="s">
        <v>43</v>
      </c>
      <c r="L795" s="6" t="s">
        <v>44</v>
      </c>
      <c r="M795" s="6" t="s">
        <v>45</v>
      </c>
      <c r="N795" s="6">
        <v>3.01</v>
      </c>
      <c r="O795" s="6">
        <v>169</v>
      </c>
    </row>
    <row r="796" spans="1:15" ht="14.25" customHeight="1" x14ac:dyDescent="0.3">
      <c r="A796" s="6" t="s">
        <v>1644</v>
      </c>
      <c r="B796" s="6">
        <v>45</v>
      </c>
      <c r="C796" s="6" t="s">
        <v>16</v>
      </c>
      <c r="D796" s="6" t="s">
        <v>47</v>
      </c>
      <c r="E796" s="6" t="s">
        <v>27</v>
      </c>
      <c r="F796" s="6">
        <v>1795</v>
      </c>
      <c r="G796" s="6">
        <v>199808.81</v>
      </c>
      <c r="H796" s="7">
        <v>37498</v>
      </c>
      <c r="I796" s="6" t="s">
        <v>49</v>
      </c>
      <c r="J796" s="6" t="s">
        <v>1645</v>
      </c>
      <c r="K796" s="6" t="s">
        <v>51</v>
      </c>
      <c r="L796" s="6" t="s">
        <v>52</v>
      </c>
      <c r="M796" s="6" t="s">
        <v>53</v>
      </c>
      <c r="N796" s="6">
        <v>1.34</v>
      </c>
      <c r="O796" s="6">
        <v>74</v>
      </c>
    </row>
    <row r="797" spans="1:15" ht="14.25" customHeight="1" x14ac:dyDescent="0.3">
      <c r="A797" s="6" t="s">
        <v>1646</v>
      </c>
      <c r="B797" s="6">
        <v>49</v>
      </c>
      <c r="C797" s="6" t="s">
        <v>25</v>
      </c>
      <c r="D797" s="6" t="s">
        <v>17</v>
      </c>
      <c r="E797" s="6" t="s">
        <v>48</v>
      </c>
      <c r="F797" s="6">
        <v>1796</v>
      </c>
      <c r="G797" s="6">
        <v>130773.99</v>
      </c>
      <c r="H797" s="7">
        <v>36616</v>
      </c>
      <c r="I797" s="6" t="s">
        <v>56</v>
      </c>
      <c r="J797" s="6" t="s">
        <v>1647</v>
      </c>
      <c r="K797" s="6" t="s">
        <v>21</v>
      </c>
      <c r="L797" s="6" t="s">
        <v>22</v>
      </c>
      <c r="M797" s="6" t="s">
        <v>23</v>
      </c>
      <c r="N797" s="6">
        <v>2.36</v>
      </c>
      <c r="O797" s="6">
        <v>45</v>
      </c>
    </row>
    <row r="798" spans="1:15" ht="14.25" customHeight="1" x14ac:dyDescent="0.3">
      <c r="A798" s="6" t="s">
        <v>1648</v>
      </c>
      <c r="B798" s="6">
        <v>29</v>
      </c>
      <c r="C798" s="6" t="s">
        <v>25</v>
      </c>
      <c r="D798" s="6" t="s">
        <v>17</v>
      </c>
      <c r="E798" s="6" t="s">
        <v>34</v>
      </c>
      <c r="F798" s="6">
        <v>1797</v>
      </c>
      <c r="G798" s="6">
        <v>179251.24</v>
      </c>
      <c r="H798" s="7">
        <v>39813</v>
      </c>
      <c r="I798" s="6" t="s">
        <v>63</v>
      </c>
      <c r="J798" s="6" t="s">
        <v>1649</v>
      </c>
      <c r="K798" s="6" t="s">
        <v>30</v>
      </c>
      <c r="L798" s="6" t="s">
        <v>31</v>
      </c>
      <c r="M798" s="6" t="s">
        <v>32</v>
      </c>
      <c r="N798" s="6">
        <v>2.2599999999999998</v>
      </c>
      <c r="O798" s="6">
        <v>139</v>
      </c>
    </row>
    <row r="799" spans="1:15" ht="14.25" customHeight="1" x14ac:dyDescent="0.3">
      <c r="A799" s="6" t="s">
        <v>1650</v>
      </c>
      <c r="B799" s="6">
        <v>44</v>
      </c>
      <c r="C799" s="6" t="s">
        <v>62</v>
      </c>
      <c r="D799" s="6" t="s">
        <v>55</v>
      </c>
      <c r="E799" s="6" t="s">
        <v>80</v>
      </c>
      <c r="F799" s="6">
        <v>1798</v>
      </c>
      <c r="G799" s="6">
        <v>198472.68</v>
      </c>
      <c r="H799" s="7">
        <v>37803</v>
      </c>
      <c r="I799" s="6" t="s">
        <v>66</v>
      </c>
      <c r="J799" s="6" t="s">
        <v>1651</v>
      </c>
      <c r="K799" s="6" t="s">
        <v>37</v>
      </c>
      <c r="L799" s="6" t="s">
        <v>38</v>
      </c>
      <c r="M799" s="6" t="s">
        <v>39</v>
      </c>
      <c r="N799" s="6">
        <v>3.38</v>
      </c>
      <c r="O799" s="6">
        <v>18</v>
      </c>
    </row>
    <row r="800" spans="1:15" ht="14.25" customHeight="1" x14ac:dyDescent="0.3">
      <c r="A800" s="6" t="s">
        <v>1652</v>
      </c>
      <c r="B800" s="6">
        <v>56</v>
      </c>
      <c r="C800" s="6" t="s">
        <v>16</v>
      </c>
      <c r="D800" s="6" t="s">
        <v>26</v>
      </c>
      <c r="E800" s="6" t="s">
        <v>27</v>
      </c>
      <c r="F800" s="6">
        <v>1799</v>
      </c>
      <c r="G800" s="6">
        <v>99713.69</v>
      </c>
      <c r="H800" s="7">
        <v>38384</v>
      </c>
      <c r="I800" s="6" t="s">
        <v>70</v>
      </c>
      <c r="J800" s="6" t="s">
        <v>1653</v>
      </c>
      <c r="K800" s="6" t="s">
        <v>43</v>
      </c>
      <c r="L800" s="6" t="s">
        <v>44</v>
      </c>
      <c r="M800" s="6" t="s">
        <v>45</v>
      </c>
      <c r="N800" s="6">
        <v>2.31</v>
      </c>
      <c r="O800" s="6">
        <v>170</v>
      </c>
    </row>
    <row r="801" spans="1:15" ht="14.25" customHeight="1" x14ac:dyDescent="0.3">
      <c r="A801" s="6" t="s">
        <v>1654</v>
      </c>
      <c r="B801" s="6">
        <v>52</v>
      </c>
      <c r="C801" s="6" t="s">
        <v>62</v>
      </c>
      <c r="D801" s="6" t="s">
        <v>17</v>
      </c>
      <c r="E801" s="6" t="s">
        <v>27</v>
      </c>
      <c r="F801" s="6">
        <v>1800</v>
      </c>
      <c r="G801" s="6">
        <v>114221.6</v>
      </c>
      <c r="H801" s="7">
        <v>36651</v>
      </c>
      <c r="I801" s="6" t="s">
        <v>73</v>
      </c>
      <c r="J801" s="6" t="s">
        <v>1655</v>
      </c>
      <c r="K801" s="6" t="s">
        <v>51</v>
      </c>
      <c r="L801" s="6" t="s">
        <v>52</v>
      </c>
      <c r="M801" s="6" t="s">
        <v>53</v>
      </c>
      <c r="N801" s="6">
        <v>3.71</v>
      </c>
      <c r="O801" s="6">
        <v>146</v>
      </c>
    </row>
    <row r="802" spans="1:15" ht="14.25" customHeight="1" x14ac:dyDescent="0.3">
      <c r="A802" s="6" t="s">
        <v>1656</v>
      </c>
      <c r="B802" s="6">
        <v>38</v>
      </c>
      <c r="C802" s="6" t="s">
        <v>62</v>
      </c>
      <c r="D802" s="6" t="s">
        <v>55</v>
      </c>
      <c r="E802" s="6" t="s">
        <v>27</v>
      </c>
      <c r="F802" s="6">
        <v>1801</v>
      </c>
      <c r="G802" s="6">
        <v>132015.03</v>
      </c>
      <c r="H802" s="7">
        <v>44177</v>
      </c>
      <c r="I802" s="6" t="s">
        <v>19</v>
      </c>
      <c r="J802" s="6" t="s">
        <v>1657</v>
      </c>
      <c r="K802" s="6" t="s">
        <v>21</v>
      </c>
      <c r="L802" s="6" t="s">
        <v>22</v>
      </c>
      <c r="M802" s="6" t="s">
        <v>23</v>
      </c>
      <c r="N802" s="6">
        <v>2.96</v>
      </c>
      <c r="O802" s="6">
        <v>17</v>
      </c>
    </row>
    <row r="803" spans="1:15" ht="14.25" customHeight="1" x14ac:dyDescent="0.3">
      <c r="A803" s="6" t="s">
        <v>1658</v>
      </c>
      <c r="B803" s="6">
        <v>49</v>
      </c>
      <c r="C803" s="6" t="s">
        <v>25</v>
      </c>
      <c r="D803" s="6" t="s">
        <v>69</v>
      </c>
      <c r="E803" s="6" t="s">
        <v>27</v>
      </c>
      <c r="F803" s="6">
        <v>1802</v>
      </c>
      <c r="G803" s="6">
        <v>159541.03</v>
      </c>
      <c r="H803" s="7">
        <v>37089</v>
      </c>
      <c r="I803" s="6" t="s">
        <v>28</v>
      </c>
      <c r="J803" s="6" t="s">
        <v>1659</v>
      </c>
      <c r="K803" s="6" t="s">
        <v>30</v>
      </c>
      <c r="L803" s="6" t="s">
        <v>31</v>
      </c>
      <c r="M803" s="6" t="s">
        <v>32</v>
      </c>
      <c r="N803" s="6">
        <v>4.58</v>
      </c>
      <c r="O803" s="6">
        <v>161</v>
      </c>
    </row>
    <row r="804" spans="1:15" ht="14.25" customHeight="1" x14ac:dyDescent="0.3">
      <c r="A804" s="6" t="s">
        <v>1660</v>
      </c>
      <c r="B804" s="6">
        <v>33</v>
      </c>
      <c r="C804" s="6" t="s">
        <v>25</v>
      </c>
      <c r="D804" s="6" t="s">
        <v>47</v>
      </c>
      <c r="E804" s="6" t="s">
        <v>80</v>
      </c>
      <c r="F804" s="6">
        <v>1803</v>
      </c>
      <c r="G804" s="6">
        <v>126465.81</v>
      </c>
      <c r="H804" s="7">
        <v>42925</v>
      </c>
      <c r="I804" s="6" t="s">
        <v>35</v>
      </c>
      <c r="J804" s="6" t="s">
        <v>1661</v>
      </c>
      <c r="K804" s="6" t="s">
        <v>37</v>
      </c>
      <c r="L804" s="6" t="s">
        <v>38</v>
      </c>
      <c r="M804" s="6" t="s">
        <v>39</v>
      </c>
      <c r="N804" s="6">
        <v>1.49</v>
      </c>
      <c r="O804" s="6">
        <v>102</v>
      </c>
    </row>
    <row r="805" spans="1:15" ht="14.25" customHeight="1" x14ac:dyDescent="0.3">
      <c r="A805" s="6" t="s">
        <v>1662</v>
      </c>
      <c r="B805" s="6">
        <v>45</v>
      </c>
      <c r="C805" s="6" t="s">
        <v>62</v>
      </c>
      <c r="D805" s="6" t="s">
        <v>69</v>
      </c>
      <c r="E805" s="6" t="s">
        <v>27</v>
      </c>
      <c r="F805" s="6">
        <v>1804</v>
      </c>
      <c r="G805" s="6">
        <v>77713.69</v>
      </c>
      <c r="H805" s="7">
        <v>43240</v>
      </c>
      <c r="I805" s="6" t="s">
        <v>41</v>
      </c>
      <c r="J805" s="6" t="s">
        <v>1663</v>
      </c>
      <c r="K805" s="6" t="s">
        <v>43</v>
      </c>
      <c r="L805" s="6" t="s">
        <v>44</v>
      </c>
      <c r="M805" s="6" t="s">
        <v>45</v>
      </c>
      <c r="N805" s="6">
        <v>1.04</v>
      </c>
      <c r="O805" s="6">
        <v>134</v>
      </c>
    </row>
    <row r="806" spans="1:15" ht="14.25" customHeight="1" x14ac:dyDescent="0.3">
      <c r="A806" s="6" t="s">
        <v>1664</v>
      </c>
      <c r="B806" s="6">
        <v>36</v>
      </c>
      <c r="C806" s="6" t="s">
        <v>25</v>
      </c>
      <c r="D806" s="6" t="s">
        <v>47</v>
      </c>
      <c r="E806" s="6" t="s">
        <v>27</v>
      </c>
      <c r="F806" s="6">
        <v>1805</v>
      </c>
      <c r="G806" s="6">
        <v>125341.25</v>
      </c>
      <c r="H806" s="7">
        <v>39375</v>
      </c>
      <c r="I806" s="6" t="s">
        <v>49</v>
      </c>
      <c r="J806" s="6" t="s">
        <v>1665</v>
      </c>
      <c r="K806" s="6" t="s">
        <v>51</v>
      </c>
      <c r="L806" s="6" t="s">
        <v>52</v>
      </c>
      <c r="M806" s="6" t="s">
        <v>53</v>
      </c>
      <c r="N806" s="6">
        <v>2.89</v>
      </c>
      <c r="O806" s="6">
        <v>74</v>
      </c>
    </row>
    <row r="807" spans="1:15" ht="14.25" customHeight="1" x14ac:dyDescent="0.3">
      <c r="A807" s="6" t="s">
        <v>1666</v>
      </c>
      <c r="B807" s="6">
        <v>61</v>
      </c>
      <c r="C807" s="6" t="s">
        <v>25</v>
      </c>
      <c r="D807" s="6" t="s">
        <v>55</v>
      </c>
      <c r="E807" s="6" t="s">
        <v>48</v>
      </c>
      <c r="F807" s="6">
        <v>1806</v>
      </c>
      <c r="G807" s="6">
        <v>158181.76000000001</v>
      </c>
      <c r="H807" s="7">
        <v>38741</v>
      </c>
      <c r="I807" s="6" t="s">
        <v>56</v>
      </c>
      <c r="J807" s="6" t="s">
        <v>1667</v>
      </c>
      <c r="K807" s="6" t="s">
        <v>21</v>
      </c>
      <c r="L807" s="6" t="s">
        <v>22</v>
      </c>
      <c r="M807" s="6" t="s">
        <v>23</v>
      </c>
      <c r="N807" s="6">
        <v>2.04</v>
      </c>
      <c r="O807" s="6">
        <v>134</v>
      </c>
    </row>
    <row r="808" spans="1:15" ht="14.25" customHeight="1" x14ac:dyDescent="0.3">
      <c r="A808" s="6" t="s">
        <v>1668</v>
      </c>
      <c r="B808" s="6">
        <v>52</v>
      </c>
      <c r="C808" s="6" t="s">
        <v>16</v>
      </c>
      <c r="D808" s="6" t="s">
        <v>69</v>
      </c>
      <c r="E808" s="6" t="s">
        <v>18</v>
      </c>
      <c r="F808" s="6">
        <v>1807</v>
      </c>
      <c r="G808" s="6">
        <v>162964.46</v>
      </c>
      <c r="H808" s="7">
        <v>39425</v>
      </c>
      <c r="I808" s="6" t="s">
        <v>63</v>
      </c>
      <c r="J808" s="6" t="s">
        <v>1669</v>
      </c>
      <c r="K808" s="6" t="s">
        <v>30</v>
      </c>
      <c r="L808" s="6" t="s">
        <v>31</v>
      </c>
      <c r="M808" s="6" t="s">
        <v>32</v>
      </c>
      <c r="N808" s="6">
        <v>2.7</v>
      </c>
      <c r="O808" s="6">
        <v>16</v>
      </c>
    </row>
    <row r="809" spans="1:15" ht="14.25" customHeight="1" x14ac:dyDescent="0.3">
      <c r="A809" s="6" t="s">
        <v>1670</v>
      </c>
      <c r="B809" s="6">
        <v>48</v>
      </c>
      <c r="C809" s="6" t="s">
        <v>62</v>
      </c>
      <c r="D809" s="6" t="s">
        <v>55</v>
      </c>
      <c r="E809" s="6" t="s">
        <v>34</v>
      </c>
      <c r="F809" s="6">
        <v>1808</v>
      </c>
      <c r="G809" s="6">
        <v>112839.82</v>
      </c>
      <c r="H809" s="7">
        <v>42162</v>
      </c>
      <c r="I809" s="6" t="s">
        <v>66</v>
      </c>
      <c r="J809" s="6" t="s">
        <v>1671</v>
      </c>
      <c r="K809" s="6" t="s">
        <v>37</v>
      </c>
      <c r="L809" s="6" t="s">
        <v>38</v>
      </c>
      <c r="M809" s="6" t="s">
        <v>39</v>
      </c>
      <c r="N809" s="6">
        <v>4.93</v>
      </c>
      <c r="O809" s="6">
        <v>22</v>
      </c>
    </row>
    <row r="810" spans="1:15" ht="14.25" customHeight="1" x14ac:dyDescent="0.3">
      <c r="A810" s="6" t="s">
        <v>1672</v>
      </c>
      <c r="B810" s="6">
        <v>56</v>
      </c>
      <c r="C810" s="6" t="s">
        <v>62</v>
      </c>
      <c r="D810" s="6" t="s">
        <v>47</v>
      </c>
      <c r="E810" s="6" t="s">
        <v>80</v>
      </c>
      <c r="F810" s="6">
        <v>1809</v>
      </c>
      <c r="G810" s="6">
        <v>141230.51999999999</v>
      </c>
      <c r="H810" s="7">
        <v>42259</v>
      </c>
      <c r="I810" s="6" t="s">
        <v>70</v>
      </c>
      <c r="J810" s="6" t="s">
        <v>1673</v>
      </c>
      <c r="K810" s="6" t="s">
        <v>43</v>
      </c>
      <c r="L810" s="6" t="s">
        <v>44</v>
      </c>
      <c r="M810" s="6" t="s">
        <v>45</v>
      </c>
      <c r="N810" s="6">
        <v>4.7300000000000004</v>
      </c>
      <c r="O810" s="6">
        <v>163</v>
      </c>
    </row>
    <row r="811" spans="1:15" ht="14.25" customHeight="1" x14ac:dyDescent="0.3">
      <c r="A811" s="6" t="s">
        <v>1674</v>
      </c>
      <c r="B811" s="6">
        <v>39</v>
      </c>
      <c r="C811" s="6" t="s">
        <v>16</v>
      </c>
      <c r="D811" s="6" t="s">
        <v>17</v>
      </c>
      <c r="E811" s="6" t="s">
        <v>34</v>
      </c>
      <c r="F811" s="6">
        <v>1810</v>
      </c>
      <c r="G811" s="6">
        <v>198982.61</v>
      </c>
      <c r="H811" s="7">
        <v>37635</v>
      </c>
      <c r="I811" s="6" t="s">
        <v>73</v>
      </c>
      <c r="J811" s="6" t="s">
        <v>1675</v>
      </c>
      <c r="K811" s="6" t="s">
        <v>51</v>
      </c>
      <c r="L811" s="6" t="s">
        <v>52</v>
      </c>
      <c r="M811" s="6" t="s">
        <v>53</v>
      </c>
      <c r="N811" s="6">
        <v>2.4500000000000002</v>
      </c>
      <c r="O811" s="6">
        <v>167</v>
      </c>
    </row>
    <row r="812" spans="1:15" ht="14.25" customHeight="1" x14ac:dyDescent="0.3">
      <c r="A812" s="6" t="s">
        <v>1676</v>
      </c>
      <c r="B812" s="6">
        <v>57</v>
      </c>
      <c r="C812" s="6" t="s">
        <v>25</v>
      </c>
      <c r="D812" s="6" t="s">
        <v>55</v>
      </c>
      <c r="E812" s="6" t="s">
        <v>34</v>
      </c>
      <c r="F812" s="6">
        <v>1811</v>
      </c>
      <c r="G812" s="6">
        <v>100783.52</v>
      </c>
      <c r="H812" s="7">
        <v>39603</v>
      </c>
      <c r="I812" s="6" t="s">
        <v>19</v>
      </c>
      <c r="J812" s="6" t="s">
        <v>1677</v>
      </c>
      <c r="K812" s="6" t="s">
        <v>21</v>
      </c>
      <c r="L812" s="6" t="s">
        <v>22</v>
      </c>
      <c r="M812" s="6" t="s">
        <v>23</v>
      </c>
      <c r="N812" s="6">
        <v>3.75</v>
      </c>
      <c r="O812" s="6">
        <v>127</v>
      </c>
    </row>
    <row r="813" spans="1:15" ht="14.25" customHeight="1" x14ac:dyDescent="0.3">
      <c r="A813" s="6" t="s">
        <v>1678</v>
      </c>
      <c r="B813" s="6">
        <v>29</v>
      </c>
      <c r="C813" s="6" t="s">
        <v>16</v>
      </c>
      <c r="D813" s="6" t="s">
        <v>26</v>
      </c>
      <c r="E813" s="6" t="s">
        <v>18</v>
      </c>
      <c r="F813" s="6">
        <v>1812</v>
      </c>
      <c r="G813" s="6">
        <v>66625.66</v>
      </c>
      <c r="H813" s="7">
        <v>44695</v>
      </c>
      <c r="I813" s="6" t="s">
        <v>28</v>
      </c>
      <c r="J813" s="6" t="s">
        <v>1679</v>
      </c>
      <c r="K813" s="6" t="s">
        <v>30</v>
      </c>
      <c r="L813" s="6" t="s">
        <v>31</v>
      </c>
      <c r="M813" s="6" t="s">
        <v>32</v>
      </c>
      <c r="N813" s="6">
        <v>2.34</v>
      </c>
      <c r="O813" s="6">
        <v>161</v>
      </c>
    </row>
    <row r="814" spans="1:15" ht="14.25" customHeight="1" x14ac:dyDescent="0.3">
      <c r="A814" s="6" t="s">
        <v>1680</v>
      </c>
      <c r="B814" s="6">
        <v>59</v>
      </c>
      <c r="C814" s="6" t="s">
        <v>16</v>
      </c>
      <c r="D814" s="6" t="s">
        <v>17</v>
      </c>
      <c r="E814" s="6" t="s">
        <v>80</v>
      </c>
      <c r="F814" s="6">
        <v>1813</v>
      </c>
      <c r="G814" s="6">
        <v>71166.95</v>
      </c>
      <c r="H814" s="7">
        <v>42300</v>
      </c>
      <c r="I814" s="6" t="s">
        <v>35</v>
      </c>
      <c r="J814" s="6" t="s">
        <v>1681</v>
      </c>
      <c r="K814" s="6" t="s">
        <v>37</v>
      </c>
      <c r="L814" s="6" t="s">
        <v>38</v>
      </c>
      <c r="M814" s="6" t="s">
        <v>39</v>
      </c>
      <c r="N814" s="6">
        <v>2.65</v>
      </c>
      <c r="O814" s="6">
        <v>23</v>
      </c>
    </row>
    <row r="815" spans="1:15" ht="14.25" customHeight="1" x14ac:dyDescent="0.3">
      <c r="A815" s="6" t="s">
        <v>1682</v>
      </c>
      <c r="B815" s="6">
        <v>26</v>
      </c>
      <c r="C815" s="6" t="s">
        <v>16</v>
      </c>
      <c r="D815" s="6" t="s">
        <v>17</v>
      </c>
      <c r="E815" s="6" t="s">
        <v>48</v>
      </c>
      <c r="F815" s="6">
        <v>1814</v>
      </c>
      <c r="G815" s="6">
        <v>171161.69</v>
      </c>
      <c r="H815" s="7">
        <v>37940</v>
      </c>
      <c r="I815" s="6" t="s">
        <v>41</v>
      </c>
      <c r="J815" s="6" t="s">
        <v>1683</v>
      </c>
      <c r="K815" s="6" t="s">
        <v>43</v>
      </c>
      <c r="L815" s="6" t="s">
        <v>44</v>
      </c>
      <c r="M815" s="6" t="s">
        <v>45</v>
      </c>
      <c r="N815" s="6">
        <v>1.23</v>
      </c>
      <c r="O815" s="6">
        <v>138</v>
      </c>
    </row>
    <row r="816" spans="1:15" ht="14.25" customHeight="1" x14ac:dyDescent="0.3">
      <c r="A816" s="6" t="s">
        <v>1684</v>
      </c>
      <c r="B816" s="6">
        <v>35</v>
      </c>
      <c r="C816" s="6" t="s">
        <v>25</v>
      </c>
      <c r="D816" s="6" t="s">
        <v>26</v>
      </c>
      <c r="E816" s="6" t="s">
        <v>18</v>
      </c>
      <c r="F816" s="6">
        <v>1815</v>
      </c>
      <c r="G816" s="6">
        <v>145790.29999999999</v>
      </c>
      <c r="H816" s="7">
        <v>44827</v>
      </c>
      <c r="I816" s="6" t="s">
        <v>49</v>
      </c>
      <c r="J816" s="6" t="s">
        <v>1685</v>
      </c>
      <c r="K816" s="6" t="s">
        <v>51</v>
      </c>
      <c r="L816" s="6" t="s">
        <v>52</v>
      </c>
      <c r="M816" s="6" t="s">
        <v>53</v>
      </c>
      <c r="N816" s="6">
        <v>1.52</v>
      </c>
      <c r="O816" s="6">
        <v>16</v>
      </c>
    </row>
    <row r="817" spans="1:15" ht="14.25" customHeight="1" x14ac:dyDescent="0.3">
      <c r="A817" s="6" t="s">
        <v>1686</v>
      </c>
      <c r="B817" s="6">
        <v>59</v>
      </c>
      <c r="C817" s="6" t="s">
        <v>16</v>
      </c>
      <c r="D817" s="6" t="s">
        <v>69</v>
      </c>
      <c r="E817" s="6" t="s">
        <v>27</v>
      </c>
      <c r="F817" s="6">
        <v>1816</v>
      </c>
      <c r="G817" s="6">
        <v>104991.42</v>
      </c>
      <c r="H817" s="7">
        <v>39813</v>
      </c>
      <c r="I817" s="6" t="s">
        <v>56</v>
      </c>
      <c r="J817" s="6" t="s">
        <v>1687</v>
      </c>
      <c r="K817" s="6" t="s">
        <v>21</v>
      </c>
      <c r="L817" s="6" t="s">
        <v>22</v>
      </c>
      <c r="M817" s="6" t="s">
        <v>23</v>
      </c>
      <c r="N817" s="6">
        <v>4.07</v>
      </c>
      <c r="O817" s="6">
        <v>145</v>
      </c>
    </row>
    <row r="818" spans="1:15" ht="14.25" customHeight="1" x14ac:dyDescent="0.3">
      <c r="A818" s="6" t="s">
        <v>1688</v>
      </c>
      <c r="B818" s="6">
        <v>41</v>
      </c>
      <c r="C818" s="6" t="s">
        <v>62</v>
      </c>
      <c r="D818" s="6" t="s">
        <v>26</v>
      </c>
      <c r="E818" s="6" t="s">
        <v>27</v>
      </c>
      <c r="F818" s="6">
        <v>1817</v>
      </c>
      <c r="G818" s="6">
        <v>57932.82</v>
      </c>
      <c r="H818" s="7">
        <v>38768</v>
      </c>
      <c r="I818" s="6" t="s">
        <v>63</v>
      </c>
      <c r="J818" s="6" t="s">
        <v>1689</v>
      </c>
      <c r="K818" s="6" t="s">
        <v>30</v>
      </c>
      <c r="L818" s="6" t="s">
        <v>31</v>
      </c>
      <c r="M818" s="6" t="s">
        <v>32</v>
      </c>
      <c r="N818" s="6">
        <v>4.8899999999999997</v>
      </c>
      <c r="O818" s="6">
        <v>155</v>
      </c>
    </row>
    <row r="819" spans="1:15" ht="14.25" customHeight="1" x14ac:dyDescent="0.3">
      <c r="A819" s="6" t="s">
        <v>1690</v>
      </c>
      <c r="B819" s="6">
        <v>30</v>
      </c>
      <c r="C819" s="6" t="s">
        <v>25</v>
      </c>
      <c r="D819" s="6" t="s">
        <v>17</v>
      </c>
      <c r="E819" s="6" t="s">
        <v>34</v>
      </c>
      <c r="F819" s="6">
        <v>1818</v>
      </c>
      <c r="G819" s="6">
        <v>64660.35</v>
      </c>
      <c r="H819" s="7">
        <v>41348</v>
      </c>
      <c r="I819" s="6" t="s">
        <v>66</v>
      </c>
      <c r="J819" s="6" t="s">
        <v>1691</v>
      </c>
      <c r="K819" s="6" t="s">
        <v>37</v>
      </c>
      <c r="L819" s="6" t="s">
        <v>38</v>
      </c>
      <c r="M819" s="6" t="s">
        <v>39</v>
      </c>
      <c r="N819" s="6">
        <v>4.08</v>
      </c>
      <c r="O819" s="6">
        <v>108</v>
      </c>
    </row>
    <row r="820" spans="1:15" ht="14.25" customHeight="1" x14ac:dyDescent="0.3">
      <c r="A820" s="6" t="s">
        <v>1692</v>
      </c>
      <c r="B820" s="6">
        <v>54</v>
      </c>
      <c r="C820" s="6" t="s">
        <v>16</v>
      </c>
      <c r="D820" s="6" t="s">
        <v>69</v>
      </c>
      <c r="E820" s="6" t="s">
        <v>48</v>
      </c>
      <c r="F820" s="6">
        <v>1819</v>
      </c>
      <c r="G820" s="6">
        <v>136928.73000000001</v>
      </c>
      <c r="H820" s="7">
        <v>40830</v>
      </c>
      <c r="I820" s="6" t="s">
        <v>70</v>
      </c>
      <c r="J820" s="6" t="s">
        <v>1693</v>
      </c>
      <c r="K820" s="6" t="s">
        <v>43</v>
      </c>
      <c r="L820" s="6" t="s">
        <v>44</v>
      </c>
      <c r="M820" s="6" t="s">
        <v>45</v>
      </c>
      <c r="N820" s="6">
        <v>4.67</v>
      </c>
      <c r="O820" s="6">
        <v>148</v>
      </c>
    </row>
    <row r="821" spans="1:15" ht="14.25" customHeight="1" x14ac:dyDescent="0.3">
      <c r="A821" s="6" t="s">
        <v>1694</v>
      </c>
      <c r="B821" s="6">
        <v>39</v>
      </c>
      <c r="C821" s="6" t="s">
        <v>16</v>
      </c>
      <c r="D821" s="6" t="s">
        <v>69</v>
      </c>
      <c r="E821" s="6" t="s">
        <v>34</v>
      </c>
      <c r="F821" s="6">
        <v>1820</v>
      </c>
      <c r="G821" s="6">
        <v>135534.20000000001</v>
      </c>
      <c r="H821" s="7">
        <v>41765</v>
      </c>
      <c r="I821" s="6" t="s">
        <v>73</v>
      </c>
      <c r="J821" s="6" t="s">
        <v>1695</v>
      </c>
      <c r="K821" s="6" t="s">
        <v>51</v>
      </c>
      <c r="L821" s="6" t="s">
        <v>52</v>
      </c>
      <c r="M821" s="6" t="s">
        <v>53</v>
      </c>
      <c r="N821" s="6">
        <v>2.2400000000000002</v>
      </c>
      <c r="O821" s="6">
        <v>1</v>
      </c>
    </row>
    <row r="822" spans="1:15" ht="14.25" customHeight="1" x14ac:dyDescent="0.3">
      <c r="A822" s="6" t="s">
        <v>1696</v>
      </c>
      <c r="B822" s="6">
        <v>27</v>
      </c>
      <c r="C822" s="6" t="s">
        <v>16</v>
      </c>
      <c r="D822" s="6" t="s">
        <v>47</v>
      </c>
      <c r="E822" s="6" t="s">
        <v>27</v>
      </c>
      <c r="F822" s="6">
        <v>1821</v>
      </c>
      <c r="G822" s="6">
        <v>133844.43</v>
      </c>
      <c r="H822" s="7">
        <v>37598</v>
      </c>
      <c r="I822" s="6" t="s">
        <v>19</v>
      </c>
      <c r="J822" s="6" t="s">
        <v>1697</v>
      </c>
      <c r="K822" s="6" t="s">
        <v>21</v>
      </c>
      <c r="L822" s="6" t="s">
        <v>22</v>
      </c>
      <c r="M822" s="6" t="s">
        <v>23</v>
      </c>
      <c r="N822" s="6">
        <v>2.5</v>
      </c>
      <c r="O822" s="6">
        <v>110</v>
      </c>
    </row>
    <row r="823" spans="1:15" ht="14.25" customHeight="1" x14ac:dyDescent="0.3">
      <c r="A823" s="6" t="s">
        <v>1698</v>
      </c>
      <c r="B823" s="6">
        <v>58</v>
      </c>
      <c r="C823" s="6" t="s">
        <v>16</v>
      </c>
      <c r="D823" s="6" t="s">
        <v>26</v>
      </c>
      <c r="E823" s="6" t="s">
        <v>80</v>
      </c>
      <c r="F823" s="6">
        <v>1822</v>
      </c>
      <c r="G823" s="6">
        <v>152259.98000000001</v>
      </c>
      <c r="H823" s="7">
        <v>38896</v>
      </c>
      <c r="I823" s="6" t="s">
        <v>28</v>
      </c>
      <c r="J823" s="6" t="s">
        <v>1699</v>
      </c>
      <c r="K823" s="6" t="s">
        <v>30</v>
      </c>
      <c r="L823" s="6" t="s">
        <v>31</v>
      </c>
      <c r="M823" s="6" t="s">
        <v>32</v>
      </c>
      <c r="N823" s="6">
        <v>1.23</v>
      </c>
      <c r="O823" s="6">
        <v>158</v>
      </c>
    </row>
    <row r="824" spans="1:15" ht="14.25" customHeight="1" x14ac:dyDescent="0.3">
      <c r="A824" s="6" t="s">
        <v>1700</v>
      </c>
      <c r="B824" s="6">
        <v>23</v>
      </c>
      <c r="C824" s="6" t="s">
        <v>16</v>
      </c>
      <c r="D824" s="6" t="s">
        <v>17</v>
      </c>
      <c r="E824" s="6" t="s">
        <v>18</v>
      </c>
      <c r="F824" s="6">
        <v>1823</v>
      </c>
      <c r="G824" s="6">
        <v>178040.22</v>
      </c>
      <c r="H824" s="7">
        <v>43577</v>
      </c>
      <c r="I824" s="6" t="s">
        <v>35</v>
      </c>
      <c r="J824" s="6" t="s">
        <v>1701</v>
      </c>
      <c r="K824" s="6" t="s">
        <v>37</v>
      </c>
      <c r="L824" s="6" t="s">
        <v>38</v>
      </c>
      <c r="M824" s="6" t="s">
        <v>39</v>
      </c>
      <c r="N824" s="6">
        <v>1.23</v>
      </c>
      <c r="O824" s="6">
        <v>3</v>
      </c>
    </row>
    <row r="825" spans="1:15" ht="14.25" customHeight="1" x14ac:dyDescent="0.3">
      <c r="A825" s="6" t="s">
        <v>1702</v>
      </c>
      <c r="B825" s="6">
        <v>51</v>
      </c>
      <c r="C825" s="6" t="s">
        <v>16</v>
      </c>
      <c r="D825" s="6" t="s">
        <v>55</v>
      </c>
      <c r="E825" s="6" t="s">
        <v>48</v>
      </c>
      <c r="F825" s="6">
        <v>1824</v>
      </c>
      <c r="G825" s="6">
        <v>131249.35</v>
      </c>
      <c r="H825" s="7">
        <v>39777</v>
      </c>
      <c r="I825" s="6" t="s">
        <v>41</v>
      </c>
      <c r="J825" s="6" t="s">
        <v>1703</v>
      </c>
      <c r="K825" s="6" t="s">
        <v>43</v>
      </c>
      <c r="L825" s="6" t="s">
        <v>44</v>
      </c>
      <c r="M825" s="6" t="s">
        <v>45</v>
      </c>
      <c r="N825" s="6">
        <v>4.8099999999999996</v>
      </c>
      <c r="O825" s="6">
        <v>189</v>
      </c>
    </row>
    <row r="826" spans="1:15" ht="14.25" customHeight="1" x14ac:dyDescent="0.3">
      <c r="A826" s="6" t="s">
        <v>1704</v>
      </c>
      <c r="B826" s="6">
        <v>27</v>
      </c>
      <c r="C826" s="6" t="s">
        <v>62</v>
      </c>
      <c r="D826" s="6" t="s">
        <v>47</v>
      </c>
      <c r="E826" s="6" t="s">
        <v>18</v>
      </c>
      <c r="F826" s="6">
        <v>1825</v>
      </c>
      <c r="G826" s="6">
        <v>120444.94</v>
      </c>
      <c r="H826" s="7">
        <v>41977</v>
      </c>
      <c r="I826" s="6" t="s">
        <v>49</v>
      </c>
      <c r="J826" s="6" t="s">
        <v>1705</v>
      </c>
      <c r="K826" s="6" t="s">
        <v>51</v>
      </c>
      <c r="L826" s="6" t="s">
        <v>52</v>
      </c>
      <c r="M826" s="6" t="s">
        <v>53</v>
      </c>
      <c r="N826" s="6">
        <v>1.86</v>
      </c>
      <c r="O826" s="6">
        <v>83</v>
      </c>
    </row>
    <row r="827" spans="1:15" ht="14.25" customHeight="1" x14ac:dyDescent="0.3">
      <c r="A827" s="6" t="s">
        <v>1706</v>
      </c>
      <c r="B827" s="6">
        <v>38</v>
      </c>
      <c r="C827" s="6" t="s">
        <v>25</v>
      </c>
      <c r="D827" s="6" t="s">
        <v>55</v>
      </c>
      <c r="E827" s="6" t="s">
        <v>18</v>
      </c>
      <c r="F827" s="6">
        <v>1826</v>
      </c>
      <c r="G827" s="6">
        <v>183281.73</v>
      </c>
      <c r="H827" s="7">
        <v>41742</v>
      </c>
      <c r="I827" s="6" t="s">
        <v>56</v>
      </c>
      <c r="J827" s="6" t="s">
        <v>1707</v>
      </c>
      <c r="K827" s="6" t="s">
        <v>21</v>
      </c>
      <c r="L827" s="6" t="s">
        <v>22</v>
      </c>
      <c r="M827" s="6" t="s">
        <v>23</v>
      </c>
      <c r="N827" s="6">
        <v>1.91</v>
      </c>
      <c r="O827" s="6">
        <v>170</v>
      </c>
    </row>
    <row r="828" spans="1:15" ht="14.25" customHeight="1" x14ac:dyDescent="0.3">
      <c r="A828" s="6" t="s">
        <v>1708</v>
      </c>
      <c r="B828" s="6">
        <v>60</v>
      </c>
      <c r="C828" s="6" t="s">
        <v>62</v>
      </c>
      <c r="D828" s="6" t="s">
        <v>69</v>
      </c>
      <c r="E828" s="6" t="s">
        <v>34</v>
      </c>
      <c r="F828" s="6">
        <v>1827</v>
      </c>
      <c r="G828" s="6">
        <v>168358.21</v>
      </c>
      <c r="H828" s="7">
        <v>37411</v>
      </c>
      <c r="I828" s="6" t="s">
        <v>63</v>
      </c>
      <c r="J828" s="6" t="s">
        <v>1709</v>
      </c>
      <c r="K828" s="6" t="s">
        <v>30</v>
      </c>
      <c r="L828" s="6" t="s">
        <v>31</v>
      </c>
      <c r="M828" s="6" t="s">
        <v>32</v>
      </c>
      <c r="N828" s="6">
        <v>2.0699999999999998</v>
      </c>
      <c r="O828" s="6">
        <v>22</v>
      </c>
    </row>
    <row r="829" spans="1:15" ht="14.25" customHeight="1" x14ac:dyDescent="0.3">
      <c r="A829" s="6" t="s">
        <v>1710</v>
      </c>
      <c r="B829" s="6">
        <v>62</v>
      </c>
      <c r="C829" s="6" t="s">
        <v>16</v>
      </c>
      <c r="D829" s="6" t="s">
        <v>17</v>
      </c>
      <c r="E829" s="6" t="s">
        <v>27</v>
      </c>
      <c r="F829" s="6">
        <v>1828</v>
      </c>
      <c r="G829" s="6">
        <v>126325.16</v>
      </c>
      <c r="H829" s="7">
        <v>43653</v>
      </c>
      <c r="I829" s="6" t="s">
        <v>66</v>
      </c>
      <c r="J829" s="6" t="s">
        <v>1711</v>
      </c>
      <c r="K829" s="6" t="s">
        <v>37</v>
      </c>
      <c r="L829" s="6" t="s">
        <v>38</v>
      </c>
      <c r="M829" s="6" t="s">
        <v>39</v>
      </c>
      <c r="N829" s="6">
        <v>2.2400000000000002</v>
      </c>
      <c r="O829" s="6">
        <v>104</v>
      </c>
    </row>
    <row r="830" spans="1:15" ht="14.25" customHeight="1" x14ac:dyDescent="0.3">
      <c r="A830" s="6" t="s">
        <v>1712</v>
      </c>
      <c r="B830" s="6">
        <v>44</v>
      </c>
      <c r="C830" s="6" t="s">
        <v>16</v>
      </c>
      <c r="D830" s="6" t="s">
        <v>17</v>
      </c>
      <c r="E830" s="6" t="s">
        <v>48</v>
      </c>
      <c r="F830" s="6">
        <v>1829</v>
      </c>
      <c r="G830" s="6">
        <v>61769.96</v>
      </c>
      <c r="H830" s="7">
        <v>37696</v>
      </c>
      <c r="I830" s="6" t="s">
        <v>70</v>
      </c>
      <c r="J830" s="6" t="s">
        <v>1713</v>
      </c>
      <c r="K830" s="6" t="s">
        <v>43</v>
      </c>
      <c r="L830" s="6" t="s">
        <v>44</v>
      </c>
      <c r="M830" s="6" t="s">
        <v>45</v>
      </c>
      <c r="N830" s="6">
        <v>2.98</v>
      </c>
      <c r="O830" s="6">
        <v>179</v>
      </c>
    </row>
    <row r="831" spans="1:15" ht="14.25" customHeight="1" x14ac:dyDescent="0.3">
      <c r="A831" s="6" t="s">
        <v>1714</v>
      </c>
      <c r="B831" s="6">
        <v>52</v>
      </c>
      <c r="C831" s="6" t="s">
        <v>16</v>
      </c>
      <c r="D831" s="6" t="s">
        <v>26</v>
      </c>
      <c r="E831" s="6" t="s">
        <v>18</v>
      </c>
      <c r="F831" s="6">
        <v>1830</v>
      </c>
      <c r="G831" s="6">
        <v>93874.52</v>
      </c>
      <c r="H831" s="7">
        <v>37455</v>
      </c>
      <c r="I831" s="6" t="s">
        <v>73</v>
      </c>
      <c r="J831" s="6" t="s">
        <v>1715</v>
      </c>
      <c r="K831" s="6" t="s">
        <v>51</v>
      </c>
      <c r="L831" s="6" t="s">
        <v>52</v>
      </c>
      <c r="M831" s="6" t="s">
        <v>53</v>
      </c>
      <c r="N831" s="6">
        <v>2.61</v>
      </c>
      <c r="O831" s="6">
        <v>150</v>
      </c>
    </row>
    <row r="832" spans="1:15" ht="14.25" customHeight="1" x14ac:dyDescent="0.3">
      <c r="A832" s="6" t="s">
        <v>1716</v>
      </c>
      <c r="B832" s="6">
        <v>41</v>
      </c>
      <c r="C832" s="6" t="s">
        <v>62</v>
      </c>
      <c r="D832" s="6" t="s">
        <v>17</v>
      </c>
      <c r="E832" s="6" t="s">
        <v>48</v>
      </c>
      <c r="F832" s="6">
        <v>1831</v>
      </c>
      <c r="G832" s="6">
        <v>178825.68</v>
      </c>
      <c r="H832" s="7">
        <v>42975</v>
      </c>
      <c r="I832" s="6" t="s">
        <v>19</v>
      </c>
      <c r="J832" s="6" t="s">
        <v>1717</v>
      </c>
      <c r="K832" s="6" t="s">
        <v>21</v>
      </c>
      <c r="L832" s="6" t="s">
        <v>22</v>
      </c>
      <c r="M832" s="6" t="s">
        <v>23</v>
      </c>
      <c r="N832" s="6">
        <v>1.21</v>
      </c>
      <c r="O832" s="6">
        <v>198</v>
      </c>
    </row>
    <row r="833" spans="1:15" ht="14.25" customHeight="1" x14ac:dyDescent="0.3">
      <c r="A833" s="6" t="s">
        <v>1718</v>
      </c>
      <c r="B833" s="6">
        <v>26</v>
      </c>
      <c r="C833" s="6" t="s">
        <v>16</v>
      </c>
      <c r="D833" s="6" t="s">
        <v>17</v>
      </c>
      <c r="E833" s="6" t="s">
        <v>48</v>
      </c>
      <c r="F833" s="6">
        <v>1832</v>
      </c>
      <c r="G833" s="6">
        <v>142726.57999999999</v>
      </c>
      <c r="H833" s="7">
        <v>39386</v>
      </c>
      <c r="I833" s="6" t="s">
        <v>28</v>
      </c>
      <c r="J833" s="6" t="s">
        <v>1719</v>
      </c>
      <c r="K833" s="6" t="s">
        <v>30</v>
      </c>
      <c r="L833" s="6" t="s">
        <v>31</v>
      </c>
      <c r="M833" s="6" t="s">
        <v>32</v>
      </c>
      <c r="N833" s="6">
        <v>2.17</v>
      </c>
      <c r="O833" s="6">
        <v>115</v>
      </c>
    </row>
    <row r="834" spans="1:15" ht="14.25" customHeight="1" x14ac:dyDescent="0.3">
      <c r="A834" s="6" t="s">
        <v>1720</v>
      </c>
      <c r="B834" s="6">
        <v>42</v>
      </c>
      <c r="C834" s="6" t="s">
        <v>62</v>
      </c>
      <c r="D834" s="6" t="s">
        <v>26</v>
      </c>
      <c r="E834" s="6" t="s">
        <v>27</v>
      </c>
      <c r="F834" s="6">
        <v>1833</v>
      </c>
      <c r="G834" s="6">
        <v>57824.72</v>
      </c>
      <c r="H834" s="7">
        <v>42960</v>
      </c>
      <c r="I834" s="6" t="s">
        <v>35</v>
      </c>
      <c r="J834" s="6" t="s">
        <v>1721</v>
      </c>
      <c r="K834" s="6" t="s">
        <v>37</v>
      </c>
      <c r="L834" s="6" t="s">
        <v>38</v>
      </c>
      <c r="M834" s="6" t="s">
        <v>39</v>
      </c>
      <c r="N834" s="6">
        <v>2.9</v>
      </c>
      <c r="O834" s="6">
        <v>65</v>
      </c>
    </row>
    <row r="835" spans="1:15" ht="14.25" customHeight="1" x14ac:dyDescent="0.3">
      <c r="A835" s="6" t="s">
        <v>1722</v>
      </c>
      <c r="B835" s="6">
        <v>64</v>
      </c>
      <c r="C835" s="6" t="s">
        <v>25</v>
      </c>
      <c r="D835" s="6" t="s">
        <v>26</v>
      </c>
      <c r="E835" s="6" t="s">
        <v>18</v>
      </c>
      <c r="F835" s="6">
        <v>1834</v>
      </c>
      <c r="G835" s="6">
        <v>162477.54</v>
      </c>
      <c r="H835" s="7">
        <v>41521</v>
      </c>
      <c r="I835" s="6" t="s">
        <v>41</v>
      </c>
      <c r="J835" s="6" t="s">
        <v>1723</v>
      </c>
      <c r="K835" s="6" t="s">
        <v>43</v>
      </c>
      <c r="L835" s="6" t="s">
        <v>44</v>
      </c>
      <c r="M835" s="6" t="s">
        <v>45</v>
      </c>
      <c r="N835" s="6">
        <v>4.34</v>
      </c>
      <c r="O835" s="6">
        <v>72</v>
      </c>
    </row>
    <row r="836" spans="1:15" ht="14.25" customHeight="1" x14ac:dyDescent="0.3">
      <c r="A836" s="6" t="s">
        <v>1724</v>
      </c>
      <c r="B836" s="6">
        <v>32</v>
      </c>
      <c r="C836" s="6" t="s">
        <v>62</v>
      </c>
      <c r="D836" s="6" t="s">
        <v>17</v>
      </c>
      <c r="E836" s="6" t="s">
        <v>48</v>
      </c>
      <c r="F836" s="6">
        <v>1835</v>
      </c>
      <c r="G836" s="6">
        <v>120237.87</v>
      </c>
      <c r="H836" s="7">
        <v>37366</v>
      </c>
      <c r="I836" s="6" t="s">
        <v>49</v>
      </c>
      <c r="J836" s="6" t="s">
        <v>1725</v>
      </c>
      <c r="K836" s="6" t="s">
        <v>51</v>
      </c>
      <c r="L836" s="6" t="s">
        <v>52</v>
      </c>
      <c r="M836" s="6" t="s">
        <v>53</v>
      </c>
      <c r="N836" s="6">
        <v>4.91</v>
      </c>
      <c r="O836" s="6">
        <v>74</v>
      </c>
    </row>
    <row r="837" spans="1:15" ht="14.25" customHeight="1" x14ac:dyDescent="0.3">
      <c r="A837" s="6" t="s">
        <v>1726</v>
      </c>
      <c r="B837" s="6">
        <v>25</v>
      </c>
      <c r="C837" s="6" t="s">
        <v>62</v>
      </c>
      <c r="D837" s="6" t="s">
        <v>17</v>
      </c>
      <c r="E837" s="6" t="s">
        <v>48</v>
      </c>
      <c r="F837" s="6">
        <v>1836</v>
      </c>
      <c r="G837" s="6">
        <v>52055.09</v>
      </c>
      <c r="H837" s="7">
        <v>41583</v>
      </c>
      <c r="I837" s="6" t="s">
        <v>56</v>
      </c>
      <c r="J837" s="6" t="s">
        <v>1727</v>
      </c>
      <c r="K837" s="6" t="s">
        <v>21</v>
      </c>
      <c r="L837" s="6" t="s">
        <v>22</v>
      </c>
      <c r="M837" s="6" t="s">
        <v>23</v>
      </c>
      <c r="N837" s="6">
        <v>1.52</v>
      </c>
      <c r="O837" s="6">
        <v>84</v>
      </c>
    </row>
    <row r="838" spans="1:15" ht="14.25" customHeight="1" x14ac:dyDescent="0.3">
      <c r="A838" s="6" t="s">
        <v>1728</v>
      </c>
      <c r="B838" s="6">
        <v>44</v>
      </c>
      <c r="C838" s="6" t="s">
        <v>25</v>
      </c>
      <c r="D838" s="6" t="s">
        <v>47</v>
      </c>
      <c r="E838" s="6" t="s">
        <v>18</v>
      </c>
      <c r="F838" s="6">
        <v>1837</v>
      </c>
      <c r="G838" s="6">
        <v>148144.89000000001</v>
      </c>
      <c r="H838" s="7">
        <v>41469</v>
      </c>
      <c r="I838" s="6" t="s">
        <v>63</v>
      </c>
      <c r="J838" s="6" t="s">
        <v>1729</v>
      </c>
      <c r="K838" s="6" t="s">
        <v>30</v>
      </c>
      <c r="L838" s="6" t="s">
        <v>31</v>
      </c>
      <c r="M838" s="6" t="s">
        <v>32</v>
      </c>
      <c r="N838" s="6">
        <v>2.23</v>
      </c>
      <c r="O838" s="6">
        <v>179</v>
      </c>
    </row>
    <row r="839" spans="1:15" ht="14.25" customHeight="1" x14ac:dyDescent="0.3">
      <c r="A839" s="6" t="s">
        <v>1730</v>
      </c>
      <c r="B839" s="6">
        <v>59</v>
      </c>
      <c r="C839" s="6" t="s">
        <v>16</v>
      </c>
      <c r="D839" s="6" t="s">
        <v>55</v>
      </c>
      <c r="E839" s="6" t="s">
        <v>18</v>
      </c>
      <c r="F839" s="6">
        <v>1838</v>
      </c>
      <c r="G839" s="6">
        <v>77894.19</v>
      </c>
      <c r="H839" s="7">
        <v>44260</v>
      </c>
      <c r="I839" s="6" t="s">
        <v>66</v>
      </c>
      <c r="J839" s="6" t="s">
        <v>1731</v>
      </c>
      <c r="K839" s="6" t="s">
        <v>37</v>
      </c>
      <c r="L839" s="6" t="s">
        <v>38</v>
      </c>
      <c r="M839" s="6" t="s">
        <v>39</v>
      </c>
      <c r="N839" s="6">
        <v>1.17</v>
      </c>
      <c r="O839" s="6">
        <v>125</v>
      </c>
    </row>
    <row r="840" spans="1:15" ht="14.25" customHeight="1" x14ac:dyDescent="0.3">
      <c r="A840" s="6" t="s">
        <v>1732</v>
      </c>
      <c r="B840" s="6">
        <v>51</v>
      </c>
      <c r="C840" s="6" t="s">
        <v>62</v>
      </c>
      <c r="D840" s="6" t="s">
        <v>47</v>
      </c>
      <c r="E840" s="6" t="s">
        <v>18</v>
      </c>
      <c r="F840" s="6">
        <v>1839</v>
      </c>
      <c r="G840" s="6">
        <v>63343.78</v>
      </c>
      <c r="H840" s="7">
        <v>39593</v>
      </c>
      <c r="I840" s="6" t="s">
        <v>70</v>
      </c>
      <c r="J840" s="6" t="s">
        <v>1733</v>
      </c>
      <c r="K840" s="6" t="s">
        <v>43</v>
      </c>
      <c r="L840" s="6" t="s">
        <v>44</v>
      </c>
      <c r="M840" s="6" t="s">
        <v>45</v>
      </c>
      <c r="N840" s="6">
        <v>1.7</v>
      </c>
      <c r="O840" s="6">
        <v>136</v>
      </c>
    </row>
    <row r="841" spans="1:15" ht="14.25" customHeight="1" x14ac:dyDescent="0.3">
      <c r="A841" s="6" t="s">
        <v>1734</v>
      </c>
      <c r="B841" s="6">
        <v>63</v>
      </c>
      <c r="C841" s="6" t="s">
        <v>25</v>
      </c>
      <c r="D841" s="6" t="s">
        <v>47</v>
      </c>
      <c r="E841" s="6" t="s">
        <v>34</v>
      </c>
      <c r="F841" s="6">
        <v>1840</v>
      </c>
      <c r="G841" s="6">
        <v>89498.75</v>
      </c>
      <c r="H841" s="7">
        <v>37851</v>
      </c>
      <c r="I841" s="6" t="s">
        <v>73</v>
      </c>
      <c r="J841" s="6" t="s">
        <v>1735</v>
      </c>
      <c r="K841" s="6" t="s">
        <v>51</v>
      </c>
      <c r="L841" s="6" t="s">
        <v>52</v>
      </c>
      <c r="M841" s="6" t="s">
        <v>53</v>
      </c>
      <c r="N841" s="6">
        <v>3.88</v>
      </c>
      <c r="O841" s="6">
        <v>185</v>
      </c>
    </row>
    <row r="842" spans="1:15" ht="14.25" customHeight="1" x14ac:dyDescent="0.3">
      <c r="A842" s="6" t="s">
        <v>1736</v>
      </c>
      <c r="B842" s="6">
        <v>62</v>
      </c>
      <c r="C842" s="6" t="s">
        <v>62</v>
      </c>
      <c r="D842" s="6" t="s">
        <v>69</v>
      </c>
      <c r="E842" s="6" t="s">
        <v>18</v>
      </c>
      <c r="F842" s="6">
        <v>1841</v>
      </c>
      <c r="G842" s="6">
        <v>84517.759999999995</v>
      </c>
      <c r="H842" s="7">
        <v>39650</v>
      </c>
      <c r="I842" s="6" t="s">
        <v>19</v>
      </c>
      <c r="J842" s="6" t="s">
        <v>1737</v>
      </c>
      <c r="K842" s="6" t="s">
        <v>21</v>
      </c>
      <c r="L842" s="6" t="s">
        <v>22</v>
      </c>
      <c r="M842" s="6" t="s">
        <v>23</v>
      </c>
      <c r="N842" s="6">
        <v>4.29</v>
      </c>
      <c r="O842" s="6">
        <v>151</v>
      </c>
    </row>
    <row r="843" spans="1:15" ht="14.25" customHeight="1" x14ac:dyDescent="0.3">
      <c r="A843" s="6" t="s">
        <v>1738</v>
      </c>
      <c r="B843" s="6">
        <v>39</v>
      </c>
      <c r="C843" s="6" t="s">
        <v>62</v>
      </c>
      <c r="D843" s="6" t="s">
        <v>17</v>
      </c>
      <c r="E843" s="6" t="s">
        <v>27</v>
      </c>
      <c r="F843" s="6">
        <v>1842</v>
      </c>
      <c r="G843" s="6">
        <v>159450.92000000001</v>
      </c>
      <c r="H843" s="7">
        <v>44331</v>
      </c>
      <c r="I843" s="6" t="s">
        <v>28</v>
      </c>
      <c r="J843" s="6" t="s">
        <v>1739</v>
      </c>
      <c r="K843" s="6" t="s">
        <v>30</v>
      </c>
      <c r="L843" s="6" t="s">
        <v>31</v>
      </c>
      <c r="M843" s="6" t="s">
        <v>32</v>
      </c>
      <c r="N843" s="6">
        <v>1.3</v>
      </c>
      <c r="O843" s="6">
        <v>73</v>
      </c>
    </row>
    <row r="844" spans="1:15" ht="14.25" customHeight="1" x14ac:dyDescent="0.3">
      <c r="A844" s="6" t="s">
        <v>1740</v>
      </c>
      <c r="B844" s="6">
        <v>62</v>
      </c>
      <c r="C844" s="6" t="s">
        <v>25</v>
      </c>
      <c r="D844" s="6" t="s">
        <v>47</v>
      </c>
      <c r="E844" s="6" t="s">
        <v>48</v>
      </c>
      <c r="F844" s="6">
        <v>1843</v>
      </c>
      <c r="G844" s="6">
        <v>177201.14</v>
      </c>
      <c r="H844" s="7">
        <v>39589</v>
      </c>
      <c r="I844" s="6" t="s">
        <v>35</v>
      </c>
      <c r="J844" s="6" t="s">
        <v>1741</v>
      </c>
      <c r="K844" s="6" t="s">
        <v>37</v>
      </c>
      <c r="L844" s="6" t="s">
        <v>38</v>
      </c>
      <c r="M844" s="6" t="s">
        <v>39</v>
      </c>
      <c r="N844" s="6">
        <v>3.94</v>
      </c>
      <c r="O844" s="6">
        <v>65</v>
      </c>
    </row>
    <row r="845" spans="1:15" ht="14.25" customHeight="1" x14ac:dyDescent="0.3">
      <c r="A845" s="6" t="s">
        <v>1742</v>
      </c>
      <c r="B845" s="6">
        <v>64</v>
      </c>
      <c r="C845" s="6" t="s">
        <v>62</v>
      </c>
      <c r="D845" s="6" t="s">
        <v>17</v>
      </c>
      <c r="E845" s="6" t="s">
        <v>34</v>
      </c>
      <c r="F845" s="6">
        <v>1844</v>
      </c>
      <c r="G845" s="6">
        <v>130090.45</v>
      </c>
      <c r="H845" s="7">
        <v>39318</v>
      </c>
      <c r="I845" s="6" t="s">
        <v>41</v>
      </c>
      <c r="J845" s="6" t="s">
        <v>1743</v>
      </c>
      <c r="K845" s="6" t="s">
        <v>43</v>
      </c>
      <c r="L845" s="6" t="s">
        <v>44</v>
      </c>
      <c r="M845" s="6" t="s">
        <v>45</v>
      </c>
      <c r="N845" s="6">
        <v>2.68</v>
      </c>
      <c r="O845" s="6">
        <v>150</v>
      </c>
    </row>
    <row r="846" spans="1:15" ht="14.25" customHeight="1" x14ac:dyDescent="0.3">
      <c r="A846" s="6" t="s">
        <v>1744</v>
      </c>
      <c r="B846" s="6">
        <v>52</v>
      </c>
      <c r="C846" s="6" t="s">
        <v>25</v>
      </c>
      <c r="D846" s="6" t="s">
        <v>47</v>
      </c>
      <c r="E846" s="6" t="s">
        <v>18</v>
      </c>
      <c r="F846" s="6">
        <v>1845</v>
      </c>
      <c r="G846" s="6">
        <v>100934.97</v>
      </c>
      <c r="H846" s="7">
        <v>36922</v>
      </c>
      <c r="I846" s="6" t="s">
        <v>49</v>
      </c>
      <c r="J846" s="6" t="s">
        <v>1745</v>
      </c>
      <c r="K846" s="6" t="s">
        <v>51</v>
      </c>
      <c r="L846" s="6" t="s">
        <v>52</v>
      </c>
      <c r="M846" s="6" t="s">
        <v>53</v>
      </c>
      <c r="N846" s="6">
        <v>2.59</v>
      </c>
      <c r="O846" s="6">
        <v>49</v>
      </c>
    </row>
    <row r="847" spans="1:15" ht="14.25" customHeight="1" x14ac:dyDescent="0.3">
      <c r="A847" s="6" t="s">
        <v>1746</v>
      </c>
      <c r="B847" s="6">
        <v>51</v>
      </c>
      <c r="C847" s="6" t="s">
        <v>62</v>
      </c>
      <c r="D847" s="6" t="s">
        <v>69</v>
      </c>
      <c r="E847" s="6" t="s">
        <v>80</v>
      </c>
      <c r="F847" s="6">
        <v>1846</v>
      </c>
      <c r="G847" s="6">
        <v>163114.59</v>
      </c>
      <c r="H847" s="7">
        <v>43072</v>
      </c>
      <c r="I847" s="6" t="s">
        <v>56</v>
      </c>
      <c r="J847" s="6" t="s">
        <v>1747</v>
      </c>
      <c r="K847" s="6" t="s">
        <v>21</v>
      </c>
      <c r="L847" s="6" t="s">
        <v>22</v>
      </c>
      <c r="M847" s="6" t="s">
        <v>23</v>
      </c>
      <c r="N847" s="6">
        <v>4.95</v>
      </c>
      <c r="O847" s="6">
        <v>77</v>
      </c>
    </row>
    <row r="848" spans="1:15" ht="14.25" customHeight="1" x14ac:dyDescent="0.3">
      <c r="A848" s="6" t="s">
        <v>1748</v>
      </c>
      <c r="B848" s="6">
        <v>55</v>
      </c>
      <c r="C848" s="6" t="s">
        <v>16</v>
      </c>
      <c r="D848" s="6" t="s">
        <v>17</v>
      </c>
      <c r="E848" s="6" t="s">
        <v>34</v>
      </c>
      <c r="F848" s="6">
        <v>1847</v>
      </c>
      <c r="G848" s="6">
        <v>164303.79999999999</v>
      </c>
      <c r="H848" s="7">
        <v>40457</v>
      </c>
      <c r="I848" s="6" t="s">
        <v>63</v>
      </c>
      <c r="J848" s="6" t="s">
        <v>1749</v>
      </c>
      <c r="K848" s="6" t="s">
        <v>30</v>
      </c>
      <c r="L848" s="6" t="s">
        <v>31</v>
      </c>
      <c r="M848" s="6" t="s">
        <v>32</v>
      </c>
      <c r="N848" s="6">
        <v>2.4700000000000002</v>
      </c>
      <c r="O848" s="6">
        <v>148</v>
      </c>
    </row>
    <row r="849" spans="1:15" ht="14.25" customHeight="1" x14ac:dyDescent="0.3">
      <c r="A849" s="6" t="s">
        <v>1750</v>
      </c>
      <c r="B849" s="6">
        <v>52</v>
      </c>
      <c r="C849" s="6" t="s">
        <v>25</v>
      </c>
      <c r="D849" s="6" t="s">
        <v>55</v>
      </c>
      <c r="E849" s="6" t="s">
        <v>34</v>
      </c>
      <c r="F849" s="6">
        <v>1848</v>
      </c>
      <c r="G849" s="6">
        <v>91866.87</v>
      </c>
      <c r="H849" s="7">
        <v>44169</v>
      </c>
      <c r="I849" s="6" t="s">
        <v>66</v>
      </c>
      <c r="J849" s="6" t="s">
        <v>1751</v>
      </c>
      <c r="K849" s="6" t="s">
        <v>37</v>
      </c>
      <c r="L849" s="6" t="s">
        <v>38</v>
      </c>
      <c r="M849" s="6" t="s">
        <v>39</v>
      </c>
      <c r="N849" s="6">
        <v>1.4</v>
      </c>
      <c r="O849" s="6">
        <v>152</v>
      </c>
    </row>
    <row r="850" spans="1:15" ht="14.25" customHeight="1" x14ac:dyDescent="0.3">
      <c r="A850" s="6" t="s">
        <v>1752</v>
      </c>
      <c r="B850" s="6">
        <v>59</v>
      </c>
      <c r="C850" s="6" t="s">
        <v>16</v>
      </c>
      <c r="D850" s="6" t="s">
        <v>69</v>
      </c>
      <c r="E850" s="6" t="s">
        <v>34</v>
      </c>
      <c r="F850" s="6">
        <v>1849</v>
      </c>
      <c r="G850" s="6">
        <v>55525.42</v>
      </c>
      <c r="H850" s="7">
        <v>43715</v>
      </c>
      <c r="I850" s="6" t="s">
        <v>70</v>
      </c>
      <c r="J850" s="6" t="s">
        <v>1753</v>
      </c>
      <c r="K850" s="6" t="s">
        <v>43</v>
      </c>
      <c r="L850" s="6" t="s">
        <v>44</v>
      </c>
      <c r="M850" s="6" t="s">
        <v>45</v>
      </c>
      <c r="N850" s="6">
        <v>1.75</v>
      </c>
      <c r="O850" s="6">
        <v>51</v>
      </c>
    </row>
    <row r="851" spans="1:15" ht="14.25" customHeight="1" x14ac:dyDescent="0.3">
      <c r="A851" s="6" t="s">
        <v>1754</v>
      </c>
      <c r="B851" s="6">
        <v>46</v>
      </c>
      <c r="C851" s="6" t="s">
        <v>62</v>
      </c>
      <c r="D851" s="6" t="s">
        <v>26</v>
      </c>
      <c r="E851" s="6" t="s">
        <v>34</v>
      </c>
      <c r="F851" s="6">
        <v>1850</v>
      </c>
      <c r="G851" s="6">
        <v>178265.86</v>
      </c>
      <c r="H851" s="7">
        <v>36670</v>
      </c>
      <c r="I851" s="6" t="s">
        <v>73</v>
      </c>
      <c r="J851" s="6" t="s">
        <v>1755</v>
      </c>
      <c r="K851" s="6" t="s">
        <v>51</v>
      </c>
      <c r="L851" s="6" t="s">
        <v>52</v>
      </c>
      <c r="M851" s="6" t="s">
        <v>53</v>
      </c>
      <c r="N851" s="6">
        <v>3.51</v>
      </c>
      <c r="O851" s="6">
        <v>117</v>
      </c>
    </row>
    <row r="852" spans="1:15" ht="14.25" customHeight="1" x14ac:dyDescent="0.3">
      <c r="A852" s="6" t="s">
        <v>1756</v>
      </c>
      <c r="B852" s="6">
        <v>38</v>
      </c>
      <c r="C852" s="6" t="s">
        <v>16</v>
      </c>
      <c r="D852" s="6" t="s">
        <v>55</v>
      </c>
      <c r="E852" s="6" t="s">
        <v>48</v>
      </c>
      <c r="F852" s="6">
        <v>1851</v>
      </c>
      <c r="G852" s="6">
        <v>62914.79</v>
      </c>
      <c r="H852" s="7">
        <v>42324</v>
      </c>
      <c r="I852" s="6" t="s">
        <v>19</v>
      </c>
      <c r="J852" s="6" t="s">
        <v>1757</v>
      </c>
      <c r="K852" s="6" t="s">
        <v>21</v>
      </c>
      <c r="L852" s="6" t="s">
        <v>22</v>
      </c>
      <c r="M852" s="6" t="s">
        <v>23</v>
      </c>
      <c r="N852" s="6">
        <v>3.94</v>
      </c>
      <c r="O852" s="6">
        <v>98</v>
      </c>
    </row>
    <row r="853" spans="1:15" ht="14.25" customHeight="1" x14ac:dyDescent="0.3">
      <c r="A853" s="6" t="s">
        <v>1758</v>
      </c>
      <c r="B853" s="6">
        <v>57</v>
      </c>
      <c r="C853" s="6" t="s">
        <v>25</v>
      </c>
      <c r="D853" s="6" t="s">
        <v>47</v>
      </c>
      <c r="E853" s="6" t="s">
        <v>48</v>
      </c>
      <c r="F853" s="6">
        <v>1852</v>
      </c>
      <c r="G853" s="6">
        <v>116353.74</v>
      </c>
      <c r="H853" s="7">
        <v>37746</v>
      </c>
      <c r="I853" s="6" t="s">
        <v>28</v>
      </c>
      <c r="J853" s="6" t="s">
        <v>1759</v>
      </c>
      <c r="K853" s="6" t="s">
        <v>30</v>
      </c>
      <c r="L853" s="6" t="s">
        <v>31</v>
      </c>
      <c r="M853" s="6" t="s">
        <v>32</v>
      </c>
      <c r="N853" s="6">
        <v>3.46</v>
      </c>
      <c r="O853" s="6">
        <v>109</v>
      </c>
    </row>
    <row r="854" spans="1:15" ht="14.25" customHeight="1" x14ac:dyDescent="0.3">
      <c r="A854" s="6" t="s">
        <v>1760</v>
      </c>
      <c r="B854" s="6">
        <v>61</v>
      </c>
      <c r="C854" s="6" t="s">
        <v>62</v>
      </c>
      <c r="D854" s="6" t="s">
        <v>17</v>
      </c>
      <c r="E854" s="6" t="s">
        <v>34</v>
      </c>
      <c r="F854" s="6">
        <v>1853</v>
      </c>
      <c r="G854" s="6">
        <v>114631.21</v>
      </c>
      <c r="H854" s="7">
        <v>44485</v>
      </c>
      <c r="I854" s="6" t="s">
        <v>35</v>
      </c>
      <c r="J854" s="6" t="s">
        <v>1761</v>
      </c>
      <c r="K854" s="6" t="s">
        <v>37</v>
      </c>
      <c r="L854" s="6" t="s">
        <v>38</v>
      </c>
      <c r="M854" s="6" t="s">
        <v>39</v>
      </c>
      <c r="N854" s="6">
        <v>4.0199999999999996</v>
      </c>
      <c r="O854" s="6">
        <v>95</v>
      </c>
    </row>
    <row r="855" spans="1:15" ht="14.25" customHeight="1" x14ac:dyDescent="0.3">
      <c r="A855" s="6" t="s">
        <v>1762</v>
      </c>
      <c r="B855" s="6">
        <v>51</v>
      </c>
      <c r="C855" s="6" t="s">
        <v>25</v>
      </c>
      <c r="D855" s="6" t="s">
        <v>17</v>
      </c>
      <c r="E855" s="6" t="s">
        <v>80</v>
      </c>
      <c r="F855" s="6">
        <v>1854</v>
      </c>
      <c r="G855" s="6">
        <v>106970.71</v>
      </c>
      <c r="H855" s="7">
        <v>37437</v>
      </c>
      <c r="I855" s="6" t="s">
        <v>41</v>
      </c>
      <c r="J855" s="6" t="s">
        <v>1763</v>
      </c>
      <c r="K855" s="6" t="s">
        <v>43</v>
      </c>
      <c r="L855" s="6" t="s">
        <v>44</v>
      </c>
      <c r="M855" s="6" t="s">
        <v>45</v>
      </c>
      <c r="N855" s="6">
        <v>3.01</v>
      </c>
      <c r="O855" s="6">
        <v>141</v>
      </c>
    </row>
    <row r="856" spans="1:15" ht="14.25" customHeight="1" x14ac:dyDescent="0.3">
      <c r="A856" s="6" t="s">
        <v>1764</v>
      </c>
      <c r="B856" s="6">
        <v>23</v>
      </c>
      <c r="C856" s="6" t="s">
        <v>62</v>
      </c>
      <c r="D856" s="6" t="s">
        <v>55</v>
      </c>
      <c r="E856" s="6" t="s">
        <v>18</v>
      </c>
      <c r="F856" s="6">
        <v>1855</v>
      </c>
      <c r="G856" s="6">
        <v>105845.15</v>
      </c>
      <c r="H856" s="7">
        <v>36634</v>
      </c>
      <c r="I856" s="6" t="s">
        <v>49</v>
      </c>
      <c r="J856" s="6" t="s">
        <v>1765</v>
      </c>
      <c r="K856" s="6" t="s">
        <v>51</v>
      </c>
      <c r="L856" s="6" t="s">
        <v>52</v>
      </c>
      <c r="M856" s="6" t="s">
        <v>53</v>
      </c>
      <c r="N856" s="6">
        <v>3.54</v>
      </c>
      <c r="O856" s="6">
        <v>36</v>
      </c>
    </row>
    <row r="857" spans="1:15" ht="14.25" customHeight="1" x14ac:dyDescent="0.3">
      <c r="A857" s="6" t="s">
        <v>1766</v>
      </c>
      <c r="B857" s="6">
        <v>45</v>
      </c>
      <c r="C857" s="6" t="s">
        <v>16</v>
      </c>
      <c r="D857" s="6" t="s">
        <v>26</v>
      </c>
      <c r="E857" s="6" t="s">
        <v>34</v>
      </c>
      <c r="F857" s="6">
        <v>1856</v>
      </c>
      <c r="G857" s="6">
        <v>171312.66</v>
      </c>
      <c r="H857" s="7">
        <v>39033</v>
      </c>
      <c r="I857" s="6" t="s">
        <v>56</v>
      </c>
      <c r="J857" s="6" t="s">
        <v>1767</v>
      </c>
      <c r="K857" s="6" t="s">
        <v>21</v>
      </c>
      <c r="L857" s="6" t="s">
        <v>22</v>
      </c>
      <c r="M857" s="6" t="s">
        <v>23</v>
      </c>
      <c r="N857" s="6">
        <v>1.01</v>
      </c>
      <c r="O857" s="6">
        <v>48</v>
      </c>
    </row>
    <row r="858" spans="1:15" ht="14.25" customHeight="1" x14ac:dyDescent="0.3">
      <c r="A858" s="6" t="s">
        <v>1768</v>
      </c>
      <c r="B858" s="6">
        <v>30</v>
      </c>
      <c r="C858" s="6" t="s">
        <v>16</v>
      </c>
      <c r="D858" s="6" t="s">
        <v>17</v>
      </c>
      <c r="E858" s="6" t="s">
        <v>34</v>
      </c>
      <c r="F858" s="6">
        <v>1857</v>
      </c>
      <c r="G858" s="6">
        <v>58341.03</v>
      </c>
      <c r="H858" s="7">
        <v>42538</v>
      </c>
      <c r="I858" s="6" t="s">
        <v>63</v>
      </c>
      <c r="J858" s="6" t="s">
        <v>1769</v>
      </c>
      <c r="K858" s="6" t="s">
        <v>30</v>
      </c>
      <c r="L858" s="6" t="s">
        <v>31</v>
      </c>
      <c r="M858" s="6" t="s">
        <v>32</v>
      </c>
      <c r="N858" s="6">
        <v>1.1000000000000001</v>
      </c>
      <c r="O858" s="6">
        <v>161</v>
      </c>
    </row>
    <row r="859" spans="1:15" ht="14.25" customHeight="1" x14ac:dyDescent="0.3">
      <c r="A859" s="6" t="s">
        <v>1770</v>
      </c>
      <c r="B859" s="6">
        <v>22</v>
      </c>
      <c r="C859" s="6" t="s">
        <v>25</v>
      </c>
      <c r="D859" s="6" t="s">
        <v>26</v>
      </c>
      <c r="E859" s="6" t="s">
        <v>18</v>
      </c>
      <c r="F859" s="6">
        <v>1858</v>
      </c>
      <c r="G859" s="6">
        <v>176387.28</v>
      </c>
      <c r="H859" s="7">
        <v>38351</v>
      </c>
      <c r="I859" s="6" t="s">
        <v>66</v>
      </c>
      <c r="J859" s="6" t="s">
        <v>1771</v>
      </c>
      <c r="K859" s="6" t="s">
        <v>37</v>
      </c>
      <c r="L859" s="6" t="s">
        <v>38</v>
      </c>
      <c r="M859" s="6" t="s">
        <v>39</v>
      </c>
      <c r="N859" s="6">
        <v>2.34</v>
      </c>
      <c r="O859" s="6">
        <v>111</v>
      </c>
    </row>
    <row r="860" spans="1:15" ht="14.25" customHeight="1" x14ac:dyDescent="0.3">
      <c r="A860" s="6" t="s">
        <v>1772</v>
      </c>
      <c r="B860" s="6">
        <v>45</v>
      </c>
      <c r="C860" s="6" t="s">
        <v>25</v>
      </c>
      <c r="D860" s="6" t="s">
        <v>26</v>
      </c>
      <c r="E860" s="6" t="s">
        <v>48</v>
      </c>
      <c r="F860" s="6">
        <v>1859</v>
      </c>
      <c r="G860" s="6">
        <v>181097.3</v>
      </c>
      <c r="H860" s="7">
        <v>42051</v>
      </c>
      <c r="I860" s="6" t="s">
        <v>70</v>
      </c>
      <c r="J860" s="6" t="s">
        <v>1773</v>
      </c>
      <c r="K860" s="6" t="s">
        <v>43</v>
      </c>
      <c r="L860" s="6" t="s">
        <v>44</v>
      </c>
      <c r="M860" s="6" t="s">
        <v>45</v>
      </c>
      <c r="N860" s="6">
        <v>2.0699999999999998</v>
      </c>
      <c r="O860" s="6">
        <v>158</v>
      </c>
    </row>
    <row r="861" spans="1:15" ht="14.25" customHeight="1" x14ac:dyDescent="0.3">
      <c r="A861" s="6" t="s">
        <v>1774</v>
      </c>
      <c r="B861" s="6">
        <v>59</v>
      </c>
      <c r="C861" s="6" t="s">
        <v>62</v>
      </c>
      <c r="D861" s="6" t="s">
        <v>69</v>
      </c>
      <c r="E861" s="6" t="s">
        <v>34</v>
      </c>
      <c r="F861" s="6">
        <v>1860</v>
      </c>
      <c r="G861" s="6">
        <v>163590.92000000001</v>
      </c>
      <c r="H861" s="7">
        <v>40956</v>
      </c>
      <c r="I861" s="6" t="s">
        <v>73</v>
      </c>
      <c r="J861" s="6" t="s">
        <v>1775</v>
      </c>
      <c r="K861" s="6" t="s">
        <v>51</v>
      </c>
      <c r="L861" s="6" t="s">
        <v>52</v>
      </c>
      <c r="M861" s="6" t="s">
        <v>53</v>
      </c>
      <c r="N861" s="6">
        <v>2.65</v>
      </c>
      <c r="O861" s="6">
        <v>158</v>
      </c>
    </row>
    <row r="862" spans="1:15" ht="14.25" customHeight="1" x14ac:dyDescent="0.3">
      <c r="A862" s="6" t="s">
        <v>1776</v>
      </c>
      <c r="B862" s="6">
        <v>48</v>
      </c>
      <c r="C862" s="6" t="s">
        <v>25</v>
      </c>
      <c r="D862" s="6" t="s">
        <v>55</v>
      </c>
      <c r="E862" s="6" t="s">
        <v>34</v>
      </c>
      <c r="F862" s="6">
        <v>1861</v>
      </c>
      <c r="G862" s="6">
        <v>145321.82999999999</v>
      </c>
      <c r="H862" s="7">
        <v>44159</v>
      </c>
      <c r="I862" s="6" t="s">
        <v>19</v>
      </c>
      <c r="J862" s="6" t="s">
        <v>1777</v>
      </c>
      <c r="K862" s="6" t="s">
        <v>21</v>
      </c>
      <c r="L862" s="6" t="s">
        <v>22</v>
      </c>
      <c r="M862" s="6" t="s">
        <v>23</v>
      </c>
      <c r="N862" s="6">
        <v>3.08</v>
      </c>
      <c r="O862" s="6">
        <v>37</v>
      </c>
    </row>
    <row r="863" spans="1:15" ht="14.25" customHeight="1" x14ac:dyDescent="0.3">
      <c r="A863" s="6" t="s">
        <v>1778</v>
      </c>
      <c r="B863" s="6">
        <v>47</v>
      </c>
      <c r="C863" s="6" t="s">
        <v>25</v>
      </c>
      <c r="D863" s="6" t="s">
        <v>55</v>
      </c>
      <c r="E863" s="6" t="s">
        <v>34</v>
      </c>
      <c r="F863" s="6">
        <v>1862</v>
      </c>
      <c r="G863" s="6">
        <v>156035.82</v>
      </c>
      <c r="H863" s="7">
        <v>40850</v>
      </c>
      <c r="I863" s="6" t="s">
        <v>28</v>
      </c>
      <c r="J863" s="6" t="s">
        <v>1779</v>
      </c>
      <c r="K863" s="6" t="s">
        <v>30</v>
      </c>
      <c r="L863" s="6" t="s">
        <v>31</v>
      </c>
      <c r="M863" s="6" t="s">
        <v>32</v>
      </c>
      <c r="N863" s="6">
        <v>1.76</v>
      </c>
      <c r="O863" s="6">
        <v>43</v>
      </c>
    </row>
    <row r="864" spans="1:15" ht="14.25" customHeight="1" x14ac:dyDescent="0.3">
      <c r="A864" s="6" t="s">
        <v>1780</v>
      </c>
      <c r="B864" s="6">
        <v>47</v>
      </c>
      <c r="C864" s="6" t="s">
        <v>16</v>
      </c>
      <c r="D864" s="6" t="s">
        <v>55</v>
      </c>
      <c r="E864" s="6" t="s">
        <v>34</v>
      </c>
      <c r="F864" s="6">
        <v>1863</v>
      </c>
      <c r="G864" s="6">
        <v>150672.26999999999</v>
      </c>
      <c r="H864" s="7">
        <v>43163</v>
      </c>
      <c r="I864" s="6" t="s">
        <v>35</v>
      </c>
      <c r="J864" s="6" t="s">
        <v>1781</v>
      </c>
      <c r="K864" s="6" t="s">
        <v>37</v>
      </c>
      <c r="L864" s="6" t="s">
        <v>38</v>
      </c>
      <c r="M864" s="6" t="s">
        <v>39</v>
      </c>
      <c r="N864" s="6">
        <v>4.5199999999999996</v>
      </c>
      <c r="O864" s="6">
        <v>185</v>
      </c>
    </row>
    <row r="865" spans="1:15" ht="14.25" customHeight="1" x14ac:dyDescent="0.3">
      <c r="A865" s="6" t="s">
        <v>1782</v>
      </c>
      <c r="B865" s="6">
        <v>28</v>
      </c>
      <c r="C865" s="6" t="s">
        <v>25</v>
      </c>
      <c r="D865" s="6" t="s">
        <v>47</v>
      </c>
      <c r="E865" s="6" t="s">
        <v>18</v>
      </c>
      <c r="F865" s="6">
        <v>1864</v>
      </c>
      <c r="G865" s="6">
        <v>154618.39000000001</v>
      </c>
      <c r="H865" s="7">
        <v>38168</v>
      </c>
      <c r="I865" s="6" t="s">
        <v>41</v>
      </c>
      <c r="J865" s="6" t="s">
        <v>1783</v>
      </c>
      <c r="K865" s="6" t="s">
        <v>43</v>
      </c>
      <c r="L865" s="6" t="s">
        <v>44</v>
      </c>
      <c r="M865" s="6" t="s">
        <v>45</v>
      </c>
      <c r="N865" s="6">
        <v>2.76</v>
      </c>
      <c r="O865" s="6">
        <v>181</v>
      </c>
    </row>
    <row r="866" spans="1:15" ht="14.25" customHeight="1" x14ac:dyDescent="0.3">
      <c r="A866" s="6" t="s">
        <v>1784</v>
      </c>
      <c r="B866" s="6">
        <v>46</v>
      </c>
      <c r="C866" s="6" t="s">
        <v>25</v>
      </c>
      <c r="D866" s="6" t="s">
        <v>55</v>
      </c>
      <c r="E866" s="6" t="s">
        <v>48</v>
      </c>
      <c r="F866" s="6">
        <v>1865</v>
      </c>
      <c r="G866" s="6">
        <v>134842.67000000001</v>
      </c>
      <c r="H866" s="7">
        <v>37011</v>
      </c>
      <c r="I866" s="6" t="s">
        <v>49</v>
      </c>
      <c r="J866" s="6" t="s">
        <v>1785</v>
      </c>
      <c r="K866" s="6" t="s">
        <v>51</v>
      </c>
      <c r="L866" s="6" t="s">
        <v>52</v>
      </c>
      <c r="M866" s="6" t="s">
        <v>53</v>
      </c>
      <c r="N866" s="6">
        <v>2.96</v>
      </c>
      <c r="O866" s="6">
        <v>30</v>
      </c>
    </row>
    <row r="867" spans="1:15" ht="14.25" customHeight="1" x14ac:dyDescent="0.3">
      <c r="A867" s="6" t="s">
        <v>1786</v>
      </c>
      <c r="B867" s="6">
        <v>37</v>
      </c>
      <c r="C867" s="6" t="s">
        <v>62</v>
      </c>
      <c r="D867" s="6" t="s">
        <v>17</v>
      </c>
      <c r="E867" s="6" t="s">
        <v>80</v>
      </c>
      <c r="F867" s="6">
        <v>1866</v>
      </c>
      <c r="G867" s="6">
        <v>99548.75</v>
      </c>
      <c r="H867" s="7">
        <v>43979</v>
      </c>
      <c r="I867" s="6" t="s">
        <v>56</v>
      </c>
      <c r="J867" s="6" t="s">
        <v>1787</v>
      </c>
      <c r="K867" s="6" t="s">
        <v>21</v>
      </c>
      <c r="L867" s="6" t="s">
        <v>22</v>
      </c>
      <c r="M867" s="6" t="s">
        <v>23</v>
      </c>
      <c r="N867" s="6">
        <v>1.35</v>
      </c>
      <c r="O867" s="6">
        <v>179</v>
      </c>
    </row>
    <row r="868" spans="1:15" ht="14.25" customHeight="1" x14ac:dyDescent="0.3">
      <c r="A868" s="6" t="s">
        <v>1788</v>
      </c>
      <c r="B868" s="6">
        <v>59</v>
      </c>
      <c r="C868" s="6" t="s">
        <v>16</v>
      </c>
      <c r="D868" s="6" t="s">
        <v>17</v>
      </c>
      <c r="E868" s="6" t="s">
        <v>18</v>
      </c>
      <c r="F868" s="6">
        <v>1867</v>
      </c>
      <c r="G868" s="6">
        <v>196144.01</v>
      </c>
      <c r="H868" s="7">
        <v>39056</v>
      </c>
      <c r="I868" s="6" t="s">
        <v>63</v>
      </c>
      <c r="J868" s="6" t="s">
        <v>1789</v>
      </c>
      <c r="K868" s="6" t="s">
        <v>30</v>
      </c>
      <c r="L868" s="6" t="s">
        <v>31</v>
      </c>
      <c r="M868" s="6" t="s">
        <v>32</v>
      </c>
      <c r="N868" s="6">
        <v>1.99</v>
      </c>
      <c r="O868" s="6">
        <v>71</v>
      </c>
    </row>
    <row r="869" spans="1:15" ht="14.25" customHeight="1" x14ac:dyDescent="0.3">
      <c r="A869" s="6" t="s">
        <v>1790</v>
      </c>
      <c r="B869" s="6">
        <v>63</v>
      </c>
      <c r="C869" s="6" t="s">
        <v>16</v>
      </c>
      <c r="D869" s="6" t="s">
        <v>55</v>
      </c>
      <c r="E869" s="6" t="s">
        <v>80</v>
      </c>
      <c r="F869" s="6">
        <v>1868</v>
      </c>
      <c r="G869" s="6">
        <v>138349.20000000001</v>
      </c>
      <c r="H869" s="7">
        <v>38641</v>
      </c>
      <c r="I869" s="6" t="s">
        <v>66</v>
      </c>
      <c r="J869" s="6" t="s">
        <v>1791</v>
      </c>
      <c r="K869" s="6" t="s">
        <v>37</v>
      </c>
      <c r="L869" s="6" t="s">
        <v>38</v>
      </c>
      <c r="M869" s="6" t="s">
        <v>39</v>
      </c>
      <c r="N869" s="6">
        <v>4.17</v>
      </c>
      <c r="O869" s="6">
        <v>85</v>
      </c>
    </row>
    <row r="870" spans="1:15" ht="14.25" customHeight="1" x14ac:dyDescent="0.3">
      <c r="A870" s="6" t="s">
        <v>1792</v>
      </c>
      <c r="B870" s="6">
        <v>39</v>
      </c>
      <c r="C870" s="6" t="s">
        <v>62</v>
      </c>
      <c r="D870" s="6" t="s">
        <v>17</v>
      </c>
      <c r="E870" s="6" t="s">
        <v>80</v>
      </c>
      <c r="F870" s="6">
        <v>1869</v>
      </c>
      <c r="G870" s="6">
        <v>92001.43</v>
      </c>
      <c r="H870" s="7">
        <v>42298</v>
      </c>
      <c r="I870" s="6" t="s">
        <v>70</v>
      </c>
      <c r="J870" s="6" t="s">
        <v>1793</v>
      </c>
      <c r="K870" s="6" t="s">
        <v>43</v>
      </c>
      <c r="L870" s="6" t="s">
        <v>44</v>
      </c>
      <c r="M870" s="6" t="s">
        <v>45</v>
      </c>
      <c r="N870" s="6">
        <v>2.95</v>
      </c>
      <c r="O870" s="6">
        <v>83</v>
      </c>
    </row>
    <row r="871" spans="1:15" ht="14.25" customHeight="1" x14ac:dyDescent="0.3">
      <c r="A871" s="6" t="s">
        <v>1794</v>
      </c>
      <c r="B871" s="6">
        <v>38</v>
      </c>
      <c r="C871" s="6" t="s">
        <v>16</v>
      </c>
      <c r="D871" s="6" t="s">
        <v>69</v>
      </c>
      <c r="E871" s="6" t="s">
        <v>18</v>
      </c>
      <c r="F871" s="6">
        <v>1870</v>
      </c>
      <c r="G871" s="6">
        <v>144647.49</v>
      </c>
      <c r="H871" s="7">
        <v>38801</v>
      </c>
      <c r="I871" s="6" t="s">
        <v>73</v>
      </c>
      <c r="J871" s="6" t="s">
        <v>1795</v>
      </c>
      <c r="K871" s="6" t="s">
        <v>51</v>
      </c>
      <c r="L871" s="6" t="s">
        <v>52</v>
      </c>
      <c r="M871" s="6" t="s">
        <v>53</v>
      </c>
      <c r="N871" s="6">
        <v>2.0299999999999998</v>
      </c>
      <c r="O871" s="6">
        <v>68</v>
      </c>
    </row>
    <row r="872" spans="1:15" ht="14.25" customHeight="1" x14ac:dyDescent="0.3">
      <c r="A872" s="6" t="s">
        <v>1796</v>
      </c>
      <c r="B872" s="6">
        <v>27</v>
      </c>
      <c r="C872" s="6" t="s">
        <v>62</v>
      </c>
      <c r="D872" s="6" t="s">
        <v>47</v>
      </c>
      <c r="E872" s="6" t="s">
        <v>48</v>
      </c>
      <c r="F872" s="6">
        <v>1871</v>
      </c>
      <c r="G872" s="6">
        <v>159695.98000000001</v>
      </c>
      <c r="H872" s="7">
        <v>40148</v>
      </c>
      <c r="I872" s="6" t="s">
        <v>19</v>
      </c>
      <c r="J872" s="6" t="s">
        <v>1797</v>
      </c>
      <c r="K872" s="6" t="s">
        <v>21</v>
      </c>
      <c r="L872" s="6" t="s">
        <v>22</v>
      </c>
      <c r="M872" s="6" t="s">
        <v>23</v>
      </c>
      <c r="N872" s="6">
        <v>1.34</v>
      </c>
      <c r="O872" s="6">
        <v>74</v>
      </c>
    </row>
    <row r="873" spans="1:15" ht="14.25" customHeight="1" x14ac:dyDescent="0.3">
      <c r="A873" s="6" t="s">
        <v>1798</v>
      </c>
      <c r="B873" s="6">
        <v>41</v>
      </c>
      <c r="C873" s="6" t="s">
        <v>62</v>
      </c>
      <c r="D873" s="6" t="s">
        <v>47</v>
      </c>
      <c r="E873" s="6" t="s">
        <v>48</v>
      </c>
      <c r="F873" s="6">
        <v>1872</v>
      </c>
      <c r="G873" s="6">
        <v>187138.26</v>
      </c>
      <c r="H873" s="7">
        <v>40996</v>
      </c>
      <c r="I873" s="6" t="s">
        <v>28</v>
      </c>
      <c r="J873" s="6" t="s">
        <v>1799</v>
      </c>
      <c r="K873" s="6" t="s">
        <v>30</v>
      </c>
      <c r="L873" s="6" t="s">
        <v>31</v>
      </c>
      <c r="M873" s="6" t="s">
        <v>32</v>
      </c>
      <c r="N873" s="6">
        <v>4.32</v>
      </c>
      <c r="O873" s="6">
        <v>76</v>
      </c>
    </row>
    <row r="874" spans="1:15" ht="14.25" customHeight="1" x14ac:dyDescent="0.3">
      <c r="A874" s="6" t="s">
        <v>1800</v>
      </c>
      <c r="B874" s="6">
        <v>44</v>
      </c>
      <c r="C874" s="6" t="s">
        <v>25</v>
      </c>
      <c r="D874" s="6" t="s">
        <v>26</v>
      </c>
      <c r="E874" s="6" t="s">
        <v>48</v>
      </c>
      <c r="F874" s="6">
        <v>1873</v>
      </c>
      <c r="G874" s="6">
        <v>171734.08</v>
      </c>
      <c r="H874" s="7">
        <v>41434</v>
      </c>
      <c r="I874" s="6" t="s">
        <v>35</v>
      </c>
      <c r="J874" s="6" t="s">
        <v>1801</v>
      </c>
      <c r="K874" s="6" t="s">
        <v>37</v>
      </c>
      <c r="L874" s="6" t="s">
        <v>38</v>
      </c>
      <c r="M874" s="6" t="s">
        <v>39</v>
      </c>
      <c r="N874" s="6">
        <v>4.26</v>
      </c>
      <c r="O874" s="6">
        <v>188</v>
      </c>
    </row>
    <row r="875" spans="1:15" ht="14.25" customHeight="1" x14ac:dyDescent="0.3">
      <c r="A875" s="6" t="s">
        <v>1802</v>
      </c>
      <c r="B875" s="6">
        <v>33</v>
      </c>
      <c r="C875" s="6" t="s">
        <v>25</v>
      </c>
      <c r="D875" s="6" t="s">
        <v>26</v>
      </c>
      <c r="E875" s="6" t="s">
        <v>18</v>
      </c>
      <c r="F875" s="6">
        <v>1874</v>
      </c>
      <c r="G875" s="6">
        <v>142592.78</v>
      </c>
      <c r="H875" s="7">
        <v>36736</v>
      </c>
      <c r="I875" s="6" t="s">
        <v>41</v>
      </c>
      <c r="J875" s="6" t="s">
        <v>1803</v>
      </c>
      <c r="K875" s="6" t="s">
        <v>43</v>
      </c>
      <c r="L875" s="6" t="s">
        <v>44</v>
      </c>
      <c r="M875" s="6" t="s">
        <v>45</v>
      </c>
      <c r="N875" s="6">
        <v>2.63</v>
      </c>
      <c r="O875" s="6">
        <v>107</v>
      </c>
    </row>
    <row r="876" spans="1:15" ht="14.25" customHeight="1" x14ac:dyDescent="0.3">
      <c r="A876" s="6" t="s">
        <v>1804</v>
      </c>
      <c r="B876" s="6">
        <v>33</v>
      </c>
      <c r="C876" s="6" t="s">
        <v>62</v>
      </c>
      <c r="D876" s="6" t="s">
        <v>47</v>
      </c>
      <c r="E876" s="6" t="s">
        <v>18</v>
      </c>
      <c r="F876" s="6">
        <v>1875</v>
      </c>
      <c r="G876" s="6">
        <v>182155.17</v>
      </c>
      <c r="H876" s="7">
        <v>44799</v>
      </c>
      <c r="I876" s="6" t="s">
        <v>49</v>
      </c>
      <c r="J876" s="6" t="s">
        <v>1805</v>
      </c>
      <c r="K876" s="6" t="s">
        <v>51</v>
      </c>
      <c r="L876" s="6" t="s">
        <v>52</v>
      </c>
      <c r="M876" s="6" t="s">
        <v>53</v>
      </c>
      <c r="N876" s="6">
        <v>1.71</v>
      </c>
      <c r="O876" s="6">
        <v>13</v>
      </c>
    </row>
    <row r="877" spans="1:15" ht="14.25" customHeight="1" x14ac:dyDescent="0.3">
      <c r="A877" s="6" t="s">
        <v>1806</v>
      </c>
      <c r="B877" s="6">
        <v>55</v>
      </c>
      <c r="C877" s="6" t="s">
        <v>25</v>
      </c>
      <c r="D877" s="6" t="s">
        <v>55</v>
      </c>
      <c r="E877" s="6" t="s">
        <v>27</v>
      </c>
      <c r="F877" s="6">
        <v>1876</v>
      </c>
      <c r="G877" s="6">
        <v>148784.79</v>
      </c>
      <c r="H877" s="7">
        <v>39503</v>
      </c>
      <c r="I877" s="6" t="s">
        <v>56</v>
      </c>
      <c r="J877" s="6" t="s">
        <v>1807</v>
      </c>
      <c r="K877" s="6" t="s">
        <v>21</v>
      </c>
      <c r="L877" s="6" t="s">
        <v>22</v>
      </c>
      <c r="M877" s="6" t="s">
        <v>23</v>
      </c>
      <c r="N877" s="6">
        <v>2.81</v>
      </c>
      <c r="O877" s="6">
        <v>120</v>
      </c>
    </row>
    <row r="878" spans="1:15" ht="14.25" customHeight="1" x14ac:dyDescent="0.3">
      <c r="A878" s="6" t="s">
        <v>1808</v>
      </c>
      <c r="B878" s="6">
        <v>29</v>
      </c>
      <c r="C878" s="6" t="s">
        <v>25</v>
      </c>
      <c r="D878" s="6" t="s">
        <v>55</v>
      </c>
      <c r="E878" s="6" t="s">
        <v>18</v>
      </c>
      <c r="F878" s="6">
        <v>1877</v>
      </c>
      <c r="G878" s="6">
        <v>71435.12</v>
      </c>
      <c r="H878" s="7">
        <v>40343</v>
      </c>
      <c r="I878" s="6" t="s">
        <v>63</v>
      </c>
      <c r="J878" s="6" t="s">
        <v>1809</v>
      </c>
      <c r="K878" s="6" t="s">
        <v>30</v>
      </c>
      <c r="L878" s="6" t="s">
        <v>31</v>
      </c>
      <c r="M878" s="6" t="s">
        <v>32</v>
      </c>
      <c r="N878" s="6">
        <v>2.15</v>
      </c>
      <c r="O878" s="6">
        <v>56</v>
      </c>
    </row>
    <row r="879" spans="1:15" ht="14.25" customHeight="1" x14ac:dyDescent="0.3">
      <c r="A879" s="6" t="s">
        <v>1810</v>
      </c>
      <c r="B879" s="6">
        <v>48</v>
      </c>
      <c r="C879" s="6" t="s">
        <v>16</v>
      </c>
      <c r="D879" s="6" t="s">
        <v>69</v>
      </c>
      <c r="E879" s="6" t="s">
        <v>27</v>
      </c>
      <c r="F879" s="6">
        <v>1878</v>
      </c>
      <c r="G879" s="6">
        <v>95157.73</v>
      </c>
      <c r="H879" s="7">
        <v>39655</v>
      </c>
      <c r="I879" s="6" t="s">
        <v>66</v>
      </c>
      <c r="J879" s="6" t="s">
        <v>1811</v>
      </c>
      <c r="K879" s="6" t="s">
        <v>37</v>
      </c>
      <c r="L879" s="6" t="s">
        <v>38</v>
      </c>
      <c r="M879" s="6" t="s">
        <v>39</v>
      </c>
      <c r="N879" s="6">
        <v>3.04</v>
      </c>
      <c r="O879" s="6">
        <v>42</v>
      </c>
    </row>
    <row r="880" spans="1:15" ht="14.25" customHeight="1" x14ac:dyDescent="0.3">
      <c r="A880" s="6" t="s">
        <v>1812</v>
      </c>
      <c r="B880" s="6">
        <v>29</v>
      </c>
      <c r="C880" s="6" t="s">
        <v>16</v>
      </c>
      <c r="D880" s="6" t="s">
        <v>47</v>
      </c>
      <c r="E880" s="6" t="s">
        <v>80</v>
      </c>
      <c r="F880" s="6">
        <v>1879</v>
      </c>
      <c r="G880" s="6">
        <v>72172.27</v>
      </c>
      <c r="H880" s="7">
        <v>42810</v>
      </c>
      <c r="I880" s="6" t="s">
        <v>70</v>
      </c>
      <c r="J880" s="6" t="s">
        <v>1813</v>
      </c>
      <c r="K880" s="6" t="s">
        <v>43</v>
      </c>
      <c r="L880" s="6" t="s">
        <v>44</v>
      </c>
      <c r="M880" s="6" t="s">
        <v>45</v>
      </c>
      <c r="N880" s="6">
        <v>2.68</v>
      </c>
      <c r="O880" s="6">
        <v>51</v>
      </c>
    </row>
    <row r="881" spans="1:15" ht="14.25" customHeight="1" x14ac:dyDescent="0.3">
      <c r="A881" s="6" t="s">
        <v>1814</v>
      </c>
      <c r="B881" s="6">
        <v>54</v>
      </c>
      <c r="C881" s="6" t="s">
        <v>25</v>
      </c>
      <c r="D881" s="6" t="s">
        <v>17</v>
      </c>
      <c r="E881" s="6" t="s">
        <v>18</v>
      </c>
      <c r="F881" s="6">
        <v>1880</v>
      </c>
      <c r="G881" s="6">
        <v>65759.850000000006</v>
      </c>
      <c r="H881" s="7">
        <v>36731</v>
      </c>
      <c r="I881" s="6" t="s">
        <v>73</v>
      </c>
      <c r="J881" s="6" t="s">
        <v>1815</v>
      </c>
      <c r="K881" s="6" t="s">
        <v>51</v>
      </c>
      <c r="L881" s="6" t="s">
        <v>52</v>
      </c>
      <c r="M881" s="6" t="s">
        <v>53</v>
      </c>
      <c r="N881" s="6">
        <v>3.2</v>
      </c>
      <c r="O881" s="6">
        <v>120</v>
      </c>
    </row>
    <row r="882" spans="1:15" ht="14.25" customHeight="1" x14ac:dyDescent="0.3">
      <c r="A882" s="6" t="s">
        <v>1816</v>
      </c>
      <c r="B882" s="6">
        <v>58</v>
      </c>
      <c r="C882" s="6" t="s">
        <v>62</v>
      </c>
      <c r="D882" s="6" t="s">
        <v>17</v>
      </c>
      <c r="E882" s="6" t="s">
        <v>27</v>
      </c>
      <c r="F882" s="6">
        <v>1881</v>
      </c>
      <c r="G882" s="6">
        <v>140162.28</v>
      </c>
      <c r="H882" s="7">
        <v>38576</v>
      </c>
      <c r="I882" s="6" t="s">
        <v>19</v>
      </c>
      <c r="J882" s="6" t="s">
        <v>1817</v>
      </c>
      <c r="K882" s="6" t="s">
        <v>21</v>
      </c>
      <c r="L882" s="6" t="s">
        <v>22</v>
      </c>
      <c r="M882" s="6" t="s">
        <v>23</v>
      </c>
      <c r="N882" s="6">
        <v>3.58</v>
      </c>
      <c r="O882" s="6">
        <v>155</v>
      </c>
    </row>
    <row r="883" spans="1:15" ht="14.25" customHeight="1" x14ac:dyDescent="0.3">
      <c r="A883" s="6" t="s">
        <v>1818</v>
      </c>
      <c r="B883" s="6">
        <v>40</v>
      </c>
      <c r="C883" s="6" t="s">
        <v>62</v>
      </c>
      <c r="D883" s="6" t="s">
        <v>26</v>
      </c>
      <c r="E883" s="6" t="s">
        <v>48</v>
      </c>
      <c r="F883" s="6">
        <v>1882</v>
      </c>
      <c r="G883" s="6">
        <v>78631.05</v>
      </c>
      <c r="H883" s="7">
        <v>40713</v>
      </c>
      <c r="I883" s="6" t="s">
        <v>28</v>
      </c>
      <c r="J883" s="6" t="s">
        <v>1819</v>
      </c>
      <c r="K883" s="6" t="s">
        <v>30</v>
      </c>
      <c r="L883" s="6" t="s">
        <v>31</v>
      </c>
      <c r="M883" s="6" t="s">
        <v>32</v>
      </c>
      <c r="N883" s="6">
        <v>2.0099999999999998</v>
      </c>
      <c r="O883" s="6">
        <v>91</v>
      </c>
    </row>
    <row r="884" spans="1:15" ht="14.25" customHeight="1" x14ac:dyDescent="0.3">
      <c r="A884" s="6" t="s">
        <v>1820</v>
      </c>
      <c r="B884" s="6">
        <v>45</v>
      </c>
      <c r="C884" s="6" t="s">
        <v>25</v>
      </c>
      <c r="D884" s="6" t="s">
        <v>47</v>
      </c>
      <c r="E884" s="6" t="s">
        <v>80</v>
      </c>
      <c r="F884" s="6">
        <v>1883</v>
      </c>
      <c r="G884" s="6">
        <v>188938.2</v>
      </c>
      <c r="H884" s="7">
        <v>39790</v>
      </c>
      <c r="I884" s="6" t="s">
        <v>35</v>
      </c>
      <c r="J884" s="6" t="s">
        <v>1821</v>
      </c>
      <c r="K884" s="6" t="s">
        <v>37</v>
      </c>
      <c r="L884" s="6" t="s">
        <v>38</v>
      </c>
      <c r="M884" s="6" t="s">
        <v>39</v>
      </c>
      <c r="N884" s="6">
        <v>2.74</v>
      </c>
      <c r="O884" s="6">
        <v>138</v>
      </c>
    </row>
    <row r="885" spans="1:15" ht="14.25" customHeight="1" x14ac:dyDescent="0.3">
      <c r="A885" s="6" t="s">
        <v>1822</v>
      </c>
      <c r="B885" s="6">
        <v>43</v>
      </c>
      <c r="C885" s="6" t="s">
        <v>25</v>
      </c>
      <c r="D885" s="6" t="s">
        <v>26</v>
      </c>
      <c r="E885" s="6" t="s">
        <v>18</v>
      </c>
      <c r="F885" s="6">
        <v>1884</v>
      </c>
      <c r="G885" s="6">
        <v>137858.46</v>
      </c>
      <c r="H885" s="7">
        <v>43414</v>
      </c>
      <c r="I885" s="6" t="s">
        <v>41</v>
      </c>
      <c r="J885" s="6" t="s">
        <v>1823</v>
      </c>
      <c r="K885" s="6" t="s">
        <v>43</v>
      </c>
      <c r="L885" s="6" t="s">
        <v>44</v>
      </c>
      <c r="M885" s="6" t="s">
        <v>45</v>
      </c>
      <c r="N885" s="6">
        <v>3.17</v>
      </c>
      <c r="O885" s="6">
        <v>132</v>
      </c>
    </row>
    <row r="886" spans="1:15" ht="14.25" customHeight="1" x14ac:dyDescent="0.3">
      <c r="A886" s="6" t="s">
        <v>1824</v>
      </c>
      <c r="B886" s="6">
        <v>24</v>
      </c>
      <c r="C886" s="6" t="s">
        <v>62</v>
      </c>
      <c r="D886" s="6" t="s">
        <v>69</v>
      </c>
      <c r="E886" s="6" t="s">
        <v>34</v>
      </c>
      <c r="F886" s="6">
        <v>1885</v>
      </c>
      <c r="G886" s="6">
        <v>88089.32</v>
      </c>
      <c r="H886" s="7">
        <v>39832</v>
      </c>
      <c r="I886" s="6" t="s">
        <v>49</v>
      </c>
      <c r="J886" s="6" t="s">
        <v>1825</v>
      </c>
      <c r="K886" s="6" t="s">
        <v>51</v>
      </c>
      <c r="L886" s="6" t="s">
        <v>52</v>
      </c>
      <c r="M886" s="6" t="s">
        <v>53</v>
      </c>
      <c r="N886" s="6">
        <v>1.62</v>
      </c>
      <c r="O886" s="6">
        <v>145</v>
      </c>
    </row>
    <row r="887" spans="1:15" ht="14.25" customHeight="1" x14ac:dyDescent="0.3">
      <c r="A887" s="6" t="s">
        <v>1826</v>
      </c>
      <c r="B887" s="6">
        <v>30</v>
      </c>
      <c r="C887" s="6" t="s">
        <v>16</v>
      </c>
      <c r="D887" s="6" t="s">
        <v>26</v>
      </c>
      <c r="E887" s="6" t="s">
        <v>80</v>
      </c>
      <c r="F887" s="6">
        <v>1886</v>
      </c>
      <c r="G887" s="6">
        <v>133587.35999999999</v>
      </c>
      <c r="H887" s="7">
        <v>41667</v>
      </c>
      <c r="I887" s="6" t="s">
        <v>56</v>
      </c>
      <c r="J887" s="6" t="s">
        <v>1827</v>
      </c>
      <c r="K887" s="6" t="s">
        <v>21</v>
      </c>
      <c r="L887" s="6" t="s">
        <v>22</v>
      </c>
      <c r="M887" s="6" t="s">
        <v>23</v>
      </c>
      <c r="N887" s="6">
        <v>2.77</v>
      </c>
      <c r="O887" s="6">
        <v>194</v>
      </c>
    </row>
    <row r="888" spans="1:15" ht="14.25" customHeight="1" x14ac:dyDescent="0.3">
      <c r="A888" s="6" t="s">
        <v>1828</v>
      </c>
      <c r="B888" s="6">
        <v>32</v>
      </c>
      <c r="C888" s="6" t="s">
        <v>16</v>
      </c>
      <c r="D888" s="6" t="s">
        <v>69</v>
      </c>
      <c r="E888" s="6" t="s">
        <v>80</v>
      </c>
      <c r="F888" s="6">
        <v>1887</v>
      </c>
      <c r="G888" s="6">
        <v>156218.07999999999</v>
      </c>
      <c r="H888" s="7">
        <v>36899</v>
      </c>
      <c r="I888" s="6" t="s">
        <v>63</v>
      </c>
      <c r="J888" s="6" t="s">
        <v>1829</v>
      </c>
      <c r="K888" s="6" t="s">
        <v>30</v>
      </c>
      <c r="L888" s="6" t="s">
        <v>31</v>
      </c>
      <c r="M888" s="6" t="s">
        <v>32</v>
      </c>
      <c r="N888" s="6">
        <v>2.2999999999999998</v>
      </c>
      <c r="O888" s="6">
        <v>110</v>
      </c>
    </row>
    <row r="889" spans="1:15" ht="14.25" customHeight="1" x14ac:dyDescent="0.3">
      <c r="A889" s="6" t="s">
        <v>1830</v>
      </c>
      <c r="B889" s="6">
        <v>27</v>
      </c>
      <c r="C889" s="6" t="s">
        <v>62</v>
      </c>
      <c r="D889" s="6" t="s">
        <v>47</v>
      </c>
      <c r="E889" s="6" t="s">
        <v>27</v>
      </c>
      <c r="F889" s="6">
        <v>1888</v>
      </c>
      <c r="G889" s="6">
        <v>120260.5</v>
      </c>
      <c r="H889" s="7">
        <v>40133</v>
      </c>
      <c r="I889" s="6" t="s">
        <v>66</v>
      </c>
      <c r="J889" s="6" t="s">
        <v>1831</v>
      </c>
      <c r="K889" s="6" t="s">
        <v>37</v>
      </c>
      <c r="L889" s="6" t="s">
        <v>38</v>
      </c>
      <c r="M889" s="6" t="s">
        <v>39</v>
      </c>
      <c r="N889" s="6">
        <v>4.03</v>
      </c>
      <c r="O889" s="6">
        <v>170</v>
      </c>
    </row>
    <row r="890" spans="1:15" ht="14.25" customHeight="1" x14ac:dyDescent="0.3">
      <c r="A890" s="6" t="s">
        <v>1832</v>
      </c>
      <c r="B890" s="6">
        <v>60</v>
      </c>
      <c r="C890" s="6" t="s">
        <v>25</v>
      </c>
      <c r="D890" s="6" t="s">
        <v>69</v>
      </c>
      <c r="E890" s="6" t="s">
        <v>18</v>
      </c>
      <c r="F890" s="6">
        <v>1889</v>
      </c>
      <c r="G890" s="6">
        <v>185773.04</v>
      </c>
      <c r="H890" s="7">
        <v>41727</v>
      </c>
      <c r="I890" s="6" t="s">
        <v>70</v>
      </c>
      <c r="J890" s="6" t="s">
        <v>1833</v>
      </c>
      <c r="K890" s="6" t="s">
        <v>43</v>
      </c>
      <c r="L890" s="6" t="s">
        <v>44</v>
      </c>
      <c r="M890" s="6" t="s">
        <v>45</v>
      </c>
      <c r="N890" s="6">
        <v>2.4700000000000002</v>
      </c>
      <c r="O890" s="6">
        <v>161</v>
      </c>
    </row>
    <row r="891" spans="1:15" ht="14.25" customHeight="1" x14ac:dyDescent="0.3">
      <c r="A891" s="6" t="s">
        <v>1834</v>
      </c>
      <c r="B891" s="6">
        <v>60</v>
      </c>
      <c r="C891" s="6" t="s">
        <v>16</v>
      </c>
      <c r="D891" s="6" t="s">
        <v>26</v>
      </c>
      <c r="E891" s="6" t="s">
        <v>27</v>
      </c>
      <c r="F891" s="6">
        <v>1890</v>
      </c>
      <c r="G891" s="6">
        <v>135617.43</v>
      </c>
      <c r="H891" s="7">
        <v>44363</v>
      </c>
      <c r="I891" s="6" t="s">
        <v>73</v>
      </c>
      <c r="J891" s="6" t="s">
        <v>1835</v>
      </c>
      <c r="K891" s="6" t="s">
        <v>51</v>
      </c>
      <c r="L891" s="6" t="s">
        <v>52</v>
      </c>
      <c r="M891" s="6" t="s">
        <v>53</v>
      </c>
      <c r="N891" s="6">
        <v>1.79</v>
      </c>
      <c r="O891" s="6">
        <v>186</v>
      </c>
    </row>
    <row r="892" spans="1:15" ht="14.25" customHeight="1" x14ac:dyDescent="0.3">
      <c r="A892" s="6" t="s">
        <v>1836</v>
      </c>
      <c r="B892" s="6">
        <v>58</v>
      </c>
      <c r="C892" s="6" t="s">
        <v>62</v>
      </c>
      <c r="D892" s="6" t="s">
        <v>47</v>
      </c>
      <c r="E892" s="6" t="s">
        <v>80</v>
      </c>
      <c r="F892" s="6">
        <v>1891</v>
      </c>
      <c r="G892" s="6">
        <v>134543.37</v>
      </c>
      <c r="H892" s="7">
        <v>41360</v>
      </c>
      <c r="I892" s="6" t="s">
        <v>19</v>
      </c>
      <c r="J892" s="6" t="s">
        <v>1837</v>
      </c>
      <c r="K892" s="6" t="s">
        <v>21</v>
      </c>
      <c r="L892" s="6" t="s">
        <v>22</v>
      </c>
      <c r="M892" s="6" t="s">
        <v>23</v>
      </c>
      <c r="N892" s="6">
        <v>1.87</v>
      </c>
      <c r="O892" s="6">
        <v>173</v>
      </c>
    </row>
    <row r="893" spans="1:15" ht="14.25" customHeight="1" x14ac:dyDescent="0.3">
      <c r="A893" s="6" t="s">
        <v>1838</v>
      </c>
      <c r="B893" s="6">
        <v>23</v>
      </c>
      <c r="C893" s="6" t="s">
        <v>25</v>
      </c>
      <c r="D893" s="6" t="s">
        <v>26</v>
      </c>
      <c r="E893" s="6" t="s">
        <v>48</v>
      </c>
      <c r="F893" s="6">
        <v>1892</v>
      </c>
      <c r="G893" s="6">
        <v>81548.740000000005</v>
      </c>
      <c r="H893" s="7">
        <v>38729</v>
      </c>
      <c r="I893" s="6" t="s">
        <v>28</v>
      </c>
      <c r="J893" s="6" t="s">
        <v>1839</v>
      </c>
      <c r="K893" s="6" t="s">
        <v>30</v>
      </c>
      <c r="L893" s="6" t="s">
        <v>31</v>
      </c>
      <c r="M893" s="6" t="s">
        <v>32</v>
      </c>
      <c r="N893" s="6">
        <v>2.57</v>
      </c>
      <c r="O893" s="6">
        <v>116</v>
      </c>
    </row>
    <row r="894" spans="1:15" ht="14.25" customHeight="1" x14ac:dyDescent="0.3">
      <c r="A894" s="6" t="s">
        <v>1840</v>
      </c>
      <c r="B894" s="6">
        <v>58</v>
      </c>
      <c r="C894" s="6" t="s">
        <v>25</v>
      </c>
      <c r="D894" s="6" t="s">
        <v>17</v>
      </c>
      <c r="E894" s="6" t="s">
        <v>18</v>
      </c>
      <c r="F894" s="6">
        <v>1893</v>
      </c>
      <c r="G894" s="6">
        <v>63105.98</v>
      </c>
      <c r="H894" s="7">
        <v>38228</v>
      </c>
      <c r="I894" s="6" t="s">
        <v>35</v>
      </c>
      <c r="J894" s="6" t="s">
        <v>1841</v>
      </c>
      <c r="K894" s="6" t="s">
        <v>37</v>
      </c>
      <c r="L894" s="6" t="s">
        <v>38</v>
      </c>
      <c r="M894" s="6" t="s">
        <v>39</v>
      </c>
      <c r="N894" s="6">
        <v>3.1</v>
      </c>
      <c r="O894" s="6">
        <v>87</v>
      </c>
    </row>
    <row r="895" spans="1:15" ht="14.25" customHeight="1" x14ac:dyDescent="0.3">
      <c r="A895" s="6" t="s">
        <v>1842</v>
      </c>
      <c r="B895" s="6">
        <v>27</v>
      </c>
      <c r="C895" s="6" t="s">
        <v>16</v>
      </c>
      <c r="D895" s="6" t="s">
        <v>55</v>
      </c>
      <c r="E895" s="6" t="s">
        <v>18</v>
      </c>
      <c r="F895" s="6">
        <v>1894</v>
      </c>
      <c r="G895" s="6">
        <v>165066.71</v>
      </c>
      <c r="H895" s="7">
        <v>43940</v>
      </c>
      <c r="I895" s="6" t="s">
        <v>41</v>
      </c>
      <c r="J895" s="6" t="s">
        <v>1843</v>
      </c>
      <c r="K895" s="6" t="s">
        <v>43</v>
      </c>
      <c r="L895" s="6" t="s">
        <v>44</v>
      </c>
      <c r="M895" s="6" t="s">
        <v>45</v>
      </c>
      <c r="N895" s="6">
        <v>3.06</v>
      </c>
      <c r="O895" s="6">
        <v>185</v>
      </c>
    </row>
    <row r="896" spans="1:15" ht="14.25" customHeight="1" x14ac:dyDescent="0.3">
      <c r="A896" s="6" t="s">
        <v>1844</v>
      </c>
      <c r="B896" s="6">
        <v>27</v>
      </c>
      <c r="C896" s="6" t="s">
        <v>25</v>
      </c>
      <c r="D896" s="6" t="s">
        <v>69</v>
      </c>
      <c r="E896" s="6" t="s">
        <v>18</v>
      </c>
      <c r="F896" s="6">
        <v>1895</v>
      </c>
      <c r="G896" s="6">
        <v>128947.09</v>
      </c>
      <c r="H896" s="7">
        <v>40119</v>
      </c>
      <c r="I896" s="6" t="s">
        <v>49</v>
      </c>
      <c r="J896" s="6" t="s">
        <v>1845</v>
      </c>
      <c r="K896" s="6" t="s">
        <v>51</v>
      </c>
      <c r="L896" s="6" t="s">
        <v>52</v>
      </c>
      <c r="M896" s="6" t="s">
        <v>53</v>
      </c>
      <c r="N896" s="6">
        <v>2.78</v>
      </c>
      <c r="O896" s="6">
        <v>108</v>
      </c>
    </row>
    <row r="897" spans="1:15" ht="14.25" customHeight="1" x14ac:dyDescent="0.3">
      <c r="A897" s="6" t="s">
        <v>1846</v>
      </c>
      <c r="B897" s="6">
        <v>60</v>
      </c>
      <c r="C897" s="6" t="s">
        <v>62</v>
      </c>
      <c r="D897" s="6" t="s">
        <v>69</v>
      </c>
      <c r="E897" s="6" t="s">
        <v>48</v>
      </c>
      <c r="F897" s="6">
        <v>1896</v>
      </c>
      <c r="G897" s="6">
        <v>113975.28</v>
      </c>
      <c r="H897" s="7">
        <v>41555</v>
      </c>
      <c r="I897" s="6" t="s">
        <v>56</v>
      </c>
      <c r="J897" s="6" t="s">
        <v>1847</v>
      </c>
      <c r="K897" s="6" t="s">
        <v>21</v>
      </c>
      <c r="L897" s="6" t="s">
        <v>22</v>
      </c>
      <c r="M897" s="6" t="s">
        <v>23</v>
      </c>
      <c r="N897" s="6">
        <v>3.82</v>
      </c>
      <c r="O897" s="6">
        <v>6</v>
      </c>
    </row>
    <row r="898" spans="1:15" ht="14.25" customHeight="1" x14ac:dyDescent="0.3">
      <c r="A898" s="6" t="s">
        <v>1848</v>
      </c>
      <c r="B898" s="6">
        <v>57</v>
      </c>
      <c r="C898" s="6" t="s">
        <v>62</v>
      </c>
      <c r="D898" s="6" t="s">
        <v>55</v>
      </c>
      <c r="E898" s="6" t="s">
        <v>80</v>
      </c>
      <c r="F898" s="6">
        <v>1897</v>
      </c>
      <c r="G898" s="6">
        <v>167239.96</v>
      </c>
      <c r="H898" s="7">
        <v>44700</v>
      </c>
      <c r="I898" s="6" t="s">
        <v>63</v>
      </c>
      <c r="J898" s="6" t="s">
        <v>1849</v>
      </c>
      <c r="K898" s="6" t="s">
        <v>30</v>
      </c>
      <c r="L898" s="6" t="s">
        <v>31</v>
      </c>
      <c r="M898" s="6" t="s">
        <v>32</v>
      </c>
      <c r="N898" s="6">
        <v>2.64</v>
      </c>
      <c r="O898" s="6">
        <v>158</v>
      </c>
    </row>
    <row r="899" spans="1:15" ht="14.25" customHeight="1" x14ac:dyDescent="0.3">
      <c r="A899" s="6" t="s">
        <v>1850</v>
      </c>
      <c r="B899" s="6">
        <v>46</v>
      </c>
      <c r="C899" s="6" t="s">
        <v>62</v>
      </c>
      <c r="D899" s="6" t="s">
        <v>69</v>
      </c>
      <c r="E899" s="6" t="s">
        <v>34</v>
      </c>
      <c r="F899" s="6">
        <v>1898</v>
      </c>
      <c r="G899" s="6">
        <v>110217.22</v>
      </c>
      <c r="H899" s="7">
        <v>38605</v>
      </c>
      <c r="I899" s="6" t="s">
        <v>66</v>
      </c>
      <c r="J899" s="6" t="s">
        <v>1851</v>
      </c>
      <c r="K899" s="6" t="s">
        <v>37</v>
      </c>
      <c r="L899" s="6" t="s">
        <v>38</v>
      </c>
      <c r="M899" s="6" t="s">
        <v>39</v>
      </c>
      <c r="N899" s="6">
        <v>1.52</v>
      </c>
      <c r="O899" s="6">
        <v>107</v>
      </c>
    </row>
    <row r="900" spans="1:15" ht="14.25" customHeight="1" x14ac:dyDescent="0.3">
      <c r="A900" s="6" t="s">
        <v>1852</v>
      </c>
      <c r="B900" s="6">
        <v>37</v>
      </c>
      <c r="C900" s="6" t="s">
        <v>62</v>
      </c>
      <c r="D900" s="6" t="s">
        <v>69</v>
      </c>
      <c r="E900" s="6" t="s">
        <v>80</v>
      </c>
      <c r="F900" s="6">
        <v>1899</v>
      </c>
      <c r="G900" s="6">
        <v>138160.42000000001</v>
      </c>
      <c r="H900" s="7">
        <v>37218</v>
      </c>
      <c r="I900" s="6" t="s">
        <v>70</v>
      </c>
      <c r="J900" s="6" t="s">
        <v>1853</v>
      </c>
      <c r="K900" s="6" t="s">
        <v>43</v>
      </c>
      <c r="L900" s="6" t="s">
        <v>44</v>
      </c>
      <c r="M900" s="6" t="s">
        <v>45</v>
      </c>
      <c r="N900" s="6">
        <v>1.58</v>
      </c>
      <c r="O900" s="6">
        <v>89</v>
      </c>
    </row>
    <row r="901" spans="1:15" ht="14.25" customHeight="1" x14ac:dyDescent="0.3">
      <c r="A901" s="6" t="s">
        <v>1854</v>
      </c>
      <c r="B901" s="6">
        <v>42</v>
      </c>
      <c r="C901" s="6" t="s">
        <v>25</v>
      </c>
      <c r="D901" s="6" t="s">
        <v>17</v>
      </c>
      <c r="E901" s="6" t="s">
        <v>48</v>
      </c>
      <c r="F901" s="6">
        <v>1900</v>
      </c>
      <c r="G901" s="6">
        <v>67064.23</v>
      </c>
      <c r="H901" s="7">
        <v>43714</v>
      </c>
      <c r="I901" s="6" t="s">
        <v>73</v>
      </c>
      <c r="J901" s="6" t="s">
        <v>1855</v>
      </c>
      <c r="K901" s="6" t="s">
        <v>51</v>
      </c>
      <c r="L901" s="6" t="s">
        <v>52</v>
      </c>
      <c r="M901" s="6" t="s">
        <v>53</v>
      </c>
      <c r="N901" s="6">
        <v>3.7</v>
      </c>
      <c r="O901" s="6">
        <v>146</v>
      </c>
    </row>
    <row r="902" spans="1:15" ht="14.25" customHeight="1" x14ac:dyDescent="0.3">
      <c r="A902" s="6" t="s">
        <v>1856</v>
      </c>
      <c r="B902" s="6">
        <v>31</v>
      </c>
      <c r="C902" s="6" t="s">
        <v>62</v>
      </c>
      <c r="D902" s="6" t="s">
        <v>47</v>
      </c>
      <c r="E902" s="6" t="s">
        <v>27</v>
      </c>
      <c r="F902" s="6">
        <v>1901</v>
      </c>
      <c r="G902" s="6">
        <v>197991.14</v>
      </c>
      <c r="H902" s="7">
        <v>43838</v>
      </c>
      <c r="I902" s="6" t="s">
        <v>19</v>
      </c>
      <c r="J902" s="6" t="s">
        <v>1857</v>
      </c>
      <c r="K902" s="6" t="s">
        <v>21</v>
      </c>
      <c r="L902" s="6" t="s">
        <v>22</v>
      </c>
      <c r="M902" s="6" t="s">
        <v>23</v>
      </c>
      <c r="N902" s="6">
        <v>3.55</v>
      </c>
      <c r="O902" s="6">
        <v>36</v>
      </c>
    </row>
    <row r="903" spans="1:15" ht="14.25" customHeight="1" x14ac:dyDescent="0.3">
      <c r="A903" s="6" t="s">
        <v>1858</v>
      </c>
      <c r="B903" s="6">
        <v>26</v>
      </c>
      <c r="C903" s="6" t="s">
        <v>16</v>
      </c>
      <c r="D903" s="6" t="s">
        <v>69</v>
      </c>
      <c r="E903" s="6" t="s">
        <v>27</v>
      </c>
      <c r="F903" s="6">
        <v>1902</v>
      </c>
      <c r="G903" s="6">
        <v>74654.539999999994</v>
      </c>
      <c r="H903" s="7">
        <v>36572</v>
      </c>
      <c r="I903" s="6" t="s">
        <v>28</v>
      </c>
      <c r="J903" s="6" t="s">
        <v>1859</v>
      </c>
      <c r="K903" s="6" t="s">
        <v>30</v>
      </c>
      <c r="L903" s="6" t="s">
        <v>31</v>
      </c>
      <c r="M903" s="6" t="s">
        <v>32</v>
      </c>
      <c r="N903" s="6">
        <v>3.79</v>
      </c>
      <c r="O903" s="6">
        <v>44</v>
      </c>
    </row>
    <row r="904" spans="1:15" ht="14.25" customHeight="1" x14ac:dyDescent="0.3">
      <c r="A904" s="6" t="s">
        <v>1860</v>
      </c>
      <c r="B904" s="6">
        <v>46</v>
      </c>
      <c r="C904" s="6" t="s">
        <v>25</v>
      </c>
      <c r="D904" s="6" t="s">
        <v>17</v>
      </c>
      <c r="E904" s="6" t="s">
        <v>34</v>
      </c>
      <c r="F904" s="6">
        <v>1903</v>
      </c>
      <c r="G904" s="6">
        <v>75358.789999999994</v>
      </c>
      <c r="H904" s="7">
        <v>36609</v>
      </c>
      <c r="I904" s="6" t="s">
        <v>35</v>
      </c>
      <c r="J904" s="6" t="s">
        <v>1861</v>
      </c>
      <c r="K904" s="6" t="s">
        <v>37</v>
      </c>
      <c r="L904" s="6" t="s">
        <v>38</v>
      </c>
      <c r="M904" s="6" t="s">
        <v>39</v>
      </c>
      <c r="N904" s="6">
        <v>1.79</v>
      </c>
      <c r="O904" s="6">
        <v>180</v>
      </c>
    </row>
    <row r="905" spans="1:15" ht="14.25" customHeight="1" x14ac:dyDescent="0.3">
      <c r="A905" s="6" t="s">
        <v>1862</v>
      </c>
      <c r="B905" s="6">
        <v>52</v>
      </c>
      <c r="C905" s="6" t="s">
        <v>25</v>
      </c>
      <c r="D905" s="6" t="s">
        <v>69</v>
      </c>
      <c r="E905" s="6" t="s">
        <v>27</v>
      </c>
      <c r="F905" s="6">
        <v>1904</v>
      </c>
      <c r="G905" s="6">
        <v>116063.57</v>
      </c>
      <c r="H905" s="7">
        <v>38462</v>
      </c>
      <c r="I905" s="6" t="s">
        <v>41</v>
      </c>
      <c r="J905" s="6" t="s">
        <v>1863</v>
      </c>
      <c r="K905" s="6" t="s">
        <v>43</v>
      </c>
      <c r="L905" s="6" t="s">
        <v>44</v>
      </c>
      <c r="M905" s="6" t="s">
        <v>45</v>
      </c>
      <c r="N905" s="6">
        <v>2.7</v>
      </c>
      <c r="O905" s="6">
        <v>76</v>
      </c>
    </row>
    <row r="906" spans="1:15" ht="14.25" customHeight="1" x14ac:dyDescent="0.3">
      <c r="A906" s="6" t="s">
        <v>1864</v>
      </c>
      <c r="B906" s="6">
        <v>24</v>
      </c>
      <c r="C906" s="6" t="s">
        <v>25</v>
      </c>
      <c r="D906" s="6" t="s">
        <v>47</v>
      </c>
      <c r="E906" s="6" t="s">
        <v>48</v>
      </c>
      <c r="F906" s="6">
        <v>1905</v>
      </c>
      <c r="G906" s="6">
        <v>88789.759999999995</v>
      </c>
      <c r="H906" s="7">
        <v>37619</v>
      </c>
      <c r="I906" s="6" t="s">
        <v>49</v>
      </c>
      <c r="J906" s="6" t="s">
        <v>1865</v>
      </c>
      <c r="K906" s="6" t="s">
        <v>51</v>
      </c>
      <c r="L906" s="6" t="s">
        <v>52</v>
      </c>
      <c r="M906" s="6" t="s">
        <v>53</v>
      </c>
      <c r="N906" s="6">
        <v>1.78</v>
      </c>
      <c r="O906" s="6">
        <v>192</v>
      </c>
    </row>
    <row r="907" spans="1:15" ht="14.25" customHeight="1" x14ac:dyDescent="0.3">
      <c r="A907" s="6" t="s">
        <v>1866</v>
      </c>
      <c r="B907" s="6">
        <v>41</v>
      </c>
      <c r="C907" s="6" t="s">
        <v>62</v>
      </c>
      <c r="D907" s="6" t="s">
        <v>17</v>
      </c>
      <c r="E907" s="6" t="s">
        <v>34</v>
      </c>
      <c r="F907" s="6">
        <v>1906</v>
      </c>
      <c r="G907" s="6">
        <v>144437.32</v>
      </c>
      <c r="H907" s="7">
        <v>44480</v>
      </c>
      <c r="I907" s="6" t="s">
        <v>56</v>
      </c>
      <c r="J907" s="6" t="s">
        <v>1867</v>
      </c>
      <c r="K907" s="6" t="s">
        <v>21</v>
      </c>
      <c r="L907" s="6" t="s">
        <v>22</v>
      </c>
      <c r="M907" s="6" t="s">
        <v>23</v>
      </c>
      <c r="N907" s="6">
        <v>2.23</v>
      </c>
      <c r="O907" s="6">
        <v>185</v>
      </c>
    </row>
    <row r="908" spans="1:15" ht="14.25" customHeight="1" x14ac:dyDescent="0.3">
      <c r="A908" s="6" t="s">
        <v>1868</v>
      </c>
      <c r="B908" s="6">
        <v>25</v>
      </c>
      <c r="C908" s="6" t="s">
        <v>25</v>
      </c>
      <c r="D908" s="6" t="s">
        <v>69</v>
      </c>
      <c r="E908" s="6" t="s">
        <v>48</v>
      </c>
      <c r="F908" s="6">
        <v>1907</v>
      </c>
      <c r="G908" s="6">
        <v>51943.85</v>
      </c>
      <c r="H908" s="7">
        <v>37095</v>
      </c>
      <c r="I908" s="6" t="s">
        <v>63</v>
      </c>
      <c r="J908" s="6" t="s">
        <v>1869</v>
      </c>
      <c r="K908" s="6" t="s">
        <v>30</v>
      </c>
      <c r="L908" s="6" t="s">
        <v>31</v>
      </c>
      <c r="M908" s="6" t="s">
        <v>32</v>
      </c>
      <c r="N908" s="6">
        <v>1.93</v>
      </c>
      <c r="O908" s="6">
        <v>148</v>
      </c>
    </row>
    <row r="909" spans="1:15" ht="14.25" customHeight="1" x14ac:dyDescent="0.3">
      <c r="A909" s="6" t="s">
        <v>1870</v>
      </c>
      <c r="B909" s="6">
        <v>35</v>
      </c>
      <c r="C909" s="6" t="s">
        <v>62</v>
      </c>
      <c r="D909" s="6" t="s">
        <v>17</v>
      </c>
      <c r="E909" s="6" t="s">
        <v>18</v>
      </c>
      <c r="F909" s="6">
        <v>1908</v>
      </c>
      <c r="G909" s="6">
        <v>129375.61</v>
      </c>
      <c r="H909" s="7">
        <v>40184</v>
      </c>
      <c r="I909" s="6" t="s">
        <v>66</v>
      </c>
      <c r="J909" s="6" t="s">
        <v>1871</v>
      </c>
      <c r="K909" s="6" t="s">
        <v>37</v>
      </c>
      <c r="L909" s="6" t="s">
        <v>38</v>
      </c>
      <c r="M909" s="6" t="s">
        <v>39</v>
      </c>
      <c r="N909" s="6">
        <v>1.1200000000000001</v>
      </c>
      <c r="O909" s="6">
        <v>95</v>
      </c>
    </row>
    <row r="910" spans="1:15" ht="14.25" customHeight="1" x14ac:dyDescent="0.3">
      <c r="A910" s="6" t="s">
        <v>1872</v>
      </c>
      <c r="B910" s="6">
        <v>33</v>
      </c>
      <c r="C910" s="6" t="s">
        <v>62</v>
      </c>
      <c r="D910" s="6" t="s">
        <v>55</v>
      </c>
      <c r="E910" s="6" t="s">
        <v>27</v>
      </c>
      <c r="F910" s="6">
        <v>1909</v>
      </c>
      <c r="G910" s="6">
        <v>172244.81</v>
      </c>
      <c r="H910" s="7">
        <v>40436</v>
      </c>
      <c r="I910" s="6" t="s">
        <v>70</v>
      </c>
      <c r="J910" s="6" t="s">
        <v>1873</v>
      </c>
      <c r="K910" s="6" t="s">
        <v>43</v>
      </c>
      <c r="L910" s="6" t="s">
        <v>44</v>
      </c>
      <c r="M910" s="6" t="s">
        <v>45</v>
      </c>
      <c r="N910" s="6">
        <v>2.93</v>
      </c>
      <c r="O910" s="6">
        <v>149</v>
      </c>
    </row>
    <row r="911" spans="1:15" ht="14.25" customHeight="1" x14ac:dyDescent="0.3">
      <c r="A911" s="6" t="s">
        <v>1874</v>
      </c>
      <c r="B911" s="6">
        <v>35</v>
      </c>
      <c r="C911" s="6" t="s">
        <v>25</v>
      </c>
      <c r="D911" s="6" t="s">
        <v>69</v>
      </c>
      <c r="E911" s="6" t="s">
        <v>18</v>
      </c>
      <c r="F911" s="6">
        <v>1910</v>
      </c>
      <c r="G911" s="6">
        <v>192453.8</v>
      </c>
      <c r="H911" s="7">
        <v>42964</v>
      </c>
      <c r="I911" s="6" t="s">
        <v>73</v>
      </c>
      <c r="J911" s="6" t="s">
        <v>1875</v>
      </c>
      <c r="K911" s="6" t="s">
        <v>51</v>
      </c>
      <c r="L911" s="6" t="s">
        <v>52</v>
      </c>
      <c r="M911" s="6" t="s">
        <v>53</v>
      </c>
      <c r="N911" s="6">
        <v>2.92</v>
      </c>
      <c r="O911" s="6">
        <v>168</v>
      </c>
    </row>
    <row r="912" spans="1:15" ht="14.25" customHeight="1" x14ac:dyDescent="0.3">
      <c r="A912" s="6" t="s">
        <v>1876</v>
      </c>
      <c r="B912" s="6">
        <v>58</v>
      </c>
      <c r="C912" s="6" t="s">
        <v>25</v>
      </c>
      <c r="D912" s="6" t="s">
        <v>26</v>
      </c>
      <c r="E912" s="6" t="s">
        <v>80</v>
      </c>
      <c r="F912" s="6">
        <v>1911</v>
      </c>
      <c r="G912" s="6">
        <v>160984.26999999999</v>
      </c>
      <c r="H912" s="7">
        <v>38185</v>
      </c>
      <c r="I912" s="6" t="s">
        <v>19</v>
      </c>
      <c r="J912" s="6" t="s">
        <v>1877</v>
      </c>
      <c r="K912" s="6" t="s">
        <v>21</v>
      </c>
      <c r="L912" s="6" t="s">
        <v>22</v>
      </c>
      <c r="M912" s="6" t="s">
        <v>23</v>
      </c>
      <c r="N912" s="6">
        <v>2.5499999999999998</v>
      </c>
      <c r="O912" s="6">
        <v>145</v>
      </c>
    </row>
    <row r="913" spans="1:15" ht="14.25" customHeight="1" x14ac:dyDescent="0.3">
      <c r="A913" s="6" t="s">
        <v>1878</v>
      </c>
      <c r="B913" s="6">
        <v>39</v>
      </c>
      <c r="C913" s="6" t="s">
        <v>62</v>
      </c>
      <c r="D913" s="6" t="s">
        <v>47</v>
      </c>
      <c r="E913" s="6" t="s">
        <v>18</v>
      </c>
      <c r="F913" s="6">
        <v>1912</v>
      </c>
      <c r="G913" s="6">
        <v>78085.679999999993</v>
      </c>
      <c r="H913" s="7">
        <v>39698</v>
      </c>
      <c r="I913" s="6" t="s">
        <v>28</v>
      </c>
      <c r="J913" s="6" t="s">
        <v>1879</v>
      </c>
      <c r="K913" s="6" t="s">
        <v>30</v>
      </c>
      <c r="L913" s="6" t="s">
        <v>31</v>
      </c>
      <c r="M913" s="6" t="s">
        <v>32</v>
      </c>
      <c r="N913" s="6">
        <v>1.39</v>
      </c>
      <c r="O913" s="6">
        <v>37</v>
      </c>
    </row>
    <row r="914" spans="1:15" ht="14.25" customHeight="1" x14ac:dyDescent="0.3">
      <c r="A914" s="6" t="s">
        <v>1880</v>
      </c>
      <c r="B914" s="6">
        <v>48</v>
      </c>
      <c r="C914" s="6" t="s">
        <v>25</v>
      </c>
      <c r="D914" s="6" t="s">
        <v>69</v>
      </c>
      <c r="E914" s="6" t="s">
        <v>27</v>
      </c>
      <c r="F914" s="6">
        <v>1913</v>
      </c>
      <c r="G914" s="6">
        <v>150329.75</v>
      </c>
      <c r="H914" s="7">
        <v>42419</v>
      </c>
      <c r="I914" s="6" t="s">
        <v>35</v>
      </c>
      <c r="J914" s="6" t="s">
        <v>1881</v>
      </c>
      <c r="K914" s="6" t="s">
        <v>37</v>
      </c>
      <c r="L914" s="6" t="s">
        <v>38</v>
      </c>
      <c r="M914" s="6" t="s">
        <v>39</v>
      </c>
      <c r="N914" s="6">
        <v>2.87</v>
      </c>
      <c r="O914" s="6">
        <v>86</v>
      </c>
    </row>
    <row r="915" spans="1:15" ht="14.25" customHeight="1" x14ac:dyDescent="0.3">
      <c r="A915" s="6" t="s">
        <v>1882</v>
      </c>
      <c r="B915" s="6">
        <v>28</v>
      </c>
      <c r="C915" s="6" t="s">
        <v>25</v>
      </c>
      <c r="D915" s="6" t="s">
        <v>69</v>
      </c>
      <c r="E915" s="6" t="s">
        <v>80</v>
      </c>
      <c r="F915" s="6">
        <v>1914</v>
      </c>
      <c r="G915" s="6">
        <v>151829.70000000001</v>
      </c>
      <c r="H915" s="7">
        <v>41374</v>
      </c>
      <c r="I915" s="6" t="s">
        <v>41</v>
      </c>
      <c r="J915" s="6" t="s">
        <v>1883</v>
      </c>
      <c r="K915" s="6" t="s">
        <v>43</v>
      </c>
      <c r="L915" s="6" t="s">
        <v>44</v>
      </c>
      <c r="M915" s="6" t="s">
        <v>45</v>
      </c>
      <c r="N915" s="6">
        <v>3.29</v>
      </c>
      <c r="O915" s="6">
        <v>127</v>
      </c>
    </row>
    <row r="916" spans="1:15" ht="14.25" customHeight="1" x14ac:dyDescent="0.3">
      <c r="A916" s="6" t="s">
        <v>1884</v>
      </c>
      <c r="B916" s="6">
        <v>56</v>
      </c>
      <c r="C916" s="6" t="s">
        <v>62</v>
      </c>
      <c r="D916" s="6" t="s">
        <v>26</v>
      </c>
      <c r="E916" s="6" t="s">
        <v>27</v>
      </c>
      <c r="F916" s="6">
        <v>1915</v>
      </c>
      <c r="G916" s="6">
        <v>123716.51</v>
      </c>
      <c r="H916" s="7">
        <v>43009</v>
      </c>
      <c r="I916" s="6" t="s">
        <v>49</v>
      </c>
      <c r="J916" s="6" t="s">
        <v>1885</v>
      </c>
      <c r="K916" s="6" t="s">
        <v>51</v>
      </c>
      <c r="L916" s="6" t="s">
        <v>52</v>
      </c>
      <c r="M916" s="6" t="s">
        <v>53</v>
      </c>
      <c r="N916" s="6">
        <v>2.12</v>
      </c>
      <c r="O916" s="6">
        <v>171</v>
      </c>
    </row>
    <row r="917" spans="1:15" ht="14.25" customHeight="1" x14ac:dyDescent="0.3">
      <c r="A917" s="6" t="s">
        <v>1886</v>
      </c>
      <c r="B917" s="6">
        <v>43</v>
      </c>
      <c r="C917" s="6" t="s">
        <v>62</v>
      </c>
      <c r="D917" s="6" t="s">
        <v>17</v>
      </c>
      <c r="E917" s="6" t="s">
        <v>27</v>
      </c>
      <c r="F917" s="6">
        <v>1916</v>
      </c>
      <c r="G917" s="6">
        <v>164482.20000000001</v>
      </c>
      <c r="H917" s="7">
        <v>38056</v>
      </c>
      <c r="I917" s="6" t="s">
        <v>56</v>
      </c>
      <c r="J917" s="6" t="s">
        <v>1887</v>
      </c>
      <c r="K917" s="6" t="s">
        <v>21</v>
      </c>
      <c r="L917" s="6" t="s">
        <v>22</v>
      </c>
      <c r="M917" s="6" t="s">
        <v>23</v>
      </c>
      <c r="N917" s="6">
        <v>4.8499999999999996</v>
      </c>
      <c r="O917" s="6">
        <v>65</v>
      </c>
    </row>
    <row r="918" spans="1:15" ht="14.25" customHeight="1" x14ac:dyDescent="0.3">
      <c r="A918" s="6" t="s">
        <v>1888</v>
      </c>
      <c r="B918" s="6">
        <v>42</v>
      </c>
      <c r="C918" s="6" t="s">
        <v>25</v>
      </c>
      <c r="D918" s="6" t="s">
        <v>47</v>
      </c>
      <c r="E918" s="6" t="s">
        <v>27</v>
      </c>
      <c r="F918" s="6">
        <v>1917</v>
      </c>
      <c r="G918" s="6">
        <v>166000.63</v>
      </c>
      <c r="H918" s="7">
        <v>42132</v>
      </c>
      <c r="I918" s="6" t="s">
        <v>63</v>
      </c>
      <c r="J918" s="6" t="s">
        <v>1889</v>
      </c>
      <c r="K918" s="6" t="s">
        <v>30</v>
      </c>
      <c r="L918" s="6" t="s">
        <v>31</v>
      </c>
      <c r="M918" s="6" t="s">
        <v>32</v>
      </c>
      <c r="N918" s="6">
        <v>2.37</v>
      </c>
      <c r="O918" s="6">
        <v>83</v>
      </c>
    </row>
    <row r="919" spans="1:15" ht="14.25" customHeight="1" x14ac:dyDescent="0.3">
      <c r="A919" s="6" t="s">
        <v>1890</v>
      </c>
      <c r="B919" s="6">
        <v>64</v>
      </c>
      <c r="C919" s="6" t="s">
        <v>62</v>
      </c>
      <c r="D919" s="6" t="s">
        <v>26</v>
      </c>
      <c r="E919" s="6" t="s">
        <v>48</v>
      </c>
      <c r="F919" s="6">
        <v>1918</v>
      </c>
      <c r="G919" s="6">
        <v>155768.04999999999</v>
      </c>
      <c r="H919" s="7">
        <v>43917</v>
      </c>
      <c r="I919" s="6" t="s">
        <v>66</v>
      </c>
      <c r="J919" s="6" t="s">
        <v>1891</v>
      </c>
      <c r="K919" s="6" t="s">
        <v>37</v>
      </c>
      <c r="L919" s="6" t="s">
        <v>38</v>
      </c>
      <c r="M919" s="6" t="s">
        <v>39</v>
      </c>
      <c r="N919" s="6">
        <v>1.47</v>
      </c>
      <c r="O919" s="6">
        <v>20</v>
      </c>
    </row>
    <row r="920" spans="1:15" ht="14.25" customHeight="1" x14ac:dyDescent="0.3">
      <c r="A920" s="6" t="s">
        <v>1892</v>
      </c>
      <c r="B920" s="6">
        <v>39</v>
      </c>
      <c r="C920" s="6" t="s">
        <v>62</v>
      </c>
      <c r="D920" s="6" t="s">
        <v>47</v>
      </c>
      <c r="E920" s="6" t="s">
        <v>27</v>
      </c>
      <c r="F920" s="6">
        <v>1919</v>
      </c>
      <c r="G920" s="6">
        <v>88581.45</v>
      </c>
      <c r="H920" s="7">
        <v>39675</v>
      </c>
      <c r="I920" s="6" t="s">
        <v>70</v>
      </c>
      <c r="J920" s="6" t="s">
        <v>1893</v>
      </c>
      <c r="K920" s="6" t="s">
        <v>43</v>
      </c>
      <c r="L920" s="6" t="s">
        <v>44</v>
      </c>
      <c r="M920" s="6" t="s">
        <v>45</v>
      </c>
      <c r="N920" s="6">
        <v>1.84</v>
      </c>
      <c r="O920" s="6">
        <v>187</v>
      </c>
    </row>
    <row r="921" spans="1:15" ht="14.25" customHeight="1" x14ac:dyDescent="0.3">
      <c r="A921" s="6" t="s">
        <v>1894</v>
      </c>
      <c r="B921" s="6">
        <v>59</v>
      </c>
      <c r="C921" s="6" t="s">
        <v>16</v>
      </c>
      <c r="D921" s="6" t="s">
        <v>69</v>
      </c>
      <c r="E921" s="6" t="s">
        <v>80</v>
      </c>
      <c r="F921" s="6">
        <v>1920</v>
      </c>
      <c r="G921" s="6">
        <v>188972.29</v>
      </c>
      <c r="H921" s="7">
        <v>37307</v>
      </c>
      <c r="I921" s="6" t="s">
        <v>73</v>
      </c>
      <c r="J921" s="6" t="s">
        <v>1895</v>
      </c>
      <c r="K921" s="6" t="s">
        <v>51</v>
      </c>
      <c r="L921" s="6" t="s">
        <v>52</v>
      </c>
      <c r="M921" s="6" t="s">
        <v>53</v>
      </c>
      <c r="N921" s="6">
        <v>4.63</v>
      </c>
      <c r="O921" s="6">
        <v>13</v>
      </c>
    </row>
    <row r="922" spans="1:15" ht="14.25" customHeight="1" x14ac:dyDescent="0.3">
      <c r="A922" s="6" t="s">
        <v>1896</v>
      </c>
      <c r="B922" s="6">
        <v>47</v>
      </c>
      <c r="C922" s="6" t="s">
        <v>25</v>
      </c>
      <c r="D922" s="6" t="s">
        <v>47</v>
      </c>
      <c r="E922" s="6" t="s">
        <v>80</v>
      </c>
      <c r="F922" s="6">
        <v>1921</v>
      </c>
      <c r="G922" s="6">
        <v>56917.11</v>
      </c>
      <c r="H922" s="7">
        <v>40174</v>
      </c>
      <c r="I922" s="6" t="s">
        <v>19</v>
      </c>
      <c r="J922" s="6" t="s">
        <v>1897</v>
      </c>
      <c r="K922" s="6" t="s">
        <v>21</v>
      </c>
      <c r="L922" s="6" t="s">
        <v>22</v>
      </c>
      <c r="M922" s="6" t="s">
        <v>23</v>
      </c>
      <c r="N922" s="6">
        <v>3.04</v>
      </c>
      <c r="O922" s="6">
        <v>94</v>
      </c>
    </row>
    <row r="923" spans="1:15" ht="14.25" customHeight="1" x14ac:dyDescent="0.3">
      <c r="A923" s="6" t="s">
        <v>1898</v>
      </c>
      <c r="B923" s="6">
        <v>43</v>
      </c>
      <c r="C923" s="6" t="s">
        <v>25</v>
      </c>
      <c r="D923" s="6" t="s">
        <v>17</v>
      </c>
      <c r="E923" s="6" t="s">
        <v>34</v>
      </c>
      <c r="F923" s="6">
        <v>1922</v>
      </c>
      <c r="G923" s="6">
        <v>195655.31</v>
      </c>
      <c r="H923" s="7">
        <v>42490</v>
      </c>
      <c r="I923" s="6" t="s">
        <v>28</v>
      </c>
      <c r="J923" s="6" t="s">
        <v>1899</v>
      </c>
      <c r="K923" s="6" t="s">
        <v>30</v>
      </c>
      <c r="L923" s="6" t="s">
        <v>31</v>
      </c>
      <c r="M923" s="6" t="s">
        <v>32</v>
      </c>
      <c r="N923" s="6">
        <v>4.99</v>
      </c>
      <c r="O923" s="6">
        <v>129</v>
      </c>
    </row>
    <row r="924" spans="1:15" ht="14.25" customHeight="1" x14ac:dyDescent="0.3">
      <c r="A924" s="6" t="s">
        <v>1900</v>
      </c>
      <c r="B924" s="6">
        <v>58</v>
      </c>
      <c r="C924" s="6" t="s">
        <v>25</v>
      </c>
      <c r="D924" s="6" t="s">
        <v>55</v>
      </c>
      <c r="E924" s="6" t="s">
        <v>27</v>
      </c>
      <c r="F924" s="6">
        <v>1923</v>
      </c>
      <c r="G924" s="6">
        <v>129769.32</v>
      </c>
      <c r="H924" s="7">
        <v>37751</v>
      </c>
      <c r="I924" s="6" t="s">
        <v>35</v>
      </c>
      <c r="J924" s="6" t="s">
        <v>1901</v>
      </c>
      <c r="K924" s="6" t="s">
        <v>37</v>
      </c>
      <c r="L924" s="6" t="s">
        <v>38</v>
      </c>
      <c r="M924" s="6" t="s">
        <v>39</v>
      </c>
      <c r="N924" s="6">
        <v>4.92</v>
      </c>
      <c r="O924" s="6">
        <v>199</v>
      </c>
    </row>
    <row r="925" spans="1:15" ht="14.25" customHeight="1" x14ac:dyDescent="0.3">
      <c r="A925" s="6" t="s">
        <v>1902</v>
      </c>
      <c r="B925" s="6">
        <v>26</v>
      </c>
      <c r="C925" s="6" t="s">
        <v>25</v>
      </c>
      <c r="D925" s="6" t="s">
        <v>47</v>
      </c>
      <c r="E925" s="6" t="s">
        <v>48</v>
      </c>
      <c r="F925" s="6">
        <v>1924</v>
      </c>
      <c r="G925" s="6">
        <v>147907.04</v>
      </c>
      <c r="H925" s="7">
        <v>43785</v>
      </c>
      <c r="I925" s="6" t="s">
        <v>41</v>
      </c>
      <c r="J925" s="6" t="s">
        <v>1903</v>
      </c>
      <c r="K925" s="6" t="s">
        <v>43</v>
      </c>
      <c r="L925" s="6" t="s">
        <v>44</v>
      </c>
      <c r="M925" s="6" t="s">
        <v>45</v>
      </c>
      <c r="N925" s="6">
        <v>3.01</v>
      </c>
      <c r="O925" s="6">
        <v>107</v>
      </c>
    </row>
    <row r="926" spans="1:15" ht="14.25" customHeight="1" x14ac:dyDescent="0.3">
      <c r="A926" s="6" t="s">
        <v>1904</v>
      </c>
      <c r="B926" s="6">
        <v>56</v>
      </c>
      <c r="C926" s="6" t="s">
        <v>25</v>
      </c>
      <c r="D926" s="6" t="s">
        <v>55</v>
      </c>
      <c r="E926" s="6" t="s">
        <v>27</v>
      </c>
      <c r="F926" s="6">
        <v>1925</v>
      </c>
      <c r="G926" s="6">
        <v>174755.69</v>
      </c>
      <c r="H926" s="7">
        <v>44192</v>
      </c>
      <c r="I926" s="6" t="s">
        <v>49</v>
      </c>
      <c r="J926" s="6" t="s">
        <v>1905</v>
      </c>
      <c r="K926" s="6" t="s">
        <v>51</v>
      </c>
      <c r="L926" s="6" t="s">
        <v>52</v>
      </c>
      <c r="M926" s="6" t="s">
        <v>53</v>
      </c>
      <c r="N926" s="6">
        <v>3.54</v>
      </c>
      <c r="O926" s="6">
        <v>20</v>
      </c>
    </row>
    <row r="927" spans="1:15" ht="14.25" customHeight="1" x14ac:dyDescent="0.3">
      <c r="A927" s="6" t="s">
        <v>1906</v>
      </c>
      <c r="B927" s="6">
        <v>33</v>
      </c>
      <c r="C927" s="6" t="s">
        <v>62</v>
      </c>
      <c r="D927" s="6" t="s">
        <v>17</v>
      </c>
      <c r="E927" s="6" t="s">
        <v>80</v>
      </c>
      <c r="F927" s="6">
        <v>1926</v>
      </c>
      <c r="G927" s="6">
        <v>74382.259999999995</v>
      </c>
      <c r="H927" s="7">
        <v>43093</v>
      </c>
      <c r="I927" s="6" t="s">
        <v>56</v>
      </c>
      <c r="J927" s="6" t="s">
        <v>1907</v>
      </c>
      <c r="K927" s="6" t="s">
        <v>21</v>
      </c>
      <c r="L927" s="6" t="s">
        <v>22</v>
      </c>
      <c r="M927" s="6" t="s">
        <v>23</v>
      </c>
      <c r="N927" s="6">
        <v>2.4300000000000002</v>
      </c>
      <c r="O927" s="6">
        <v>138</v>
      </c>
    </row>
    <row r="928" spans="1:15" ht="14.25" customHeight="1" x14ac:dyDescent="0.3">
      <c r="A928" s="6" t="s">
        <v>1908</v>
      </c>
      <c r="B928" s="6">
        <v>56</v>
      </c>
      <c r="C928" s="6" t="s">
        <v>25</v>
      </c>
      <c r="D928" s="6" t="s">
        <v>26</v>
      </c>
      <c r="E928" s="6" t="s">
        <v>18</v>
      </c>
      <c r="F928" s="6">
        <v>1927</v>
      </c>
      <c r="G928" s="6">
        <v>184481.52</v>
      </c>
      <c r="H928" s="7">
        <v>42472</v>
      </c>
      <c r="I928" s="6" t="s">
        <v>63</v>
      </c>
      <c r="J928" s="6" t="s">
        <v>1909</v>
      </c>
      <c r="K928" s="6" t="s">
        <v>30</v>
      </c>
      <c r="L928" s="6" t="s">
        <v>31</v>
      </c>
      <c r="M928" s="6" t="s">
        <v>32</v>
      </c>
      <c r="N928" s="6">
        <v>4.13</v>
      </c>
      <c r="O928" s="6">
        <v>145</v>
      </c>
    </row>
    <row r="929" spans="1:15" ht="14.25" customHeight="1" x14ac:dyDescent="0.3">
      <c r="A929" s="6" t="s">
        <v>1910</v>
      </c>
      <c r="B929" s="6">
        <v>55</v>
      </c>
      <c r="C929" s="6" t="s">
        <v>25</v>
      </c>
      <c r="D929" s="6" t="s">
        <v>47</v>
      </c>
      <c r="E929" s="6" t="s">
        <v>27</v>
      </c>
      <c r="F929" s="6">
        <v>1928</v>
      </c>
      <c r="G929" s="6">
        <v>51421.52</v>
      </c>
      <c r="H929" s="7">
        <v>40613</v>
      </c>
      <c r="I929" s="6" t="s">
        <v>66</v>
      </c>
      <c r="J929" s="6" t="s">
        <v>1911</v>
      </c>
      <c r="K929" s="6" t="s">
        <v>37</v>
      </c>
      <c r="L929" s="6" t="s">
        <v>38</v>
      </c>
      <c r="M929" s="6" t="s">
        <v>39</v>
      </c>
      <c r="N929" s="6">
        <v>3.02</v>
      </c>
      <c r="O929" s="6">
        <v>143</v>
      </c>
    </row>
    <row r="930" spans="1:15" ht="14.25" customHeight="1" x14ac:dyDescent="0.3">
      <c r="A930" s="6" t="s">
        <v>1912</v>
      </c>
      <c r="B930" s="6">
        <v>41</v>
      </c>
      <c r="C930" s="6" t="s">
        <v>16</v>
      </c>
      <c r="D930" s="6" t="s">
        <v>47</v>
      </c>
      <c r="E930" s="6" t="s">
        <v>48</v>
      </c>
      <c r="F930" s="6">
        <v>1929</v>
      </c>
      <c r="G930" s="6">
        <v>189466.05</v>
      </c>
      <c r="H930" s="7">
        <v>41661</v>
      </c>
      <c r="I930" s="6" t="s">
        <v>70</v>
      </c>
      <c r="J930" s="6" t="s">
        <v>1913</v>
      </c>
      <c r="K930" s="6" t="s">
        <v>43</v>
      </c>
      <c r="L930" s="6" t="s">
        <v>44</v>
      </c>
      <c r="M930" s="6" t="s">
        <v>45</v>
      </c>
      <c r="N930" s="6">
        <v>3.26</v>
      </c>
      <c r="O930" s="6">
        <v>62</v>
      </c>
    </row>
    <row r="931" spans="1:15" ht="14.25" customHeight="1" x14ac:dyDescent="0.3">
      <c r="A931" s="6" t="s">
        <v>1914</v>
      </c>
      <c r="B931" s="6">
        <v>33</v>
      </c>
      <c r="C931" s="6" t="s">
        <v>62</v>
      </c>
      <c r="D931" s="6" t="s">
        <v>47</v>
      </c>
      <c r="E931" s="6" t="s">
        <v>80</v>
      </c>
      <c r="F931" s="6">
        <v>1930</v>
      </c>
      <c r="G931" s="6">
        <v>111711.1</v>
      </c>
      <c r="H931" s="7">
        <v>44805</v>
      </c>
      <c r="I931" s="6" t="s">
        <v>73</v>
      </c>
      <c r="J931" s="6" t="s">
        <v>1915</v>
      </c>
      <c r="K931" s="6" t="s">
        <v>51</v>
      </c>
      <c r="L931" s="6" t="s">
        <v>52</v>
      </c>
      <c r="M931" s="6" t="s">
        <v>53</v>
      </c>
      <c r="N931" s="6">
        <v>3.63</v>
      </c>
      <c r="O931" s="6">
        <v>115</v>
      </c>
    </row>
    <row r="932" spans="1:15" ht="14.25" customHeight="1" x14ac:dyDescent="0.3">
      <c r="A932" s="6" t="s">
        <v>1916</v>
      </c>
      <c r="B932" s="6">
        <v>55</v>
      </c>
      <c r="C932" s="6" t="s">
        <v>25</v>
      </c>
      <c r="D932" s="6" t="s">
        <v>47</v>
      </c>
      <c r="E932" s="6" t="s">
        <v>27</v>
      </c>
      <c r="F932" s="6">
        <v>1931</v>
      </c>
      <c r="G932" s="6">
        <v>199315.04</v>
      </c>
      <c r="H932" s="7">
        <v>38413</v>
      </c>
      <c r="I932" s="6" t="s">
        <v>19</v>
      </c>
      <c r="J932" s="6" t="s">
        <v>1917</v>
      </c>
      <c r="K932" s="6" t="s">
        <v>21</v>
      </c>
      <c r="L932" s="6" t="s">
        <v>22</v>
      </c>
      <c r="M932" s="6" t="s">
        <v>23</v>
      </c>
      <c r="N932" s="6">
        <v>3.37</v>
      </c>
      <c r="O932" s="6">
        <v>194</v>
      </c>
    </row>
    <row r="933" spans="1:15" ht="14.25" customHeight="1" x14ac:dyDescent="0.3">
      <c r="A933" s="6" t="s">
        <v>1918</v>
      </c>
      <c r="B933" s="6">
        <v>47</v>
      </c>
      <c r="C933" s="6" t="s">
        <v>25</v>
      </c>
      <c r="D933" s="6" t="s">
        <v>55</v>
      </c>
      <c r="E933" s="6" t="s">
        <v>34</v>
      </c>
      <c r="F933" s="6">
        <v>1932</v>
      </c>
      <c r="G933" s="6">
        <v>84616.37</v>
      </c>
      <c r="H933" s="7">
        <v>40281</v>
      </c>
      <c r="I933" s="6" t="s">
        <v>28</v>
      </c>
      <c r="J933" s="6" t="s">
        <v>1919</v>
      </c>
      <c r="K933" s="6" t="s">
        <v>30</v>
      </c>
      <c r="L933" s="6" t="s">
        <v>31</v>
      </c>
      <c r="M933" s="6" t="s">
        <v>32</v>
      </c>
      <c r="N933" s="6">
        <v>2.2999999999999998</v>
      </c>
      <c r="O933" s="6">
        <v>30</v>
      </c>
    </row>
    <row r="934" spans="1:15" ht="14.25" customHeight="1" x14ac:dyDescent="0.3">
      <c r="A934" s="6" t="s">
        <v>1920</v>
      </c>
      <c r="B934" s="6">
        <v>55</v>
      </c>
      <c r="C934" s="6" t="s">
        <v>25</v>
      </c>
      <c r="D934" s="6" t="s">
        <v>17</v>
      </c>
      <c r="E934" s="6" t="s">
        <v>18</v>
      </c>
      <c r="F934" s="6">
        <v>1933</v>
      </c>
      <c r="G934" s="6">
        <v>149897.43</v>
      </c>
      <c r="H934" s="7">
        <v>39040</v>
      </c>
      <c r="I934" s="6" t="s">
        <v>35</v>
      </c>
      <c r="J934" s="6" t="s">
        <v>1921</v>
      </c>
      <c r="K934" s="6" t="s">
        <v>37</v>
      </c>
      <c r="L934" s="6" t="s">
        <v>38</v>
      </c>
      <c r="M934" s="6" t="s">
        <v>39</v>
      </c>
      <c r="N934" s="6">
        <v>1.99</v>
      </c>
      <c r="O934" s="6">
        <v>50</v>
      </c>
    </row>
    <row r="935" spans="1:15" ht="14.25" customHeight="1" x14ac:dyDescent="0.3">
      <c r="A935" s="6" t="s">
        <v>1922</v>
      </c>
      <c r="B935" s="6">
        <v>53</v>
      </c>
      <c r="C935" s="6" t="s">
        <v>25</v>
      </c>
      <c r="D935" s="6" t="s">
        <v>55</v>
      </c>
      <c r="E935" s="6" t="s">
        <v>80</v>
      </c>
      <c r="F935" s="6">
        <v>1934</v>
      </c>
      <c r="G935" s="6">
        <v>177377.03</v>
      </c>
      <c r="H935" s="7">
        <v>37092</v>
      </c>
      <c r="I935" s="6" t="s">
        <v>41</v>
      </c>
      <c r="J935" s="6" t="s">
        <v>1923</v>
      </c>
      <c r="K935" s="6" t="s">
        <v>43</v>
      </c>
      <c r="L935" s="6" t="s">
        <v>44</v>
      </c>
      <c r="M935" s="6" t="s">
        <v>45</v>
      </c>
      <c r="N935" s="6">
        <v>1.7</v>
      </c>
      <c r="O935" s="6">
        <v>148</v>
      </c>
    </row>
    <row r="936" spans="1:15" ht="14.25" customHeight="1" x14ac:dyDescent="0.3">
      <c r="A936" s="6" t="s">
        <v>1924</v>
      </c>
      <c r="B936" s="6">
        <v>28</v>
      </c>
      <c r="C936" s="6" t="s">
        <v>62</v>
      </c>
      <c r="D936" s="6" t="s">
        <v>69</v>
      </c>
      <c r="E936" s="6" t="s">
        <v>34</v>
      </c>
      <c r="F936" s="6">
        <v>1935</v>
      </c>
      <c r="G936" s="6">
        <v>53354.68</v>
      </c>
      <c r="H936" s="7">
        <v>40365</v>
      </c>
      <c r="I936" s="6" t="s">
        <v>49</v>
      </c>
      <c r="J936" s="6" t="s">
        <v>1925</v>
      </c>
      <c r="K936" s="6" t="s">
        <v>51</v>
      </c>
      <c r="L936" s="6" t="s">
        <v>52</v>
      </c>
      <c r="M936" s="6" t="s">
        <v>53</v>
      </c>
      <c r="N936" s="6">
        <v>4.0999999999999996</v>
      </c>
      <c r="O936" s="6">
        <v>22</v>
      </c>
    </row>
    <row r="937" spans="1:15" ht="14.25" customHeight="1" x14ac:dyDescent="0.3">
      <c r="A937" s="6" t="s">
        <v>1926</v>
      </c>
      <c r="B937" s="6">
        <v>47</v>
      </c>
      <c r="C937" s="6" t="s">
        <v>16</v>
      </c>
      <c r="D937" s="6" t="s">
        <v>69</v>
      </c>
      <c r="E937" s="6" t="s">
        <v>80</v>
      </c>
      <c r="F937" s="6">
        <v>1936</v>
      </c>
      <c r="G937" s="6">
        <v>53603.86</v>
      </c>
      <c r="H937" s="7">
        <v>39956</v>
      </c>
      <c r="I937" s="6" t="s">
        <v>56</v>
      </c>
      <c r="J937" s="6" t="s">
        <v>1927</v>
      </c>
      <c r="K937" s="6" t="s">
        <v>21</v>
      </c>
      <c r="L937" s="6" t="s">
        <v>22</v>
      </c>
      <c r="M937" s="6" t="s">
        <v>23</v>
      </c>
      <c r="N937" s="6">
        <v>1.68</v>
      </c>
      <c r="O937" s="6">
        <v>59</v>
      </c>
    </row>
    <row r="938" spans="1:15" ht="14.25" customHeight="1" x14ac:dyDescent="0.3">
      <c r="A938" s="6" t="s">
        <v>1928</v>
      </c>
      <c r="B938" s="6">
        <v>46</v>
      </c>
      <c r="C938" s="6" t="s">
        <v>16</v>
      </c>
      <c r="D938" s="6" t="s">
        <v>26</v>
      </c>
      <c r="E938" s="6" t="s">
        <v>18</v>
      </c>
      <c r="F938" s="6">
        <v>1937</v>
      </c>
      <c r="G938" s="6">
        <v>54969.1</v>
      </c>
      <c r="H938" s="7">
        <v>37392</v>
      </c>
      <c r="I938" s="6" t="s">
        <v>63</v>
      </c>
      <c r="J938" s="6" t="s">
        <v>1929</v>
      </c>
      <c r="K938" s="6" t="s">
        <v>30</v>
      </c>
      <c r="L938" s="6" t="s">
        <v>31</v>
      </c>
      <c r="M938" s="6" t="s">
        <v>32</v>
      </c>
      <c r="N938" s="6">
        <v>2.92</v>
      </c>
      <c r="O938" s="6">
        <v>153</v>
      </c>
    </row>
    <row r="939" spans="1:15" ht="14.25" customHeight="1" x14ac:dyDescent="0.3">
      <c r="A939" s="6" t="s">
        <v>1930</v>
      </c>
      <c r="B939" s="6">
        <v>60</v>
      </c>
      <c r="C939" s="6" t="s">
        <v>25</v>
      </c>
      <c r="D939" s="6" t="s">
        <v>26</v>
      </c>
      <c r="E939" s="6" t="s">
        <v>34</v>
      </c>
      <c r="F939" s="6">
        <v>1938</v>
      </c>
      <c r="G939" s="6">
        <v>50894.73</v>
      </c>
      <c r="H939" s="7">
        <v>38890</v>
      </c>
      <c r="I939" s="6" t="s">
        <v>66</v>
      </c>
      <c r="J939" s="6" t="s">
        <v>1931</v>
      </c>
      <c r="K939" s="6" t="s">
        <v>37</v>
      </c>
      <c r="L939" s="6" t="s">
        <v>38</v>
      </c>
      <c r="M939" s="6" t="s">
        <v>39</v>
      </c>
      <c r="N939" s="6">
        <v>2.3199999999999998</v>
      </c>
      <c r="O939" s="6">
        <v>109</v>
      </c>
    </row>
    <row r="940" spans="1:15" ht="14.25" customHeight="1" x14ac:dyDescent="0.3">
      <c r="A940" s="6" t="s">
        <v>1932</v>
      </c>
      <c r="B940" s="6">
        <v>38</v>
      </c>
      <c r="C940" s="6" t="s">
        <v>16</v>
      </c>
      <c r="D940" s="6" t="s">
        <v>47</v>
      </c>
      <c r="E940" s="6" t="s">
        <v>34</v>
      </c>
      <c r="F940" s="6">
        <v>1939</v>
      </c>
      <c r="G940" s="6">
        <v>82031.460000000006</v>
      </c>
      <c r="H940" s="7">
        <v>38959</v>
      </c>
      <c r="I940" s="6" t="s">
        <v>70</v>
      </c>
      <c r="J940" s="6" t="s">
        <v>1933</v>
      </c>
      <c r="K940" s="6" t="s">
        <v>43</v>
      </c>
      <c r="L940" s="6" t="s">
        <v>44</v>
      </c>
      <c r="M940" s="6" t="s">
        <v>45</v>
      </c>
      <c r="N940" s="6">
        <v>2.21</v>
      </c>
      <c r="O940" s="6">
        <v>85</v>
      </c>
    </row>
    <row r="941" spans="1:15" ht="14.25" customHeight="1" x14ac:dyDescent="0.3">
      <c r="A941" s="6" t="s">
        <v>1934</v>
      </c>
      <c r="B941" s="6">
        <v>45</v>
      </c>
      <c r="C941" s="6" t="s">
        <v>16</v>
      </c>
      <c r="D941" s="6" t="s">
        <v>69</v>
      </c>
      <c r="E941" s="6" t="s">
        <v>18</v>
      </c>
      <c r="F941" s="6">
        <v>1940</v>
      </c>
      <c r="G941" s="6">
        <v>170644.28</v>
      </c>
      <c r="H941" s="7">
        <v>40870</v>
      </c>
      <c r="I941" s="6" t="s">
        <v>73</v>
      </c>
      <c r="J941" s="6" t="s">
        <v>1935</v>
      </c>
      <c r="K941" s="6" t="s">
        <v>51</v>
      </c>
      <c r="L941" s="6" t="s">
        <v>52</v>
      </c>
      <c r="M941" s="6" t="s">
        <v>53</v>
      </c>
      <c r="N941" s="6">
        <v>1.95</v>
      </c>
      <c r="O941" s="6">
        <v>116</v>
      </c>
    </row>
    <row r="942" spans="1:15" ht="14.25" customHeight="1" x14ac:dyDescent="0.3">
      <c r="A942" s="6" t="s">
        <v>1936</v>
      </c>
      <c r="B942" s="6">
        <v>48</v>
      </c>
      <c r="C942" s="6" t="s">
        <v>16</v>
      </c>
      <c r="D942" s="6" t="s">
        <v>55</v>
      </c>
      <c r="E942" s="6" t="s">
        <v>18</v>
      </c>
      <c r="F942" s="6">
        <v>1941</v>
      </c>
      <c r="G942" s="6">
        <v>83062.09</v>
      </c>
      <c r="H942" s="7">
        <v>44753</v>
      </c>
      <c r="I942" s="6" t="s">
        <v>19</v>
      </c>
      <c r="J942" s="6" t="s">
        <v>1937</v>
      </c>
      <c r="K942" s="6" t="s">
        <v>21</v>
      </c>
      <c r="L942" s="6" t="s">
        <v>22</v>
      </c>
      <c r="M942" s="6" t="s">
        <v>23</v>
      </c>
      <c r="N942" s="6">
        <v>1.08</v>
      </c>
      <c r="O942" s="6">
        <v>39</v>
      </c>
    </row>
    <row r="943" spans="1:15" ht="14.25" customHeight="1" x14ac:dyDescent="0.3">
      <c r="A943" s="6" t="s">
        <v>1938</v>
      </c>
      <c r="B943" s="6">
        <v>25</v>
      </c>
      <c r="C943" s="6" t="s">
        <v>16</v>
      </c>
      <c r="D943" s="6" t="s">
        <v>17</v>
      </c>
      <c r="E943" s="6" t="s">
        <v>18</v>
      </c>
      <c r="F943" s="6">
        <v>1942</v>
      </c>
      <c r="G943" s="6">
        <v>103291.95</v>
      </c>
      <c r="H943" s="7">
        <v>43502</v>
      </c>
      <c r="I943" s="6" t="s">
        <v>28</v>
      </c>
      <c r="J943" s="6" t="s">
        <v>1939</v>
      </c>
      <c r="K943" s="6" t="s">
        <v>30</v>
      </c>
      <c r="L943" s="6" t="s">
        <v>31</v>
      </c>
      <c r="M943" s="6" t="s">
        <v>32</v>
      </c>
      <c r="N943" s="6">
        <v>2.87</v>
      </c>
      <c r="O943" s="6">
        <v>70</v>
      </c>
    </row>
    <row r="944" spans="1:15" ht="14.25" customHeight="1" x14ac:dyDescent="0.3">
      <c r="A944" s="6" t="s">
        <v>1940</v>
      </c>
      <c r="B944" s="6">
        <v>48</v>
      </c>
      <c r="C944" s="6" t="s">
        <v>16</v>
      </c>
      <c r="D944" s="6" t="s">
        <v>69</v>
      </c>
      <c r="E944" s="6" t="s">
        <v>80</v>
      </c>
      <c r="F944" s="6">
        <v>1943</v>
      </c>
      <c r="G944" s="6">
        <v>56986.21</v>
      </c>
      <c r="H944" s="7">
        <v>39369</v>
      </c>
      <c r="I944" s="6" t="s">
        <v>35</v>
      </c>
      <c r="J944" s="6" t="s">
        <v>1941</v>
      </c>
      <c r="K944" s="6" t="s">
        <v>37</v>
      </c>
      <c r="L944" s="6" t="s">
        <v>38</v>
      </c>
      <c r="M944" s="6" t="s">
        <v>39</v>
      </c>
      <c r="N944" s="6">
        <v>1.91</v>
      </c>
      <c r="O944" s="6">
        <v>82</v>
      </c>
    </row>
    <row r="945" spans="1:15" ht="14.25" customHeight="1" x14ac:dyDescent="0.3">
      <c r="A945" s="6" t="s">
        <v>1942</v>
      </c>
      <c r="B945" s="6">
        <v>51</v>
      </c>
      <c r="C945" s="6" t="s">
        <v>62</v>
      </c>
      <c r="D945" s="6" t="s">
        <v>69</v>
      </c>
      <c r="E945" s="6" t="s">
        <v>80</v>
      </c>
      <c r="F945" s="6">
        <v>1944</v>
      </c>
      <c r="G945" s="6">
        <v>95924.43</v>
      </c>
      <c r="H945" s="7">
        <v>44348</v>
      </c>
      <c r="I945" s="6" t="s">
        <v>41</v>
      </c>
      <c r="J945" s="6" t="s">
        <v>1943</v>
      </c>
      <c r="K945" s="6" t="s">
        <v>43</v>
      </c>
      <c r="L945" s="6" t="s">
        <v>44</v>
      </c>
      <c r="M945" s="6" t="s">
        <v>45</v>
      </c>
      <c r="N945" s="6">
        <v>3.93</v>
      </c>
      <c r="O945" s="6">
        <v>137</v>
      </c>
    </row>
    <row r="946" spans="1:15" ht="14.25" customHeight="1" x14ac:dyDescent="0.3">
      <c r="A946" s="6" t="s">
        <v>1944</v>
      </c>
      <c r="B946" s="6">
        <v>24</v>
      </c>
      <c r="C946" s="6" t="s">
        <v>62</v>
      </c>
      <c r="D946" s="6" t="s">
        <v>55</v>
      </c>
      <c r="E946" s="6" t="s">
        <v>48</v>
      </c>
      <c r="F946" s="6">
        <v>1945</v>
      </c>
      <c r="G946" s="6">
        <v>61971.86</v>
      </c>
      <c r="H946" s="7">
        <v>38668</v>
      </c>
      <c r="I946" s="6" t="s">
        <v>49</v>
      </c>
      <c r="J946" s="6" t="s">
        <v>1945</v>
      </c>
      <c r="K946" s="6" t="s">
        <v>51</v>
      </c>
      <c r="L946" s="6" t="s">
        <v>52</v>
      </c>
      <c r="M946" s="6" t="s">
        <v>53</v>
      </c>
      <c r="N946" s="6">
        <v>4.99</v>
      </c>
      <c r="O946" s="6">
        <v>175</v>
      </c>
    </row>
    <row r="947" spans="1:15" ht="14.25" customHeight="1" x14ac:dyDescent="0.3">
      <c r="A947" s="6" t="s">
        <v>1946</v>
      </c>
      <c r="B947" s="6">
        <v>27</v>
      </c>
      <c r="C947" s="6" t="s">
        <v>62</v>
      </c>
      <c r="D947" s="6" t="s">
        <v>69</v>
      </c>
      <c r="E947" s="6" t="s">
        <v>34</v>
      </c>
      <c r="F947" s="6">
        <v>1946</v>
      </c>
      <c r="G947" s="6">
        <v>92700.92</v>
      </c>
      <c r="H947" s="7">
        <v>42295</v>
      </c>
      <c r="I947" s="6" t="s">
        <v>56</v>
      </c>
      <c r="J947" s="6" t="s">
        <v>1947</v>
      </c>
      <c r="K947" s="6" t="s">
        <v>21</v>
      </c>
      <c r="L947" s="6" t="s">
        <v>22</v>
      </c>
      <c r="M947" s="6" t="s">
        <v>23</v>
      </c>
      <c r="N947" s="6">
        <v>3.51</v>
      </c>
      <c r="O947" s="6">
        <v>96</v>
      </c>
    </row>
    <row r="948" spans="1:15" ht="14.25" customHeight="1" x14ac:dyDescent="0.3">
      <c r="A948" s="6" t="s">
        <v>1948</v>
      </c>
      <c r="B948" s="6">
        <v>29</v>
      </c>
      <c r="C948" s="6" t="s">
        <v>16</v>
      </c>
      <c r="D948" s="6" t="s">
        <v>55</v>
      </c>
      <c r="E948" s="6" t="s">
        <v>34</v>
      </c>
      <c r="F948" s="6">
        <v>1947</v>
      </c>
      <c r="G948" s="6">
        <v>136291.26</v>
      </c>
      <c r="H948" s="7">
        <v>37433</v>
      </c>
      <c r="I948" s="6" t="s">
        <v>63</v>
      </c>
      <c r="J948" s="6" t="s">
        <v>1949</v>
      </c>
      <c r="K948" s="6" t="s">
        <v>30</v>
      </c>
      <c r="L948" s="6" t="s">
        <v>31</v>
      </c>
      <c r="M948" s="6" t="s">
        <v>32</v>
      </c>
      <c r="N948" s="6">
        <v>3.28</v>
      </c>
      <c r="O948" s="6">
        <v>108</v>
      </c>
    </row>
    <row r="949" spans="1:15" ht="14.25" customHeight="1" x14ac:dyDescent="0.3">
      <c r="A949" s="6" t="s">
        <v>1950</v>
      </c>
      <c r="B949" s="6">
        <v>37</v>
      </c>
      <c r="C949" s="6" t="s">
        <v>62</v>
      </c>
      <c r="D949" s="6" t="s">
        <v>55</v>
      </c>
      <c r="E949" s="6" t="s">
        <v>27</v>
      </c>
      <c r="F949" s="6">
        <v>1948</v>
      </c>
      <c r="G949" s="6">
        <v>89416.53</v>
      </c>
      <c r="H949" s="7">
        <v>37511</v>
      </c>
      <c r="I949" s="6" t="s">
        <v>66</v>
      </c>
      <c r="J949" s="6" t="s">
        <v>1951</v>
      </c>
      <c r="K949" s="6" t="s">
        <v>37</v>
      </c>
      <c r="L949" s="6" t="s">
        <v>38</v>
      </c>
      <c r="M949" s="6" t="s">
        <v>39</v>
      </c>
      <c r="N949" s="6">
        <v>4.1500000000000004</v>
      </c>
      <c r="O949" s="6">
        <v>95</v>
      </c>
    </row>
    <row r="950" spans="1:15" ht="14.25" customHeight="1" x14ac:dyDescent="0.3">
      <c r="A950" s="6" t="s">
        <v>1952</v>
      </c>
      <c r="B950" s="6">
        <v>36</v>
      </c>
      <c r="C950" s="6" t="s">
        <v>16</v>
      </c>
      <c r="D950" s="6" t="s">
        <v>55</v>
      </c>
      <c r="E950" s="6" t="s">
        <v>34</v>
      </c>
      <c r="F950" s="6">
        <v>1949</v>
      </c>
      <c r="G950" s="6">
        <v>143808.74</v>
      </c>
      <c r="H950" s="7">
        <v>36613</v>
      </c>
      <c r="I950" s="6" t="s">
        <v>70</v>
      </c>
      <c r="J950" s="6" t="s">
        <v>1953</v>
      </c>
      <c r="K950" s="6" t="s">
        <v>43</v>
      </c>
      <c r="L950" s="6" t="s">
        <v>44</v>
      </c>
      <c r="M950" s="6" t="s">
        <v>45</v>
      </c>
      <c r="N950" s="6">
        <v>1.23</v>
      </c>
      <c r="O950" s="6">
        <v>86</v>
      </c>
    </row>
    <row r="951" spans="1:15" ht="14.25" customHeight="1" x14ac:dyDescent="0.3">
      <c r="A951" s="6" t="s">
        <v>1954</v>
      </c>
      <c r="B951" s="6">
        <v>57</v>
      </c>
      <c r="C951" s="6" t="s">
        <v>16</v>
      </c>
      <c r="D951" s="6" t="s">
        <v>55</v>
      </c>
      <c r="E951" s="6" t="s">
        <v>48</v>
      </c>
      <c r="F951" s="6">
        <v>1950</v>
      </c>
      <c r="G951" s="6">
        <v>147998.56</v>
      </c>
      <c r="H951" s="7">
        <v>38434</v>
      </c>
      <c r="I951" s="6" t="s">
        <v>73</v>
      </c>
      <c r="J951" s="6" t="s">
        <v>1955</v>
      </c>
      <c r="K951" s="6" t="s">
        <v>51</v>
      </c>
      <c r="L951" s="6" t="s">
        <v>52</v>
      </c>
      <c r="M951" s="6" t="s">
        <v>53</v>
      </c>
      <c r="N951" s="6">
        <v>2.66</v>
      </c>
      <c r="O951" s="6">
        <v>166</v>
      </c>
    </row>
    <row r="952" spans="1:15" ht="14.25" customHeight="1" x14ac:dyDescent="0.3">
      <c r="A952" s="6" t="s">
        <v>1956</v>
      </c>
      <c r="B952" s="6">
        <v>61</v>
      </c>
      <c r="C952" s="6" t="s">
        <v>62</v>
      </c>
      <c r="D952" s="6" t="s">
        <v>69</v>
      </c>
      <c r="E952" s="6" t="s">
        <v>48</v>
      </c>
      <c r="F952" s="6">
        <v>1951</v>
      </c>
      <c r="G952" s="6">
        <v>136616.25</v>
      </c>
      <c r="H952" s="7">
        <v>41229</v>
      </c>
      <c r="I952" s="6" t="s">
        <v>19</v>
      </c>
      <c r="J952" s="6" t="s">
        <v>1957</v>
      </c>
      <c r="K952" s="6" t="s">
        <v>21</v>
      </c>
      <c r="L952" s="6" t="s">
        <v>22</v>
      </c>
      <c r="M952" s="6" t="s">
        <v>23</v>
      </c>
      <c r="N952" s="6">
        <v>2.46</v>
      </c>
      <c r="O952" s="6">
        <v>48</v>
      </c>
    </row>
    <row r="953" spans="1:15" ht="14.25" customHeight="1" x14ac:dyDescent="0.3">
      <c r="A953" s="6" t="s">
        <v>1958</v>
      </c>
      <c r="B953" s="6">
        <v>29</v>
      </c>
      <c r="C953" s="6" t="s">
        <v>25</v>
      </c>
      <c r="D953" s="6" t="s">
        <v>69</v>
      </c>
      <c r="E953" s="6" t="s">
        <v>18</v>
      </c>
      <c r="F953" s="6">
        <v>1952</v>
      </c>
      <c r="G953" s="6">
        <v>117086.02</v>
      </c>
      <c r="H953" s="7">
        <v>44662</v>
      </c>
      <c r="I953" s="6" t="s">
        <v>28</v>
      </c>
      <c r="J953" s="6" t="s">
        <v>1959</v>
      </c>
      <c r="K953" s="6" t="s">
        <v>30</v>
      </c>
      <c r="L953" s="6" t="s">
        <v>31</v>
      </c>
      <c r="M953" s="6" t="s">
        <v>32</v>
      </c>
      <c r="N953" s="6">
        <v>4.99</v>
      </c>
      <c r="O953" s="6">
        <v>119</v>
      </c>
    </row>
    <row r="954" spans="1:15" ht="14.25" customHeight="1" x14ac:dyDescent="0.3">
      <c r="A954" s="6" t="s">
        <v>1960</v>
      </c>
      <c r="B954" s="6">
        <v>60</v>
      </c>
      <c r="C954" s="6" t="s">
        <v>16</v>
      </c>
      <c r="D954" s="6" t="s">
        <v>17</v>
      </c>
      <c r="E954" s="6" t="s">
        <v>34</v>
      </c>
      <c r="F954" s="6">
        <v>1953</v>
      </c>
      <c r="G954" s="6">
        <v>89340.12</v>
      </c>
      <c r="H954" s="7">
        <v>38208</v>
      </c>
      <c r="I954" s="6" t="s">
        <v>35</v>
      </c>
      <c r="J954" s="6" t="s">
        <v>1961</v>
      </c>
      <c r="K954" s="6" t="s">
        <v>37</v>
      </c>
      <c r="L954" s="6" t="s">
        <v>38</v>
      </c>
      <c r="M954" s="6" t="s">
        <v>39</v>
      </c>
      <c r="N954" s="6">
        <v>3.79</v>
      </c>
      <c r="O954" s="6">
        <v>55</v>
      </c>
    </row>
    <row r="955" spans="1:15" ht="14.25" customHeight="1" x14ac:dyDescent="0.3">
      <c r="A955" s="6" t="s">
        <v>1962</v>
      </c>
      <c r="B955" s="6">
        <v>51</v>
      </c>
      <c r="C955" s="6" t="s">
        <v>16</v>
      </c>
      <c r="D955" s="6" t="s">
        <v>26</v>
      </c>
      <c r="E955" s="6" t="s">
        <v>48</v>
      </c>
      <c r="F955" s="6">
        <v>1954</v>
      </c>
      <c r="G955" s="6">
        <v>72062.789999999994</v>
      </c>
      <c r="H955" s="7">
        <v>42302</v>
      </c>
      <c r="I955" s="6" t="s">
        <v>41</v>
      </c>
      <c r="J955" s="6" t="s">
        <v>1963</v>
      </c>
      <c r="K955" s="6" t="s">
        <v>43</v>
      </c>
      <c r="L955" s="6" t="s">
        <v>44</v>
      </c>
      <c r="M955" s="6" t="s">
        <v>45</v>
      </c>
      <c r="N955" s="6">
        <v>3.83</v>
      </c>
      <c r="O955" s="6">
        <v>51</v>
      </c>
    </row>
    <row r="956" spans="1:15" ht="14.25" customHeight="1" x14ac:dyDescent="0.3">
      <c r="A956" s="6" t="s">
        <v>1964</v>
      </c>
      <c r="B956" s="6">
        <v>33</v>
      </c>
      <c r="C956" s="6" t="s">
        <v>62</v>
      </c>
      <c r="D956" s="6" t="s">
        <v>17</v>
      </c>
      <c r="E956" s="6" t="s">
        <v>18</v>
      </c>
      <c r="F956" s="6">
        <v>1955</v>
      </c>
      <c r="G956" s="6">
        <v>119140.06</v>
      </c>
      <c r="H956" s="7">
        <v>36924</v>
      </c>
      <c r="I956" s="6" t="s">
        <v>49</v>
      </c>
      <c r="J956" s="6" t="s">
        <v>1965</v>
      </c>
      <c r="K956" s="6" t="s">
        <v>51</v>
      </c>
      <c r="L956" s="6" t="s">
        <v>52</v>
      </c>
      <c r="M956" s="6" t="s">
        <v>53</v>
      </c>
      <c r="N956" s="6">
        <v>2.5</v>
      </c>
      <c r="O956" s="6">
        <v>4</v>
      </c>
    </row>
    <row r="957" spans="1:15" ht="14.25" customHeight="1" x14ac:dyDescent="0.3">
      <c r="A957" s="6" t="s">
        <v>1966</v>
      </c>
      <c r="B957" s="6">
        <v>25</v>
      </c>
      <c r="C957" s="6" t="s">
        <v>16</v>
      </c>
      <c r="D957" s="6" t="s">
        <v>55</v>
      </c>
      <c r="E957" s="6" t="s">
        <v>48</v>
      </c>
      <c r="F957" s="6">
        <v>1956</v>
      </c>
      <c r="G957" s="6">
        <v>142279.82999999999</v>
      </c>
      <c r="H957" s="7">
        <v>40879</v>
      </c>
      <c r="I957" s="6" t="s">
        <v>56</v>
      </c>
      <c r="J957" s="6" t="s">
        <v>1967</v>
      </c>
      <c r="K957" s="6" t="s">
        <v>21</v>
      </c>
      <c r="L957" s="6" t="s">
        <v>22</v>
      </c>
      <c r="M957" s="6" t="s">
        <v>23</v>
      </c>
      <c r="N957" s="6">
        <v>4.29</v>
      </c>
      <c r="O957" s="6">
        <v>140</v>
      </c>
    </row>
    <row r="958" spans="1:15" ht="14.25" customHeight="1" x14ac:dyDescent="0.3">
      <c r="A958" s="6" t="s">
        <v>1968</v>
      </c>
      <c r="B958" s="6">
        <v>35</v>
      </c>
      <c r="C958" s="6" t="s">
        <v>16</v>
      </c>
      <c r="D958" s="6" t="s">
        <v>47</v>
      </c>
      <c r="E958" s="6" t="s">
        <v>34</v>
      </c>
      <c r="F958" s="6">
        <v>1957</v>
      </c>
      <c r="G958" s="6">
        <v>67202.83</v>
      </c>
      <c r="H958" s="7">
        <v>40169</v>
      </c>
      <c r="I958" s="6" t="s">
        <v>63</v>
      </c>
      <c r="J958" s="6" t="s">
        <v>1969</v>
      </c>
      <c r="K958" s="6" t="s">
        <v>30</v>
      </c>
      <c r="L958" s="6" t="s">
        <v>31</v>
      </c>
      <c r="M958" s="6" t="s">
        <v>32</v>
      </c>
      <c r="N958" s="6">
        <v>2.41</v>
      </c>
      <c r="O958" s="6">
        <v>128</v>
      </c>
    </row>
    <row r="959" spans="1:15" ht="14.25" customHeight="1" x14ac:dyDescent="0.3">
      <c r="A959" s="6" t="s">
        <v>1970</v>
      </c>
      <c r="B959" s="6">
        <v>46</v>
      </c>
      <c r="C959" s="6" t="s">
        <v>16</v>
      </c>
      <c r="D959" s="6" t="s">
        <v>17</v>
      </c>
      <c r="E959" s="6" t="s">
        <v>34</v>
      </c>
      <c r="F959" s="6">
        <v>1958</v>
      </c>
      <c r="G959" s="6">
        <v>82251.240000000005</v>
      </c>
      <c r="H959" s="7">
        <v>43136</v>
      </c>
      <c r="I959" s="6" t="s">
        <v>66</v>
      </c>
      <c r="J959" s="6" t="s">
        <v>1971</v>
      </c>
      <c r="K959" s="6" t="s">
        <v>37</v>
      </c>
      <c r="L959" s="6" t="s">
        <v>38</v>
      </c>
      <c r="M959" s="6" t="s">
        <v>39</v>
      </c>
      <c r="N959" s="6">
        <v>1.17</v>
      </c>
      <c r="O959" s="6">
        <v>160</v>
      </c>
    </row>
    <row r="960" spans="1:15" ht="14.25" customHeight="1" x14ac:dyDescent="0.3">
      <c r="A960" s="6" t="s">
        <v>1972</v>
      </c>
      <c r="B960" s="6">
        <v>26</v>
      </c>
      <c r="C960" s="6" t="s">
        <v>62</v>
      </c>
      <c r="D960" s="6" t="s">
        <v>47</v>
      </c>
      <c r="E960" s="6" t="s">
        <v>18</v>
      </c>
      <c r="F960" s="6">
        <v>1959</v>
      </c>
      <c r="G960" s="6">
        <v>76865.22</v>
      </c>
      <c r="H960" s="7">
        <v>41544</v>
      </c>
      <c r="I960" s="6" t="s">
        <v>70</v>
      </c>
      <c r="J960" s="6" t="s">
        <v>1973</v>
      </c>
      <c r="K960" s="6" t="s">
        <v>43</v>
      </c>
      <c r="L960" s="6" t="s">
        <v>44</v>
      </c>
      <c r="M960" s="6" t="s">
        <v>45</v>
      </c>
      <c r="N960" s="6">
        <v>2.3199999999999998</v>
      </c>
      <c r="O960" s="6">
        <v>112</v>
      </c>
    </row>
    <row r="961" spans="1:15" ht="14.25" customHeight="1" x14ac:dyDescent="0.3">
      <c r="A961" s="6" t="s">
        <v>1974</v>
      </c>
      <c r="B961" s="6">
        <v>44</v>
      </c>
      <c r="C961" s="6" t="s">
        <v>25</v>
      </c>
      <c r="D961" s="6" t="s">
        <v>47</v>
      </c>
      <c r="E961" s="6" t="s">
        <v>34</v>
      </c>
      <c r="F961" s="6">
        <v>1960</v>
      </c>
      <c r="G961" s="6">
        <v>84546.02</v>
      </c>
      <c r="H961" s="7">
        <v>42019</v>
      </c>
      <c r="I961" s="6" t="s">
        <v>73</v>
      </c>
      <c r="J961" s="6" t="s">
        <v>1975</v>
      </c>
      <c r="K961" s="6" t="s">
        <v>51</v>
      </c>
      <c r="L961" s="6" t="s">
        <v>52</v>
      </c>
      <c r="M961" s="6" t="s">
        <v>53</v>
      </c>
      <c r="N961" s="6">
        <v>2.41</v>
      </c>
      <c r="O961" s="6">
        <v>147</v>
      </c>
    </row>
    <row r="962" spans="1:15" ht="14.25" customHeight="1" x14ac:dyDescent="0.3">
      <c r="A962" s="6" t="s">
        <v>1976</v>
      </c>
      <c r="B962" s="6">
        <v>51</v>
      </c>
      <c r="C962" s="6" t="s">
        <v>25</v>
      </c>
      <c r="D962" s="6" t="s">
        <v>69</v>
      </c>
      <c r="E962" s="6" t="s">
        <v>18</v>
      </c>
      <c r="F962" s="6">
        <v>1961</v>
      </c>
      <c r="G962" s="6">
        <v>67489.210000000006</v>
      </c>
      <c r="H962" s="7">
        <v>39895</v>
      </c>
      <c r="I962" s="6" t="s">
        <v>19</v>
      </c>
      <c r="J962" s="6" t="s">
        <v>1977</v>
      </c>
      <c r="K962" s="6" t="s">
        <v>21</v>
      </c>
      <c r="L962" s="6" t="s">
        <v>22</v>
      </c>
      <c r="M962" s="6" t="s">
        <v>23</v>
      </c>
      <c r="N962" s="6">
        <v>3.95</v>
      </c>
      <c r="O962" s="6">
        <v>27</v>
      </c>
    </row>
    <row r="963" spans="1:15" ht="14.25" customHeight="1" x14ac:dyDescent="0.3">
      <c r="A963" s="6" t="s">
        <v>1978</v>
      </c>
      <c r="B963" s="6">
        <v>60</v>
      </c>
      <c r="C963" s="6" t="s">
        <v>62</v>
      </c>
      <c r="D963" s="6" t="s">
        <v>55</v>
      </c>
      <c r="E963" s="6" t="s">
        <v>34</v>
      </c>
      <c r="F963" s="6">
        <v>1962</v>
      </c>
      <c r="G963" s="6">
        <v>113136.51</v>
      </c>
      <c r="H963" s="7">
        <v>41310</v>
      </c>
      <c r="I963" s="6" t="s">
        <v>28</v>
      </c>
      <c r="J963" s="6" t="s">
        <v>1979</v>
      </c>
      <c r="K963" s="6" t="s">
        <v>30</v>
      </c>
      <c r="L963" s="6" t="s">
        <v>31</v>
      </c>
      <c r="M963" s="6" t="s">
        <v>32</v>
      </c>
      <c r="N963" s="6">
        <v>4.57</v>
      </c>
      <c r="O963" s="6">
        <v>165</v>
      </c>
    </row>
    <row r="964" spans="1:15" ht="14.25" customHeight="1" x14ac:dyDescent="0.3">
      <c r="A964" s="6" t="s">
        <v>1980</v>
      </c>
      <c r="B964" s="6">
        <v>33</v>
      </c>
      <c r="C964" s="6" t="s">
        <v>16</v>
      </c>
      <c r="D964" s="6" t="s">
        <v>26</v>
      </c>
      <c r="E964" s="6" t="s">
        <v>27</v>
      </c>
      <c r="F964" s="6">
        <v>1963</v>
      </c>
      <c r="G964" s="6">
        <v>98106.89</v>
      </c>
      <c r="H964" s="7">
        <v>38784</v>
      </c>
      <c r="I964" s="6" t="s">
        <v>35</v>
      </c>
      <c r="J964" s="6" t="s">
        <v>1981</v>
      </c>
      <c r="K964" s="6" t="s">
        <v>37</v>
      </c>
      <c r="L964" s="6" t="s">
        <v>38</v>
      </c>
      <c r="M964" s="6" t="s">
        <v>39</v>
      </c>
      <c r="N964" s="6">
        <v>3.2</v>
      </c>
      <c r="O964" s="6">
        <v>123</v>
      </c>
    </row>
    <row r="965" spans="1:15" ht="14.25" customHeight="1" x14ac:dyDescent="0.3">
      <c r="A965" s="6" t="s">
        <v>1982</v>
      </c>
      <c r="B965" s="6">
        <v>36</v>
      </c>
      <c r="C965" s="6" t="s">
        <v>25</v>
      </c>
      <c r="D965" s="6" t="s">
        <v>26</v>
      </c>
      <c r="E965" s="6" t="s">
        <v>18</v>
      </c>
      <c r="F965" s="6">
        <v>1964</v>
      </c>
      <c r="G965" s="6">
        <v>141348.25</v>
      </c>
      <c r="H965" s="7">
        <v>43056</v>
      </c>
      <c r="I965" s="6" t="s">
        <v>41</v>
      </c>
      <c r="J965" s="6" t="s">
        <v>1983</v>
      </c>
      <c r="K965" s="6" t="s">
        <v>43</v>
      </c>
      <c r="L965" s="6" t="s">
        <v>44</v>
      </c>
      <c r="M965" s="6" t="s">
        <v>45</v>
      </c>
      <c r="N965" s="6">
        <v>1.68</v>
      </c>
      <c r="O965" s="6">
        <v>106</v>
      </c>
    </row>
    <row r="966" spans="1:15" ht="14.25" customHeight="1" x14ac:dyDescent="0.3">
      <c r="A966" s="6" t="s">
        <v>1984</v>
      </c>
      <c r="B966" s="6">
        <v>40</v>
      </c>
      <c r="C966" s="6" t="s">
        <v>62</v>
      </c>
      <c r="D966" s="6" t="s">
        <v>26</v>
      </c>
      <c r="E966" s="6" t="s">
        <v>27</v>
      </c>
      <c r="F966" s="6">
        <v>1965</v>
      </c>
      <c r="G966" s="6">
        <v>185568.84</v>
      </c>
      <c r="H966" s="7">
        <v>37060</v>
      </c>
      <c r="I966" s="6" t="s">
        <v>49</v>
      </c>
      <c r="J966" s="6" t="s">
        <v>1985</v>
      </c>
      <c r="K966" s="6" t="s">
        <v>51</v>
      </c>
      <c r="L966" s="6" t="s">
        <v>52</v>
      </c>
      <c r="M966" s="6" t="s">
        <v>53</v>
      </c>
      <c r="N966" s="6">
        <v>1.0900000000000001</v>
      </c>
      <c r="O966" s="6">
        <v>185</v>
      </c>
    </row>
    <row r="967" spans="1:15" ht="14.25" customHeight="1" x14ac:dyDescent="0.3">
      <c r="A967" s="6" t="s">
        <v>1986</v>
      </c>
      <c r="B967" s="6">
        <v>47</v>
      </c>
      <c r="C967" s="6" t="s">
        <v>62</v>
      </c>
      <c r="D967" s="6" t="s">
        <v>26</v>
      </c>
      <c r="E967" s="6" t="s">
        <v>34</v>
      </c>
      <c r="F967" s="6">
        <v>1966</v>
      </c>
      <c r="G967" s="6">
        <v>139735.85</v>
      </c>
      <c r="H967" s="7">
        <v>43179</v>
      </c>
      <c r="I967" s="6" t="s">
        <v>56</v>
      </c>
      <c r="J967" s="6" t="s">
        <v>1987</v>
      </c>
      <c r="K967" s="6" t="s">
        <v>21</v>
      </c>
      <c r="L967" s="6" t="s">
        <v>22</v>
      </c>
      <c r="M967" s="6" t="s">
        <v>23</v>
      </c>
      <c r="N967" s="6">
        <v>4.07</v>
      </c>
      <c r="O967" s="6">
        <v>63</v>
      </c>
    </row>
    <row r="968" spans="1:15" ht="14.25" customHeight="1" x14ac:dyDescent="0.3">
      <c r="A968" s="6" t="s">
        <v>1988</v>
      </c>
      <c r="B968" s="6">
        <v>25</v>
      </c>
      <c r="C968" s="6" t="s">
        <v>16</v>
      </c>
      <c r="D968" s="6" t="s">
        <v>26</v>
      </c>
      <c r="E968" s="6" t="s">
        <v>80</v>
      </c>
      <c r="F968" s="6">
        <v>1967</v>
      </c>
      <c r="G968" s="6">
        <v>77152.42</v>
      </c>
      <c r="H968" s="7">
        <v>42680</v>
      </c>
      <c r="I968" s="6" t="s">
        <v>63</v>
      </c>
      <c r="J968" s="6" t="s">
        <v>1989</v>
      </c>
      <c r="K968" s="6" t="s">
        <v>30</v>
      </c>
      <c r="L968" s="6" t="s">
        <v>31</v>
      </c>
      <c r="M968" s="6" t="s">
        <v>32</v>
      </c>
      <c r="N968" s="6">
        <v>3.18</v>
      </c>
      <c r="O968" s="6">
        <v>22</v>
      </c>
    </row>
    <row r="969" spans="1:15" ht="14.25" customHeight="1" x14ac:dyDescent="0.3">
      <c r="A969" s="6" t="s">
        <v>1990</v>
      </c>
      <c r="B969" s="6">
        <v>59</v>
      </c>
      <c r="C969" s="6" t="s">
        <v>16</v>
      </c>
      <c r="D969" s="6" t="s">
        <v>47</v>
      </c>
      <c r="E969" s="6" t="s">
        <v>34</v>
      </c>
      <c r="F969" s="6">
        <v>1968</v>
      </c>
      <c r="G969" s="6">
        <v>66707.75</v>
      </c>
      <c r="H969" s="7">
        <v>38234</v>
      </c>
      <c r="I969" s="6" t="s">
        <v>66</v>
      </c>
      <c r="J969" s="6" t="s">
        <v>1991</v>
      </c>
      <c r="K969" s="6" t="s">
        <v>37</v>
      </c>
      <c r="L969" s="6" t="s">
        <v>38</v>
      </c>
      <c r="M969" s="6" t="s">
        <v>39</v>
      </c>
      <c r="N969" s="6">
        <v>3.1</v>
      </c>
      <c r="O969" s="6">
        <v>95</v>
      </c>
    </row>
    <row r="970" spans="1:15" ht="14.25" customHeight="1" x14ac:dyDescent="0.3">
      <c r="A970" s="6" t="s">
        <v>1992</v>
      </c>
      <c r="B970" s="6">
        <v>29</v>
      </c>
      <c r="C970" s="6" t="s">
        <v>62</v>
      </c>
      <c r="D970" s="6" t="s">
        <v>47</v>
      </c>
      <c r="E970" s="6" t="s">
        <v>80</v>
      </c>
      <c r="F970" s="6">
        <v>1969</v>
      </c>
      <c r="G970" s="6">
        <v>148180.19</v>
      </c>
      <c r="H970" s="7">
        <v>43811</v>
      </c>
      <c r="I970" s="6" t="s">
        <v>70</v>
      </c>
      <c r="J970" s="6" t="s">
        <v>1993</v>
      </c>
      <c r="K970" s="6" t="s">
        <v>43</v>
      </c>
      <c r="L970" s="6" t="s">
        <v>44</v>
      </c>
      <c r="M970" s="6" t="s">
        <v>45</v>
      </c>
      <c r="N970" s="6">
        <v>3.72</v>
      </c>
      <c r="O970" s="6">
        <v>66</v>
      </c>
    </row>
    <row r="971" spans="1:15" ht="14.25" customHeight="1" x14ac:dyDescent="0.3">
      <c r="A971" s="6" t="s">
        <v>1994</v>
      </c>
      <c r="B971" s="6">
        <v>51</v>
      </c>
      <c r="C971" s="6" t="s">
        <v>62</v>
      </c>
      <c r="D971" s="6" t="s">
        <v>47</v>
      </c>
      <c r="E971" s="6" t="s">
        <v>34</v>
      </c>
      <c r="F971" s="6">
        <v>1970</v>
      </c>
      <c r="G971" s="6">
        <v>172973.51</v>
      </c>
      <c r="H971" s="7">
        <v>36627</v>
      </c>
      <c r="I971" s="6" t="s">
        <v>73</v>
      </c>
      <c r="J971" s="6" t="s">
        <v>1995</v>
      </c>
      <c r="K971" s="6" t="s">
        <v>51</v>
      </c>
      <c r="L971" s="6" t="s">
        <v>52</v>
      </c>
      <c r="M971" s="6" t="s">
        <v>53</v>
      </c>
      <c r="N971" s="6">
        <v>2.29</v>
      </c>
      <c r="O971" s="6">
        <v>182</v>
      </c>
    </row>
    <row r="972" spans="1:15" ht="14.25" customHeight="1" x14ac:dyDescent="0.3">
      <c r="A972" s="6" t="s">
        <v>1996</v>
      </c>
      <c r="B972" s="6">
        <v>36</v>
      </c>
      <c r="C972" s="6" t="s">
        <v>62</v>
      </c>
      <c r="D972" s="6" t="s">
        <v>55</v>
      </c>
      <c r="E972" s="6" t="s">
        <v>18</v>
      </c>
      <c r="F972" s="6">
        <v>1971</v>
      </c>
      <c r="G972" s="6">
        <v>98320.76</v>
      </c>
      <c r="H972" s="7">
        <v>43347</v>
      </c>
      <c r="I972" s="6" t="s">
        <v>19</v>
      </c>
      <c r="J972" s="6" t="s">
        <v>1997</v>
      </c>
      <c r="K972" s="6" t="s">
        <v>21</v>
      </c>
      <c r="L972" s="6" t="s">
        <v>22</v>
      </c>
      <c r="M972" s="6" t="s">
        <v>23</v>
      </c>
      <c r="N972" s="6">
        <v>4.5599999999999996</v>
      </c>
      <c r="O972" s="6">
        <v>156</v>
      </c>
    </row>
    <row r="973" spans="1:15" ht="14.25" customHeight="1" x14ac:dyDescent="0.3">
      <c r="A973" s="6" t="s">
        <v>1998</v>
      </c>
      <c r="B973" s="6">
        <v>33</v>
      </c>
      <c r="C973" s="6" t="s">
        <v>25</v>
      </c>
      <c r="D973" s="6" t="s">
        <v>17</v>
      </c>
      <c r="E973" s="6" t="s">
        <v>48</v>
      </c>
      <c r="F973" s="6">
        <v>1972</v>
      </c>
      <c r="G973" s="6">
        <v>126566.31</v>
      </c>
      <c r="H973" s="7">
        <v>37375</v>
      </c>
      <c r="I973" s="6" t="s">
        <v>28</v>
      </c>
      <c r="J973" s="6" t="s">
        <v>1999</v>
      </c>
      <c r="K973" s="6" t="s">
        <v>30</v>
      </c>
      <c r="L973" s="6" t="s">
        <v>31</v>
      </c>
      <c r="M973" s="6" t="s">
        <v>32</v>
      </c>
      <c r="N973" s="6">
        <v>1.46</v>
      </c>
      <c r="O973" s="6">
        <v>45</v>
      </c>
    </row>
    <row r="974" spans="1:15" ht="14.25" customHeight="1" x14ac:dyDescent="0.3">
      <c r="A974" s="6" t="s">
        <v>2000</v>
      </c>
      <c r="B974" s="6">
        <v>31</v>
      </c>
      <c r="C974" s="6" t="s">
        <v>16</v>
      </c>
      <c r="D974" s="6" t="s">
        <v>69</v>
      </c>
      <c r="E974" s="6" t="s">
        <v>18</v>
      </c>
      <c r="F974" s="6">
        <v>1973</v>
      </c>
      <c r="G974" s="6">
        <v>167987.33</v>
      </c>
      <c r="H974" s="7">
        <v>38127</v>
      </c>
      <c r="I974" s="6" t="s">
        <v>35</v>
      </c>
      <c r="J974" s="6" t="s">
        <v>2001</v>
      </c>
      <c r="K974" s="6" t="s">
        <v>37</v>
      </c>
      <c r="L974" s="6" t="s">
        <v>38</v>
      </c>
      <c r="M974" s="6" t="s">
        <v>39</v>
      </c>
      <c r="N974" s="6">
        <v>1.81</v>
      </c>
      <c r="O974" s="6">
        <v>14</v>
      </c>
    </row>
    <row r="975" spans="1:15" ht="14.25" customHeight="1" x14ac:dyDescent="0.3">
      <c r="A975" s="6" t="s">
        <v>2002</v>
      </c>
      <c r="B975" s="6">
        <v>33</v>
      </c>
      <c r="C975" s="6" t="s">
        <v>62</v>
      </c>
      <c r="D975" s="6" t="s">
        <v>47</v>
      </c>
      <c r="E975" s="6" t="s">
        <v>80</v>
      </c>
      <c r="F975" s="6">
        <v>1974</v>
      </c>
      <c r="G975" s="6">
        <v>52533.65</v>
      </c>
      <c r="H975" s="7">
        <v>39859</v>
      </c>
      <c r="I975" s="6" t="s">
        <v>41</v>
      </c>
      <c r="J975" s="6" t="s">
        <v>2003</v>
      </c>
      <c r="K975" s="6" t="s">
        <v>43</v>
      </c>
      <c r="L975" s="6" t="s">
        <v>44</v>
      </c>
      <c r="M975" s="6" t="s">
        <v>45</v>
      </c>
      <c r="N975" s="6">
        <v>4.24</v>
      </c>
      <c r="O975" s="6">
        <v>147</v>
      </c>
    </row>
    <row r="976" spans="1:15" ht="14.25" customHeight="1" x14ac:dyDescent="0.3">
      <c r="A976" s="6" t="s">
        <v>2004</v>
      </c>
      <c r="B976" s="6">
        <v>38</v>
      </c>
      <c r="C976" s="6" t="s">
        <v>16</v>
      </c>
      <c r="D976" s="6" t="s">
        <v>55</v>
      </c>
      <c r="E976" s="6" t="s">
        <v>34</v>
      </c>
      <c r="F976" s="6">
        <v>1975</v>
      </c>
      <c r="G976" s="6">
        <v>154489.51999999999</v>
      </c>
      <c r="H976" s="7">
        <v>43574</v>
      </c>
      <c r="I976" s="6" t="s">
        <v>49</v>
      </c>
      <c r="J976" s="6" t="s">
        <v>2005</v>
      </c>
      <c r="K976" s="6" t="s">
        <v>51</v>
      </c>
      <c r="L976" s="6" t="s">
        <v>52</v>
      </c>
      <c r="M976" s="6" t="s">
        <v>53</v>
      </c>
      <c r="N976" s="6">
        <v>4.2699999999999996</v>
      </c>
      <c r="O976" s="6">
        <v>118</v>
      </c>
    </row>
    <row r="977" spans="1:15" ht="14.25" customHeight="1" x14ac:dyDescent="0.3">
      <c r="A977" s="6" t="s">
        <v>2006</v>
      </c>
      <c r="B977" s="6">
        <v>61</v>
      </c>
      <c r="C977" s="6" t="s">
        <v>25</v>
      </c>
      <c r="D977" s="6" t="s">
        <v>55</v>
      </c>
      <c r="E977" s="6" t="s">
        <v>34</v>
      </c>
      <c r="F977" s="6">
        <v>1976</v>
      </c>
      <c r="G977" s="6">
        <v>126339.6</v>
      </c>
      <c r="H977" s="7">
        <v>38651</v>
      </c>
      <c r="I977" s="6" t="s">
        <v>56</v>
      </c>
      <c r="J977" s="6" t="s">
        <v>2007</v>
      </c>
      <c r="K977" s="6" t="s">
        <v>21</v>
      </c>
      <c r="L977" s="6" t="s">
        <v>22</v>
      </c>
      <c r="M977" s="6" t="s">
        <v>23</v>
      </c>
      <c r="N977" s="6">
        <v>1.1599999999999999</v>
      </c>
      <c r="O977" s="6">
        <v>68</v>
      </c>
    </row>
    <row r="978" spans="1:15" ht="14.25" customHeight="1" x14ac:dyDescent="0.3">
      <c r="A978" s="6" t="s">
        <v>2008</v>
      </c>
      <c r="B978" s="6">
        <v>23</v>
      </c>
      <c r="C978" s="6" t="s">
        <v>62</v>
      </c>
      <c r="D978" s="6" t="s">
        <v>69</v>
      </c>
      <c r="E978" s="6" t="s">
        <v>34</v>
      </c>
      <c r="F978" s="6">
        <v>1977</v>
      </c>
      <c r="G978" s="6">
        <v>158961.89000000001</v>
      </c>
      <c r="H978" s="7">
        <v>44486</v>
      </c>
      <c r="I978" s="6" t="s">
        <v>63</v>
      </c>
      <c r="J978" s="6" t="s">
        <v>2009</v>
      </c>
      <c r="K978" s="6" t="s">
        <v>30</v>
      </c>
      <c r="L978" s="6" t="s">
        <v>31</v>
      </c>
      <c r="M978" s="6" t="s">
        <v>32</v>
      </c>
      <c r="N978" s="6">
        <v>3.42</v>
      </c>
      <c r="O978" s="6">
        <v>23</v>
      </c>
    </row>
    <row r="979" spans="1:15" ht="14.25" customHeight="1" x14ac:dyDescent="0.3">
      <c r="A979" s="6" t="s">
        <v>2010</v>
      </c>
      <c r="B979" s="6">
        <v>40</v>
      </c>
      <c r="C979" s="6" t="s">
        <v>16</v>
      </c>
      <c r="D979" s="6" t="s">
        <v>26</v>
      </c>
      <c r="E979" s="6" t="s">
        <v>48</v>
      </c>
      <c r="F979" s="6">
        <v>1978</v>
      </c>
      <c r="G979" s="6">
        <v>180855.63</v>
      </c>
      <c r="H979" s="7">
        <v>39715</v>
      </c>
      <c r="I979" s="6" t="s">
        <v>66</v>
      </c>
      <c r="J979" s="6" t="s">
        <v>2011</v>
      </c>
      <c r="K979" s="6" t="s">
        <v>37</v>
      </c>
      <c r="L979" s="6" t="s">
        <v>38</v>
      </c>
      <c r="M979" s="6" t="s">
        <v>39</v>
      </c>
      <c r="N979" s="6">
        <v>3.75</v>
      </c>
      <c r="O979" s="6">
        <v>124</v>
      </c>
    </row>
    <row r="980" spans="1:15" ht="14.25" customHeight="1" x14ac:dyDescent="0.3">
      <c r="A980" s="6" t="s">
        <v>2012</v>
      </c>
      <c r="B980" s="6">
        <v>50</v>
      </c>
      <c r="C980" s="6" t="s">
        <v>25</v>
      </c>
      <c r="D980" s="6" t="s">
        <v>55</v>
      </c>
      <c r="E980" s="6" t="s">
        <v>48</v>
      </c>
      <c r="F980" s="6">
        <v>1979</v>
      </c>
      <c r="G980" s="6">
        <v>124186.42</v>
      </c>
      <c r="H980" s="7">
        <v>37628</v>
      </c>
      <c r="I980" s="6" t="s">
        <v>70</v>
      </c>
      <c r="J980" s="6" t="s">
        <v>2013</v>
      </c>
      <c r="K980" s="6" t="s">
        <v>43</v>
      </c>
      <c r="L980" s="6" t="s">
        <v>44</v>
      </c>
      <c r="M980" s="6" t="s">
        <v>45</v>
      </c>
      <c r="N980" s="6">
        <v>1.72</v>
      </c>
      <c r="O980" s="6">
        <v>112</v>
      </c>
    </row>
    <row r="981" spans="1:15" ht="14.25" customHeight="1" x14ac:dyDescent="0.3">
      <c r="A981" s="6" t="s">
        <v>2014</v>
      </c>
      <c r="B981" s="6">
        <v>22</v>
      </c>
      <c r="C981" s="6" t="s">
        <v>62</v>
      </c>
      <c r="D981" s="6" t="s">
        <v>17</v>
      </c>
      <c r="E981" s="6" t="s">
        <v>18</v>
      </c>
      <c r="F981" s="6">
        <v>1980</v>
      </c>
      <c r="G981" s="6">
        <v>178381.65</v>
      </c>
      <c r="H981" s="7">
        <v>37838</v>
      </c>
      <c r="I981" s="6" t="s">
        <v>73</v>
      </c>
      <c r="J981" s="6" t="s">
        <v>2015</v>
      </c>
      <c r="K981" s="6" t="s">
        <v>51</v>
      </c>
      <c r="L981" s="6" t="s">
        <v>52</v>
      </c>
      <c r="M981" s="6" t="s">
        <v>53</v>
      </c>
      <c r="N981" s="6">
        <v>2.61</v>
      </c>
      <c r="O981" s="6">
        <v>20</v>
      </c>
    </row>
    <row r="982" spans="1:15" ht="14.25" customHeight="1" x14ac:dyDescent="0.3">
      <c r="A982" s="6" t="s">
        <v>2016</v>
      </c>
      <c r="B982" s="6">
        <v>43</v>
      </c>
      <c r="C982" s="6" t="s">
        <v>16</v>
      </c>
      <c r="D982" s="6" t="s">
        <v>17</v>
      </c>
      <c r="E982" s="6" t="s">
        <v>18</v>
      </c>
      <c r="F982" s="6">
        <v>1981</v>
      </c>
      <c r="G982" s="6">
        <v>51904.54</v>
      </c>
      <c r="H982" s="7">
        <v>40876</v>
      </c>
      <c r="I982" s="6" t="s">
        <v>19</v>
      </c>
      <c r="J982" s="6" t="s">
        <v>2017</v>
      </c>
      <c r="K982" s="6" t="s">
        <v>21</v>
      </c>
      <c r="L982" s="6" t="s">
        <v>22</v>
      </c>
      <c r="M982" s="6" t="s">
        <v>23</v>
      </c>
      <c r="N982" s="6">
        <v>3.56</v>
      </c>
      <c r="O982" s="6">
        <v>120</v>
      </c>
    </row>
    <row r="983" spans="1:15" ht="14.25" customHeight="1" x14ac:dyDescent="0.3">
      <c r="A983" s="6" t="s">
        <v>2018</v>
      </c>
      <c r="B983" s="6">
        <v>46</v>
      </c>
      <c r="C983" s="6" t="s">
        <v>62</v>
      </c>
      <c r="D983" s="6" t="s">
        <v>17</v>
      </c>
      <c r="E983" s="6" t="s">
        <v>80</v>
      </c>
      <c r="F983" s="6">
        <v>1982</v>
      </c>
      <c r="G983" s="6">
        <v>144512.17000000001</v>
      </c>
      <c r="H983" s="7">
        <v>36841</v>
      </c>
      <c r="I983" s="6" t="s">
        <v>28</v>
      </c>
      <c r="J983" s="6" t="s">
        <v>2019</v>
      </c>
      <c r="K983" s="6" t="s">
        <v>30</v>
      </c>
      <c r="L983" s="6" t="s">
        <v>31</v>
      </c>
      <c r="M983" s="6" t="s">
        <v>32</v>
      </c>
      <c r="N983" s="6">
        <v>1.29</v>
      </c>
      <c r="O983" s="6">
        <v>55</v>
      </c>
    </row>
    <row r="984" spans="1:15" ht="14.25" customHeight="1" x14ac:dyDescent="0.3">
      <c r="A984" s="6" t="s">
        <v>2020</v>
      </c>
      <c r="B984" s="6">
        <v>31</v>
      </c>
      <c r="C984" s="6" t="s">
        <v>16</v>
      </c>
      <c r="D984" s="6" t="s">
        <v>55</v>
      </c>
      <c r="E984" s="6" t="s">
        <v>48</v>
      </c>
      <c r="F984" s="6">
        <v>1983</v>
      </c>
      <c r="G984" s="6">
        <v>198036.38</v>
      </c>
      <c r="H984" s="7">
        <v>38308</v>
      </c>
      <c r="I984" s="6" t="s">
        <v>35</v>
      </c>
      <c r="J984" s="6" t="s">
        <v>2021</v>
      </c>
      <c r="K984" s="6" t="s">
        <v>37</v>
      </c>
      <c r="L984" s="6" t="s">
        <v>38</v>
      </c>
      <c r="M984" s="6" t="s">
        <v>39</v>
      </c>
      <c r="N984" s="6">
        <v>3.23</v>
      </c>
      <c r="O984" s="6">
        <v>145</v>
      </c>
    </row>
    <row r="985" spans="1:15" ht="14.25" customHeight="1" x14ac:dyDescent="0.3">
      <c r="A985" s="6" t="s">
        <v>2022</v>
      </c>
      <c r="B985" s="6">
        <v>30</v>
      </c>
      <c r="C985" s="6" t="s">
        <v>16</v>
      </c>
      <c r="D985" s="6" t="s">
        <v>55</v>
      </c>
      <c r="E985" s="6" t="s">
        <v>27</v>
      </c>
      <c r="F985" s="6">
        <v>1984</v>
      </c>
      <c r="G985" s="6">
        <v>94047.25</v>
      </c>
      <c r="H985" s="7">
        <v>37197</v>
      </c>
      <c r="I985" s="6" t="s">
        <v>41</v>
      </c>
      <c r="J985" s="6" t="s">
        <v>2023</v>
      </c>
      <c r="K985" s="6" t="s">
        <v>43</v>
      </c>
      <c r="L985" s="6" t="s">
        <v>44</v>
      </c>
      <c r="M985" s="6" t="s">
        <v>45</v>
      </c>
      <c r="N985" s="6">
        <v>2.78</v>
      </c>
      <c r="O985" s="6">
        <v>144</v>
      </c>
    </row>
    <row r="986" spans="1:15" ht="14.25" customHeight="1" x14ac:dyDescent="0.3">
      <c r="A986" s="6" t="s">
        <v>2024</v>
      </c>
      <c r="B986" s="6">
        <v>40</v>
      </c>
      <c r="C986" s="6" t="s">
        <v>25</v>
      </c>
      <c r="D986" s="6" t="s">
        <v>55</v>
      </c>
      <c r="E986" s="6" t="s">
        <v>18</v>
      </c>
      <c r="F986" s="6">
        <v>1985</v>
      </c>
      <c r="G986" s="6">
        <v>158473.84</v>
      </c>
      <c r="H986" s="7">
        <v>37123</v>
      </c>
      <c r="I986" s="6" t="s">
        <v>49</v>
      </c>
      <c r="J986" s="6" t="s">
        <v>2025</v>
      </c>
      <c r="K986" s="6" t="s">
        <v>51</v>
      </c>
      <c r="L986" s="6" t="s">
        <v>52</v>
      </c>
      <c r="M986" s="6" t="s">
        <v>53</v>
      </c>
      <c r="N986" s="6">
        <v>2.52</v>
      </c>
      <c r="O986" s="6">
        <v>176</v>
      </c>
    </row>
    <row r="987" spans="1:15" ht="14.25" customHeight="1" x14ac:dyDescent="0.3">
      <c r="A987" s="6" t="s">
        <v>2026</v>
      </c>
      <c r="B987" s="6">
        <v>33</v>
      </c>
      <c r="C987" s="6" t="s">
        <v>25</v>
      </c>
      <c r="D987" s="6" t="s">
        <v>55</v>
      </c>
      <c r="E987" s="6" t="s">
        <v>27</v>
      </c>
      <c r="F987" s="6">
        <v>1986</v>
      </c>
      <c r="G987" s="6">
        <v>83666.149999999994</v>
      </c>
      <c r="H987" s="7">
        <v>38205</v>
      </c>
      <c r="I987" s="6" t="s">
        <v>56</v>
      </c>
      <c r="J987" s="6" t="s">
        <v>2027</v>
      </c>
      <c r="K987" s="6" t="s">
        <v>21</v>
      </c>
      <c r="L987" s="6" t="s">
        <v>22</v>
      </c>
      <c r="M987" s="6" t="s">
        <v>23</v>
      </c>
      <c r="N987" s="6">
        <v>2.09</v>
      </c>
      <c r="O987" s="6">
        <v>159</v>
      </c>
    </row>
    <row r="988" spans="1:15" ht="14.25" customHeight="1" x14ac:dyDescent="0.3">
      <c r="A988" s="6" t="s">
        <v>2028</v>
      </c>
      <c r="B988" s="6">
        <v>50</v>
      </c>
      <c r="C988" s="6" t="s">
        <v>25</v>
      </c>
      <c r="D988" s="6" t="s">
        <v>17</v>
      </c>
      <c r="E988" s="6" t="s">
        <v>18</v>
      </c>
      <c r="F988" s="6">
        <v>1987</v>
      </c>
      <c r="G988" s="6">
        <v>195959.86</v>
      </c>
      <c r="H988" s="7">
        <v>39207</v>
      </c>
      <c r="I988" s="6" t="s">
        <v>63</v>
      </c>
      <c r="J988" s="6" t="s">
        <v>2029</v>
      </c>
      <c r="K988" s="6" t="s">
        <v>30</v>
      </c>
      <c r="L988" s="6" t="s">
        <v>31</v>
      </c>
      <c r="M988" s="6" t="s">
        <v>32</v>
      </c>
      <c r="N988" s="6">
        <v>4.0199999999999996</v>
      </c>
      <c r="O988" s="6">
        <v>1</v>
      </c>
    </row>
    <row r="989" spans="1:15" ht="14.25" customHeight="1" x14ac:dyDescent="0.3">
      <c r="A989" s="6" t="s">
        <v>2030</v>
      </c>
      <c r="B989" s="6">
        <v>39</v>
      </c>
      <c r="C989" s="6" t="s">
        <v>25</v>
      </c>
      <c r="D989" s="6" t="s">
        <v>69</v>
      </c>
      <c r="E989" s="6" t="s">
        <v>27</v>
      </c>
      <c r="F989" s="6">
        <v>1988</v>
      </c>
      <c r="G989" s="6">
        <v>116615.3</v>
      </c>
      <c r="H989" s="7">
        <v>41029</v>
      </c>
      <c r="I989" s="6" t="s">
        <v>66</v>
      </c>
      <c r="J989" s="6" t="s">
        <v>2031</v>
      </c>
      <c r="K989" s="6" t="s">
        <v>37</v>
      </c>
      <c r="L989" s="6" t="s">
        <v>38</v>
      </c>
      <c r="M989" s="6" t="s">
        <v>39</v>
      </c>
      <c r="N989" s="6">
        <v>3.58</v>
      </c>
      <c r="O989" s="6">
        <v>171</v>
      </c>
    </row>
    <row r="990" spans="1:15" ht="14.25" customHeight="1" x14ac:dyDescent="0.3">
      <c r="A990" s="6" t="s">
        <v>2032</v>
      </c>
      <c r="B990" s="6">
        <v>37</v>
      </c>
      <c r="C990" s="6" t="s">
        <v>25</v>
      </c>
      <c r="D990" s="6" t="s">
        <v>69</v>
      </c>
      <c r="E990" s="6" t="s">
        <v>27</v>
      </c>
      <c r="F990" s="6">
        <v>1989</v>
      </c>
      <c r="G990" s="6">
        <v>151533.74</v>
      </c>
      <c r="H990" s="7">
        <v>42997</v>
      </c>
      <c r="I990" s="6" t="s">
        <v>70</v>
      </c>
      <c r="J990" s="6" t="s">
        <v>2033</v>
      </c>
      <c r="K990" s="6" t="s">
        <v>43</v>
      </c>
      <c r="L990" s="6" t="s">
        <v>44</v>
      </c>
      <c r="M990" s="6" t="s">
        <v>45</v>
      </c>
      <c r="N990" s="6">
        <v>3.33</v>
      </c>
      <c r="O990" s="6">
        <v>124</v>
      </c>
    </row>
    <row r="991" spans="1:15" ht="14.25" customHeight="1" x14ac:dyDescent="0.3">
      <c r="A991" s="6" t="s">
        <v>2034</v>
      </c>
      <c r="B991" s="6">
        <v>25</v>
      </c>
      <c r="C991" s="6" t="s">
        <v>16</v>
      </c>
      <c r="D991" s="6" t="s">
        <v>55</v>
      </c>
      <c r="E991" s="6" t="s">
        <v>18</v>
      </c>
      <c r="F991" s="6">
        <v>1990</v>
      </c>
      <c r="G991" s="6">
        <v>126087.4</v>
      </c>
      <c r="H991" s="7">
        <v>38932</v>
      </c>
      <c r="I991" s="6" t="s">
        <v>73</v>
      </c>
      <c r="J991" s="6" t="s">
        <v>2035</v>
      </c>
      <c r="K991" s="6" t="s">
        <v>51</v>
      </c>
      <c r="L991" s="6" t="s">
        <v>52</v>
      </c>
      <c r="M991" s="6" t="s">
        <v>53</v>
      </c>
      <c r="N991" s="6">
        <v>4.04</v>
      </c>
      <c r="O991" s="6">
        <v>17</v>
      </c>
    </row>
    <row r="992" spans="1:15" ht="14.25" customHeight="1" x14ac:dyDescent="0.3">
      <c r="A992" s="6" t="s">
        <v>2036</v>
      </c>
      <c r="B992" s="6">
        <v>64</v>
      </c>
      <c r="C992" s="6" t="s">
        <v>25</v>
      </c>
      <c r="D992" s="6" t="s">
        <v>17</v>
      </c>
      <c r="E992" s="6" t="s">
        <v>48</v>
      </c>
      <c r="F992" s="6">
        <v>1991</v>
      </c>
      <c r="G992" s="6">
        <v>62115.94</v>
      </c>
      <c r="H992" s="7">
        <v>43350</v>
      </c>
      <c r="I992" s="6" t="s">
        <v>19</v>
      </c>
      <c r="J992" s="6" t="s">
        <v>2037</v>
      </c>
      <c r="K992" s="6" t="s">
        <v>21</v>
      </c>
      <c r="L992" s="6" t="s">
        <v>22</v>
      </c>
      <c r="M992" s="6" t="s">
        <v>23</v>
      </c>
      <c r="N992" s="6">
        <v>1.26</v>
      </c>
      <c r="O992" s="6">
        <v>61</v>
      </c>
    </row>
    <row r="993" spans="1:15" ht="14.25" customHeight="1" x14ac:dyDescent="0.3">
      <c r="A993" s="6" t="s">
        <v>2038</v>
      </c>
      <c r="B993" s="6">
        <v>46</v>
      </c>
      <c r="C993" s="6" t="s">
        <v>16</v>
      </c>
      <c r="D993" s="6" t="s">
        <v>69</v>
      </c>
      <c r="E993" s="6" t="s">
        <v>18</v>
      </c>
      <c r="F993" s="6">
        <v>1992</v>
      </c>
      <c r="G993" s="6">
        <v>169548.08</v>
      </c>
      <c r="H993" s="7">
        <v>42409</v>
      </c>
      <c r="I993" s="6" t="s">
        <v>28</v>
      </c>
      <c r="J993" s="6" t="s">
        <v>2039</v>
      </c>
      <c r="K993" s="6" t="s">
        <v>30</v>
      </c>
      <c r="L993" s="6" t="s">
        <v>31</v>
      </c>
      <c r="M993" s="6" t="s">
        <v>32</v>
      </c>
      <c r="N993" s="6">
        <v>1.91</v>
      </c>
      <c r="O993" s="6">
        <v>106</v>
      </c>
    </row>
    <row r="994" spans="1:15" ht="14.25" customHeight="1" x14ac:dyDescent="0.3">
      <c r="A994" s="6" t="s">
        <v>2040</v>
      </c>
      <c r="B994" s="6">
        <v>43</v>
      </c>
      <c r="C994" s="6" t="s">
        <v>16</v>
      </c>
      <c r="D994" s="6" t="s">
        <v>17</v>
      </c>
      <c r="E994" s="6" t="s">
        <v>48</v>
      </c>
      <c r="F994" s="6">
        <v>1993</v>
      </c>
      <c r="G994" s="6">
        <v>86371.92</v>
      </c>
      <c r="H994" s="7">
        <v>42112</v>
      </c>
      <c r="I994" s="6" t="s">
        <v>35</v>
      </c>
      <c r="J994" s="6" t="s">
        <v>2041</v>
      </c>
      <c r="K994" s="6" t="s">
        <v>37</v>
      </c>
      <c r="L994" s="6" t="s">
        <v>38</v>
      </c>
      <c r="M994" s="6" t="s">
        <v>39</v>
      </c>
      <c r="N994" s="6">
        <v>2.82</v>
      </c>
      <c r="O994" s="6">
        <v>128</v>
      </c>
    </row>
    <row r="995" spans="1:15" ht="14.25" customHeight="1" x14ac:dyDescent="0.3">
      <c r="A995" s="6" t="s">
        <v>2042</v>
      </c>
      <c r="B995" s="6">
        <v>50</v>
      </c>
      <c r="C995" s="6" t="s">
        <v>62</v>
      </c>
      <c r="D995" s="6" t="s">
        <v>55</v>
      </c>
      <c r="E995" s="6" t="s">
        <v>34</v>
      </c>
      <c r="F995" s="6">
        <v>1994</v>
      </c>
      <c r="G995" s="6">
        <v>91872.59</v>
      </c>
      <c r="H995" s="7">
        <v>42667</v>
      </c>
      <c r="I995" s="6" t="s">
        <v>41</v>
      </c>
      <c r="J995" s="6" t="s">
        <v>2043</v>
      </c>
      <c r="K995" s="6" t="s">
        <v>43</v>
      </c>
      <c r="L995" s="6" t="s">
        <v>44</v>
      </c>
      <c r="M995" s="6" t="s">
        <v>45</v>
      </c>
      <c r="N995" s="6">
        <v>3.1</v>
      </c>
      <c r="O995" s="6">
        <v>175</v>
      </c>
    </row>
    <row r="996" spans="1:15" ht="14.25" customHeight="1" x14ac:dyDescent="0.3">
      <c r="A996" s="6" t="s">
        <v>2044</v>
      </c>
      <c r="B996" s="6">
        <v>43</v>
      </c>
      <c r="C996" s="6" t="s">
        <v>16</v>
      </c>
      <c r="D996" s="6" t="s">
        <v>55</v>
      </c>
      <c r="E996" s="6" t="s">
        <v>34</v>
      </c>
      <c r="F996" s="6">
        <v>1995</v>
      </c>
      <c r="G996" s="6">
        <v>54564.9</v>
      </c>
      <c r="H996" s="7">
        <v>42713</v>
      </c>
      <c r="I996" s="6" t="s">
        <v>49</v>
      </c>
      <c r="J996" s="6" t="s">
        <v>2045</v>
      </c>
      <c r="K996" s="6" t="s">
        <v>51</v>
      </c>
      <c r="L996" s="6" t="s">
        <v>52</v>
      </c>
      <c r="M996" s="6" t="s">
        <v>53</v>
      </c>
      <c r="N996" s="6">
        <v>3.2</v>
      </c>
      <c r="O996" s="6">
        <v>193</v>
      </c>
    </row>
    <row r="997" spans="1:15" ht="14.25" customHeight="1" x14ac:dyDescent="0.3">
      <c r="A997" s="6" t="s">
        <v>2046</v>
      </c>
      <c r="B997" s="6">
        <v>36</v>
      </c>
      <c r="C997" s="6" t="s">
        <v>16</v>
      </c>
      <c r="D997" s="6" t="s">
        <v>47</v>
      </c>
      <c r="E997" s="6" t="s">
        <v>34</v>
      </c>
      <c r="F997" s="6">
        <v>1996</v>
      </c>
      <c r="G997" s="6">
        <v>133267.21</v>
      </c>
      <c r="H997" s="7">
        <v>41066</v>
      </c>
      <c r="I997" s="6" t="s">
        <v>56</v>
      </c>
      <c r="J997" s="6" t="s">
        <v>2047</v>
      </c>
      <c r="K997" s="6" t="s">
        <v>21</v>
      </c>
      <c r="L997" s="6" t="s">
        <v>22</v>
      </c>
      <c r="M997" s="6" t="s">
        <v>23</v>
      </c>
      <c r="N997" s="6">
        <v>3.05</v>
      </c>
      <c r="O997" s="6">
        <v>118</v>
      </c>
    </row>
    <row r="998" spans="1:15" ht="14.25" customHeight="1" x14ac:dyDescent="0.3">
      <c r="A998" s="6" t="s">
        <v>2048</v>
      </c>
      <c r="B998" s="6">
        <v>23</v>
      </c>
      <c r="C998" s="6" t="s">
        <v>25</v>
      </c>
      <c r="D998" s="6" t="s">
        <v>55</v>
      </c>
      <c r="E998" s="6" t="s">
        <v>34</v>
      </c>
      <c r="F998" s="6">
        <v>1997</v>
      </c>
      <c r="G998" s="6">
        <v>130638.55</v>
      </c>
      <c r="H998" s="7">
        <v>40787</v>
      </c>
      <c r="I998" s="6" t="s">
        <v>63</v>
      </c>
      <c r="J998" s="6" t="s">
        <v>2049</v>
      </c>
      <c r="K998" s="6" t="s">
        <v>30</v>
      </c>
      <c r="L998" s="6" t="s">
        <v>31</v>
      </c>
      <c r="M998" s="6" t="s">
        <v>32</v>
      </c>
      <c r="N998" s="6">
        <v>2.5099999999999998</v>
      </c>
      <c r="O998" s="6">
        <v>107</v>
      </c>
    </row>
    <row r="999" spans="1:15" ht="14.25" customHeight="1" x14ac:dyDescent="0.3">
      <c r="A999" s="6" t="s">
        <v>2050</v>
      </c>
      <c r="B999" s="6">
        <v>34</v>
      </c>
      <c r="C999" s="6" t="s">
        <v>16</v>
      </c>
      <c r="D999" s="6" t="s">
        <v>17</v>
      </c>
      <c r="E999" s="6" t="s">
        <v>80</v>
      </c>
      <c r="F999" s="6">
        <v>1998</v>
      </c>
      <c r="G999" s="6">
        <v>77610.61</v>
      </c>
      <c r="H999" s="7">
        <v>44814</v>
      </c>
      <c r="I999" s="6" t="s">
        <v>66</v>
      </c>
      <c r="J999" s="6" t="s">
        <v>2051</v>
      </c>
      <c r="K999" s="6" t="s">
        <v>37</v>
      </c>
      <c r="L999" s="6" t="s">
        <v>38</v>
      </c>
      <c r="M999" s="6" t="s">
        <v>39</v>
      </c>
      <c r="N999" s="6">
        <v>1.1599999999999999</v>
      </c>
      <c r="O999" s="6">
        <v>111</v>
      </c>
    </row>
    <row r="1000" spans="1:15" ht="14.25" customHeight="1" x14ac:dyDescent="0.3">
      <c r="A1000" s="6" t="s">
        <v>2052</v>
      </c>
      <c r="B1000" s="6">
        <v>33</v>
      </c>
      <c r="C1000" s="6" t="s">
        <v>25</v>
      </c>
      <c r="D1000" s="6" t="s">
        <v>55</v>
      </c>
      <c r="E1000" s="6" t="s">
        <v>80</v>
      </c>
      <c r="F1000" s="6">
        <v>1999</v>
      </c>
      <c r="G1000" s="6">
        <v>158592.57</v>
      </c>
      <c r="H1000" s="7">
        <v>44111</v>
      </c>
      <c r="I1000" s="6" t="s">
        <v>70</v>
      </c>
      <c r="J1000" s="6" t="s">
        <v>2053</v>
      </c>
      <c r="K1000" s="6" t="s">
        <v>43</v>
      </c>
      <c r="L1000" s="6" t="s">
        <v>44</v>
      </c>
      <c r="M1000" s="6" t="s">
        <v>45</v>
      </c>
      <c r="N1000" s="6">
        <v>4.47</v>
      </c>
      <c r="O1000" s="6">
        <v>1</v>
      </c>
    </row>
    <row r="1001" spans="1:15" ht="14.25" customHeight="1" x14ac:dyDescent="0.3">
      <c r="A1001" s="6" t="s">
        <v>2054</v>
      </c>
      <c r="B1001" s="6">
        <v>47</v>
      </c>
      <c r="C1001" s="6" t="s">
        <v>16</v>
      </c>
      <c r="D1001" s="6" t="s">
        <v>26</v>
      </c>
      <c r="E1001" s="6" t="s">
        <v>18</v>
      </c>
      <c r="F1001" s="6">
        <v>2000</v>
      </c>
      <c r="G1001" s="6">
        <v>56975.31</v>
      </c>
      <c r="H1001" s="7">
        <v>42509</v>
      </c>
      <c r="I1001" s="6" t="s">
        <v>73</v>
      </c>
      <c r="J1001" s="6" t="s">
        <v>2055</v>
      </c>
      <c r="K1001" s="6" t="s">
        <v>51</v>
      </c>
      <c r="L1001" s="6" t="s">
        <v>52</v>
      </c>
      <c r="M1001" s="6" t="s">
        <v>53</v>
      </c>
      <c r="N1001" s="6">
        <v>2.39</v>
      </c>
      <c r="O1001" s="6">
        <v>66</v>
      </c>
    </row>
    <row r="1004" spans="1:15" ht="15" customHeight="1" x14ac:dyDescent="0.3">
      <c r="G1004">
        <f>SUMIF(G2:G1001,M970)</f>
        <v>0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selection activeCell="I45" sqref="I45"/>
    </sheetView>
  </sheetViews>
  <sheetFormatPr defaultColWidth="12.6640625" defaultRowHeight="15" customHeight="1" x14ac:dyDescent="0.3"/>
  <cols>
    <col min="1" max="2" width="8.6640625" customWidth="1"/>
    <col min="3" max="3" width="12.44140625" bestFit="1" customWidth="1"/>
    <col min="4" max="4" width="12.21875" bestFit="1" customWidth="1"/>
    <col min="5" max="5" width="8.6640625" customWidth="1"/>
    <col min="6" max="6" width="12.44140625" bestFit="1" customWidth="1"/>
    <col min="7" max="7" width="14.33203125" bestFit="1" customWidth="1"/>
    <col min="8" max="8" width="8.6640625" customWidth="1"/>
    <col min="9" max="9" width="12.44140625" bestFit="1" customWidth="1"/>
    <col min="10" max="10" width="18.33203125" bestFit="1" customWidth="1"/>
    <col min="11" max="13" width="8.6640625" customWidth="1"/>
    <col min="14" max="14" width="34.6640625" customWidth="1"/>
    <col min="15" max="26" width="8.6640625" customWidth="1"/>
  </cols>
  <sheetData>
    <row r="1" spans="1:14" ht="14.25" customHeight="1" x14ac:dyDescent="0.3">
      <c r="A1" s="9">
        <v>1</v>
      </c>
      <c r="B1" s="28" t="s">
        <v>2056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4.25" customHeight="1" x14ac:dyDescent="0.3">
      <c r="A2" s="10"/>
    </row>
    <row r="3" spans="1:14" ht="14.25" customHeight="1" x14ac:dyDescent="0.3">
      <c r="A3" s="10"/>
      <c r="B3" s="11" t="s">
        <v>2057</v>
      </c>
      <c r="C3" s="12" t="s">
        <v>12</v>
      </c>
      <c r="D3" s="13"/>
      <c r="E3" s="13"/>
    </row>
    <row r="4" spans="1:14" ht="14.25" customHeight="1" x14ac:dyDescent="0.3">
      <c r="A4" s="10"/>
      <c r="B4" s="14">
        <v>1085</v>
      </c>
      <c r="C4" s="15" t="str">
        <f>_xlfn.XLOOKUP(B4,'Main Data'!F2:F1001,'Main Data'!M2:M1001)</f>
        <v>Japan</v>
      </c>
    </row>
    <row r="5" spans="1:14" ht="14.25" customHeight="1" x14ac:dyDescent="0.3">
      <c r="A5" s="10"/>
      <c r="B5" s="16">
        <v>1141</v>
      </c>
      <c r="C5" s="15" t="str">
        <f>_xlfn.XLOOKUP(B5,'Main Data'!F3:F1002,'Main Data'!M3:M1002)</f>
        <v>USA</v>
      </c>
    </row>
    <row r="6" spans="1:14" ht="14.25" customHeight="1" x14ac:dyDescent="0.3">
      <c r="A6" s="10"/>
      <c r="B6" s="16">
        <v>1018</v>
      </c>
      <c r="C6" s="15" t="str">
        <f>_xlfn.XLOOKUP(B6,'Main Data'!F4:F1003,'Main Data'!M4:M1003)</f>
        <v>Australia</v>
      </c>
    </row>
    <row r="7" spans="1:14" ht="14.25" customHeight="1" x14ac:dyDescent="0.3">
      <c r="A7" s="10"/>
      <c r="B7" s="17">
        <v>1303</v>
      </c>
      <c r="C7" s="15" t="str">
        <f>_xlfn.XLOOKUP(B7,'Main Data'!F5:F1004,'Main Data'!M5:M1004)</f>
        <v>UK</v>
      </c>
    </row>
    <row r="8" spans="1:14" ht="14.25" customHeight="1" x14ac:dyDescent="0.3">
      <c r="A8" s="10"/>
    </row>
    <row r="9" spans="1:14" ht="14.25" customHeight="1" x14ac:dyDescent="0.3">
      <c r="A9" s="10"/>
    </row>
    <row r="10" spans="1:14" ht="14.25" customHeight="1" x14ac:dyDescent="0.3">
      <c r="A10" s="9">
        <v>2</v>
      </c>
      <c r="B10" s="28" t="s">
        <v>2058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14" ht="14.25" customHeight="1" x14ac:dyDescent="0.3">
      <c r="A11" s="10"/>
    </row>
    <row r="12" spans="1:14" ht="14.25" customHeight="1" x14ac:dyDescent="0.3">
      <c r="B12" s="18" t="s">
        <v>12</v>
      </c>
      <c r="C12" s="18" t="s">
        <v>2059</v>
      </c>
    </row>
    <row r="13" spans="1:14" ht="14.25" customHeight="1" x14ac:dyDescent="0.3">
      <c r="B13" s="14" t="s">
        <v>53</v>
      </c>
      <c r="C13" s="15">
        <f>COUNTIF('Main Data'!$M$2:$M$1001,Questions!B13)</f>
        <v>199</v>
      </c>
      <c r="D13" t="s">
        <v>2071</v>
      </c>
      <c r="F13" t="s">
        <v>26</v>
      </c>
      <c r="G13">
        <f>COUNTIF('Main Data'!D2:D1001,Questions!F13)</f>
        <v>215</v>
      </c>
    </row>
    <row r="14" spans="1:14" ht="14.25" customHeight="1" x14ac:dyDescent="0.3">
      <c r="B14" s="16" t="s">
        <v>39</v>
      </c>
      <c r="C14" s="15">
        <f>COUNTIF('Main Data'!$M$2:$M$1001,Questions!B14)</f>
        <v>199</v>
      </c>
      <c r="F14" t="s">
        <v>17</v>
      </c>
      <c r="G14">
        <f>COUNTIF('Main Data'!D3:D1002,Questions!F14)</f>
        <v>189</v>
      </c>
    </row>
    <row r="15" spans="1:14" ht="14.25" customHeight="1" x14ac:dyDescent="0.3">
      <c r="B15" s="16" t="s">
        <v>45</v>
      </c>
      <c r="C15" s="15">
        <f>COUNTIF('Main Data'!$M$2:$M$1001,Questions!B15)</f>
        <v>199</v>
      </c>
      <c r="F15" t="s">
        <v>69</v>
      </c>
      <c r="G15">
        <f>COUNTIF('Main Data'!D4:D1003,Questions!F15)</f>
        <v>193</v>
      </c>
    </row>
    <row r="16" spans="1:14" ht="14.25" customHeight="1" thickBot="1" x14ac:dyDescent="0.35">
      <c r="B16" s="19" t="s">
        <v>23</v>
      </c>
      <c r="C16" s="15">
        <f>COUNTIF('Main Data'!$M$2:$M$1001,Questions!B16)</f>
        <v>199</v>
      </c>
      <c r="F16" t="s">
        <v>55</v>
      </c>
      <c r="G16">
        <f>COUNTIF('Main Data'!D5:D1004,Questions!F16)</f>
        <v>201</v>
      </c>
    </row>
    <row r="17" spans="1:14" ht="14.25" customHeight="1" x14ac:dyDescent="0.3"/>
    <row r="18" spans="1:14" ht="14.25" customHeight="1" x14ac:dyDescent="0.3"/>
    <row r="19" spans="1:14" ht="14.25" customHeight="1" x14ac:dyDescent="0.3">
      <c r="A19" s="9">
        <v>3</v>
      </c>
      <c r="B19" s="28" t="s">
        <v>2060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</row>
    <row r="20" spans="1:14" ht="14.25" customHeight="1" x14ac:dyDescent="0.3"/>
    <row r="21" spans="1:14" ht="14.25" customHeight="1" x14ac:dyDescent="0.3">
      <c r="B21" s="20" t="s">
        <v>12</v>
      </c>
      <c r="C21" s="20" t="s">
        <v>2061</v>
      </c>
    </row>
    <row r="22" spans="1:14" ht="14.25" customHeight="1" x14ac:dyDescent="0.3">
      <c r="B22" s="14" t="s">
        <v>53</v>
      </c>
      <c r="C22" s="15">
        <f>SUMIF('Main Data'!M:M,Questions!B22,'Main Data'!G:G)</f>
        <v>24981101.900000002</v>
      </c>
    </row>
    <row r="23" spans="1:14" ht="14.25" customHeight="1" x14ac:dyDescent="0.3">
      <c r="B23" s="16" t="s">
        <v>39</v>
      </c>
      <c r="C23" s="15">
        <f>SUMIF('Main Data'!M:M,Questions!B23,'Main Data'!G:G)</f>
        <v>24684971.190000009</v>
      </c>
    </row>
    <row r="24" spans="1:14" ht="14.25" customHeight="1" x14ac:dyDescent="0.3">
      <c r="B24" s="16" t="s">
        <v>45</v>
      </c>
      <c r="C24" s="15">
        <f>SUMIF('Main Data'!M:M,Questions!B24,'Main Data'!G:G)</f>
        <v>24048888.270000011</v>
      </c>
    </row>
    <row r="25" spans="1:14" ht="14.25" customHeight="1" thickBot="1" x14ac:dyDescent="0.35">
      <c r="B25" s="19" t="s">
        <v>23</v>
      </c>
      <c r="C25" s="15">
        <f>SUMIF('Main Data'!M:M,Questions!B25,'Main Data'!G:G)</f>
        <v>24568511.139999997</v>
      </c>
    </row>
    <row r="26" spans="1:14" ht="14.25" customHeight="1" x14ac:dyDescent="0.3">
      <c r="B26" s="24" t="s">
        <v>32</v>
      </c>
      <c r="C26" s="15">
        <f>SUMIF('Main Data'!M:M,Questions!B26,'Main Data'!G:G)</f>
        <v>24005657.450000007</v>
      </c>
    </row>
    <row r="27" spans="1:14" ht="14.25" customHeight="1" x14ac:dyDescent="0.3"/>
    <row r="28" spans="1:14" ht="14.25" customHeight="1" x14ac:dyDescent="0.3">
      <c r="A28" s="9">
        <v>4</v>
      </c>
      <c r="B28" s="28" t="s">
        <v>2062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7"/>
    </row>
    <row r="29" spans="1:14" ht="14.25" customHeight="1" x14ac:dyDescent="0.3"/>
    <row r="30" spans="1:14" ht="14.25" customHeight="1" x14ac:dyDescent="0.3"/>
    <row r="31" spans="1:14" ht="14.25" customHeight="1" x14ac:dyDescent="0.3">
      <c r="B31" s="11" t="s">
        <v>2057</v>
      </c>
      <c r="C31" s="12" t="s">
        <v>13</v>
      </c>
    </row>
    <row r="32" spans="1:14" ht="14.25" customHeight="1" x14ac:dyDescent="0.3">
      <c r="B32" s="14">
        <v>1227</v>
      </c>
      <c r="C32" s="15">
        <f>_xlfn.XLOOKUP(B32,'Main Data'!F2:F1001,'Main Data'!N2:N1001)</f>
        <v>4.8</v>
      </c>
    </row>
    <row r="33" spans="1:15" ht="14.25" customHeight="1" x14ac:dyDescent="0.3">
      <c r="B33" s="16">
        <v>1445</v>
      </c>
      <c r="C33" s="15">
        <f>_xlfn.XLOOKUP(B33,'Main Data'!F3:F1002,'Main Data'!N3:N1002)</f>
        <v>4.7699999999999996</v>
      </c>
    </row>
    <row r="34" spans="1:15" ht="14.25" customHeight="1" x14ac:dyDescent="0.3">
      <c r="B34" s="16">
        <v>1197</v>
      </c>
      <c r="C34" s="15">
        <f>_xlfn.XLOOKUP(B34,'Main Data'!F4:F1003,'Main Data'!N4:N1003)</f>
        <v>6.01</v>
      </c>
    </row>
    <row r="35" spans="1:15" ht="14.25" customHeight="1" thickBot="1" x14ac:dyDescent="0.35">
      <c r="B35" s="17">
        <v>1571</v>
      </c>
      <c r="C35" s="15">
        <f>_xlfn.XLOOKUP(B35,'Main Data'!F5:F1004,'Main Data'!N5:N1004)</f>
        <v>1.88</v>
      </c>
    </row>
    <row r="36" spans="1:15" ht="14.25" customHeight="1" thickBot="1" x14ac:dyDescent="0.35"/>
    <row r="37" spans="1:15" ht="14.25" customHeight="1" x14ac:dyDescent="0.3">
      <c r="A37" s="9">
        <v>5</v>
      </c>
      <c r="B37" s="28" t="s">
        <v>2063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</row>
    <row r="38" spans="1:15" ht="14.25" customHeight="1" x14ac:dyDescent="0.3"/>
    <row r="39" spans="1:15" ht="14.25" customHeight="1" x14ac:dyDescent="0.3">
      <c r="C39" s="25" t="s">
        <v>2064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7"/>
      <c r="O39" s="10"/>
    </row>
    <row r="40" spans="1:15" ht="14.25" customHeight="1" x14ac:dyDescent="0.3">
      <c r="C40" s="25" t="s">
        <v>2065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7"/>
    </row>
    <row r="41" spans="1:15" ht="14.25" customHeight="1" x14ac:dyDescent="0.3">
      <c r="C41" s="25" t="s">
        <v>2066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</row>
    <row r="42" spans="1:15" ht="14.25" customHeight="1" x14ac:dyDescent="0.3"/>
    <row r="43" spans="1:15" ht="14.25" customHeight="1" x14ac:dyDescent="0.3"/>
    <row r="44" spans="1:15" ht="14.25" customHeight="1" x14ac:dyDescent="0.3"/>
    <row r="45" spans="1:15" ht="14.25" customHeight="1" x14ac:dyDescent="0.3">
      <c r="C45" s="21" t="s">
        <v>2067</v>
      </c>
      <c r="D45" t="s">
        <v>2068</v>
      </c>
      <c r="F45" s="21" t="s">
        <v>2067</v>
      </c>
      <c r="G45" t="s">
        <v>2069</v>
      </c>
      <c r="I45" s="21" t="s">
        <v>2067</v>
      </c>
      <c r="J45" t="s">
        <v>2070</v>
      </c>
    </row>
    <row r="46" spans="1:15" ht="14.25" customHeight="1" x14ac:dyDescent="0.3">
      <c r="C46" s="22" t="s">
        <v>53</v>
      </c>
      <c r="D46" s="23">
        <v>0.50298121727344314</v>
      </c>
      <c r="F46" s="22" t="s">
        <v>16</v>
      </c>
      <c r="G46">
        <v>326</v>
      </c>
      <c r="I46" s="22" t="s">
        <v>26</v>
      </c>
      <c r="J46" s="29">
        <v>215</v>
      </c>
    </row>
    <row r="47" spans="1:15" ht="14.25" customHeight="1" x14ac:dyDescent="0.3">
      <c r="C47" s="22" t="s">
        <v>39</v>
      </c>
      <c r="D47" s="23">
        <v>0.49701878272655686</v>
      </c>
      <c r="F47" s="22" t="s">
        <v>62</v>
      </c>
      <c r="G47">
        <v>322</v>
      </c>
      <c r="I47" s="22" t="s">
        <v>47</v>
      </c>
      <c r="J47" s="29">
        <v>201</v>
      </c>
    </row>
    <row r="48" spans="1:15" ht="14.25" customHeight="1" x14ac:dyDescent="0.3">
      <c r="I48" s="22" t="s">
        <v>55</v>
      </c>
      <c r="J48" s="29">
        <v>201</v>
      </c>
    </row>
    <row r="49" spans="9:10" ht="14.25" customHeight="1" x14ac:dyDescent="0.3">
      <c r="I49" s="22" t="s">
        <v>69</v>
      </c>
      <c r="J49" s="29">
        <v>193</v>
      </c>
    </row>
    <row r="50" spans="9:10" ht="14.25" customHeight="1" x14ac:dyDescent="0.3">
      <c r="I50" s="22" t="s">
        <v>17</v>
      </c>
      <c r="J50" s="29">
        <v>190</v>
      </c>
    </row>
    <row r="51" spans="9:10" ht="14.25" customHeight="1" x14ac:dyDescent="0.3"/>
    <row r="52" spans="9:10" ht="14.25" customHeight="1" x14ac:dyDescent="0.3"/>
    <row r="53" spans="9:10" ht="14.25" customHeight="1" x14ac:dyDescent="0.3"/>
    <row r="54" spans="9:10" ht="14.25" customHeight="1" x14ac:dyDescent="0.3"/>
    <row r="55" spans="9:10" ht="14.25" customHeight="1" x14ac:dyDescent="0.3"/>
    <row r="56" spans="9:10" ht="14.25" customHeight="1" x14ac:dyDescent="0.3"/>
    <row r="57" spans="9:10" ht="14.25" customHeight="1" x14ac:dyDescent="0.3"/>
    <row r="58" spans="9:10" ht="14.25" customHeight="1" x14ac:dyDescent="0.3"/>
    <row r="59" spans="9:10" ht="14.25" customHeight="1" x14ac:dyDescent="0.3"/>
    <row r="60" spans="9:10" ht="14.25" customHeight="1" x14ac:dyDescent="0.3"/>
    <row r="61" spans="9:10" ht="14.25" customHeight="1" x14ac:dyDescent="0.3"/>
    <row r="62" spans="9:10" ht="14.25" customHeight="1" x14ac:dyDescent="0.3"/>
    <row r="63" spans="9:10" ht="14.25" customHeight="1" x14ac:dyDescent="0.3"/>
    <row r="64" spans="9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C39:N39"/>
    <mergeCell ref="C40:N40"/>
    <mergeCell ref="C41:N41"/>
    <mergeCell ref="B1:N1"/>
    <mergeCell ref="B10:N10"/>
    <mergeCell ref="B19:N19"/>
    <mergeCell ref="B28:N28"/>
    <mergeCell ref="B37:N3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Lighthouse Pune253</dc:creator>
  <cp:lastModifiedBy>nooreelahi786@outlook.com</cp:lastModifiedBy>
  <dcterms:created xsi:type="dcterms:W3CDTF">2026-01-26T06:07:27Z</dcterms:created>
  <dcterms:modified xsi:type="dcterms:W3CDTF">2026-08-27T14:58:03Z</dcterms:modified>
</cp:coreProperties>
</file>