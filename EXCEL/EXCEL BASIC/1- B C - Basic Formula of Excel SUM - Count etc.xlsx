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"/>
    </mc:Choice>
  </mc:AlternateContent>
  <xr:revisionPtr revIDLastSave="77" documentId="13_ncr:1_{4CE4CF51-F3E3-430B-B9DD-2C69440CF1E7}" xr6:coauthVersionLast="47" xr6:coauthVersionMax="47" xr10:uidLastSave="{B3F4B141-1257-4561-9981-13D2E425ACAF}"/>
  <bookViews>
    <workbookView xWindow="-108" yWindow="-108" windowWidth="23256" windowHeight="13896" firstSheet="5" activeTab="9" xr2:uid="{00000000-000D-0000-FFFF-FFFF00000000}"/>
  </bookViews>
  <sheets>
    <sheet name="Basic Arithmatic Calculation" sheetId="12" r:id="rId1"/>
    <sheet name="ROUNDUP" sheetId="9" r:id="rId2"/>
    <sheet name="SUM - AUTO SUM" sheetId="1" r:id="rId3"/>
    <sheet name="Average" sheetId="3" r:id="rId4"/>
    <sheet name="MIN and MAX" sheetId="4" r:id="rId5"/>
    <sheet name="Count - CountA - CountBlank" sheetId="2" r:id="rId6"/>
    <sheet name="Text Base Formulas" sheetId="6" r:id="rId7"/>
    <sheet name="LEFT MID RIGHT" sheetId="7" r:id="rId8"/>
    <sheet name="CONCATENATE" sheetId="5" r:id="rId9"/>
    <sheet name="FLASH-FILL" sheetId="13" r:id="rId10"/>
  </sheets>
  <definedNames>
    <definedName name="Basic_Arithmatics_Calculation_Formulas___Logical_Signs">#REF!</definedName>
    <definedName name="Return_to_Index">'Basic Arithmatic Calculation'!#REF!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5" l="1"/>
  <c r="F10" i="5"/>
  <c r="F9" i="5"/>
  <c r="E17" i="7"/>
  <c r="D17" i="7"/>
  <c r="C17" i="7"/>
  <c r="F9" i="6"/>
  <c r="C10" i="9"/>
  <c r="C11" i="9"/>
  <c r="C12" i="9"/>
  <c r="C13" i="9"/>
  <c r="C14" i="9"/>
  <c r="C15" i="9"/>
  <c r="K14" i="12"/>
  <c r="E10" i="6"/>
  <c r="E11" i="6"/>
  <c r="E12" i="6"/>
  <c r="E13" i="6"/>
  <c r="E14" i="6"/>
  <c r="E15" i="6"/>
  <c r="E16" i="6"/>
  <c r="E17" i="6"/>
  <c r="E18" i="6"/>
  <c r="E9" i="6"/>
  <c r="D10" i="6"/>
  <c r="D11" i="6"/>
  <c r="D12" i="6"/>
  <c r="D13" i="6"/>
  <c r="D14" i="6"/>
  <c r="D15" i="6"/>
  <c r="D16" i="6"/>
  <c r="D17" i="6"/>
  <c r="D18" i="6"/>
  <c r="D9" i="6"/>
  <c r="C10" i="6"/>
  <c r="C11" i="6"/>
  <c r="C12" i="6"/>
  <c r="C13" i="6"/>
  <c r="C14" i="6"/>
  <c r="C15" i="6"/>
  <c r="C16" i="6"/>
  <c r="C17" i="6"/>
  <c r="C18" i="6"/>
  <c r="C9" i="6"/>
  <c r="B10" i="6"/>
  <c r="B11" i="6"/>
  <c r="B12" i="6"/>
  <c r="B13" i="6"/>
  <c r="B14" i="6"/>
  <c r="B15" i="6"/>
  <c r="B16" i="6"/>
  <c r="B17" i="6"/>
  <c r="B18" i="6"/>
  <c r="B9" i="6"/>
  <c r="I19" i="2"/>
  <c r="F19" i="2"/>
  <c r="C19" i="2"/>
  <c r="J19" i="4"/>
  <c r="C19" i="4"/>
  <c r="K17" i="3"/>
  <c r="H19" i="3"/>
  <c r="H17" i="3"/>
  <c r="D17" i="3"/>
  <c r="G28" i="1"/>
  <c r="E28" i="1"/>
  <c r="G10" i="1"/>
  <c r="G11" i="1"/>
  <c r="G12" i="1"/>
  <c r="G13" i="1"/>
  <c r="G14" i="1"/>
  <c r="F14" i="1"/>
  <c r="E14" i="1"/>
  <c r="D14" i="1"/>
  <c r="C14" i="1"/>
  <c r="C9" i="9"/>
  <c r="I14" i="12"/>
  <c r="G14" i="12"/>
  <c r="E14" i="12"/>
  <c r="C14" i="12"/>
  <c r="M15" i="12"/>
  <c r="M14" i="12"/>
</calcChain>
</file>

<file path=xl/sharedStrings.xml><?xml version="1.0" encoding="utf-8"?>
<sst xmlns="http://schemas.openxmlformats.org/spreadsheetml/2006/main" count="288" uniqueCount="250">
  <si>
    <t>Sales</t>
  </si>
  <si>
    <t>Qtr -1</t>
  </si>
  <si>
    <t>Qtr -2</t>
  </si>
  <si>
    <t>Qtr -3</t>
  </si>
  <si>
    <t>Qtr -4</t>
  </si>
  <si>
    <t>EAST</t>
  </si>
  <si>
    <t>TOTAL</t>
  </si>
  <si>
    <t>Year 2022</t>
  </si>
  <si>
    <t>What is a differrence between Count CountA CountBlank ?</t>
  </si>
  <si>
    <t>Count</t>
  </si>
  <si>
    <t>CountA</t>
  </si>
  <si>
    <t>CountBlank</t>
  </si>
  <si>
    <t>NA</t>
  </si>
  <si>
    <t>Ref</t>
  </si>
  <si>
    <t>Error</t>
  </si>
  <si>
    <t>#Ref</t>
  </si>
  <si>
    <t>Average</t>
  </si>
  <si>
    <t>Average Sale Amount</t>
  </si>
  <si>
    <t>Sr No</t>
  </si>
  <si>
    <t>Sum</t>
  </si>
  <si>
    <t>Ajay</t>
  </si>
  <si>
    <t>Vinay</t>
  </si>
  <si>
    <t>Sohrab</t>
  </si>
  <si>
    <t>Vijay</t>
  </si>
  <si>
    <t>Ashish</t>
  </si>
  <si>
    <t>Anil</t>
  </si>
  <si>
    <t>Prem</t>
  </si>
  <si>
    <t>Mahesh</t>
  </si>
  <si>
    <t>Manoj</t>
  </si>
  <si>
    <t>Name</t>
  </si>
  <si>
    <t>Sales Amount</t>
  </si>
  <si>
    <t>Sale Qty</t>
  </si>
  <si>
    <t>1. SUM</t>
  </si>
  <si>
    <t>The SUM() formula performs addition on selected cells. It works on cells containing numerical values and requires two or more cells. </t>
  </si>
  <si>
    <t>The MIN() formula requires a range of cells, and it returns the minimum value.</t>
  </si>
  <si>
    <t>The MAX() formula is the opposite of MIN(). It will return the maximum value from the selected range of cells.</t>
  </si>
  <si>
    <t>MIN()</t>
  </si>
  <si>
    <t>MAX()</t>
  </si>
  <si>
    <t>Sales Quantity</t>
  </si>
  <si>
    <t>The AVERAGE() formula calculates the average of selected cells.</t>
  </si>
  <si>
    <r>
      <rPr>
        <b/>
        <sz val="13.5"/>
        <color theme="1"/>
        <rFont val="Calibri"/>
        <family val="2"/>
        <scheme val="minor"/>
      </rPr>
      <t>Count():</t>
    </r>
    <r>
      <rPr>
        <sz val="13.5"/>
        <color theme="1"/>
        <rFont val="Calibri"/>
        <family val="2"/>
        <scheme val="minor"/>
      </rPr>
      <t xml:space="preserve"> The COUNT() formula counts the total number of selected cells. It will not count the blank cells and different data formats other than numeric. </t>
    </r>
  </si>
  <si>
    <r>
      <rPr>
        <b/>
        <sz val="13.5"/>
        <color theme="1"/>
        <rFont val="Calibri"/>
        <family val="2"/>
        <scheme val="minor"/>
      </rPr>
      <t>CountA():</t>
    </r>
    <r>
      <rPr>
        <sz val="13.5"/>
        <color theme="1"/>
        <rFont val="Calibri"/>
        <family val="2"/>
        <scheme val="minor"/>
      </rPr>
      <t xml:space="preserve"> It Counts the number of cells which has any form of content</t>
    </r>
  </si>
  <si>
    <r>
      <rPr>
        <b/>
        <sz val="13.5"/>
        <color theme="1"/>
        <rFont val="Calibri"/>
        <family val="2"/>
        <scheme val="minor"/>
      </rPr>
      <t>CountBlank():</t>
    </r>
    <r>
      <rPr>
        <sz val="13.5"/>
        <color theme="1"/>
        <rFont val="Calibri"/>
        <family val="2"/>
        <scheme val="minor"/>
      </rPr>
      <t xml:space="preserve"> It counts number of blank cell only</t>
    </r>
  </si>
  <si>
    <t>Concatenate Formula</t>
  </si>
  <si>
    <t>Ms</t>
  </si>
  <si>
    <t>Komal</t>
  </si>
  <si>
    <t>Jayshing</t>
  </si>
  <si>
    <t>Chandanshive</t>
  </si>
  <si>
    <t>Ashwini</t>
  </si>
  <si>
    <t xml:space="preserve">Bhagwan </t>
  </si>
  <si>
    <t>Kure</t>
  </si>
  <si>
    <t>Mr</t>
  </si>
  <si>
    <t>Rashid</t>
  </si>
  <si>
    <t>Rafiq</t>
  </si>
  <si>
    <t>Shaikh</t>
  </si>
  <si>
    <t xml:space="preserve">Yuraj </t>
  </si>
  <si>
    <t>Santosh</t>
  </si>
  <si>
    <t>Lohokare</t>
  </si>
  <si>
    <r>
      <t xml:space="preserve">The CONCATENATE function </t>
    </r>
    <r>
      <rPr>
        <b/>
        <sz val="11"/>
        <color theme="1"/>
        <rFont val="Calibri"/>
        <family val="2"/>
        <scheme val="minor"/>
      </rPr>
      <t>allows you to combine text from different cells into one cell</t>
    </r>
    <r>
      <rPr>
        <sz val="11"/>
        <color theme="1"/>
        <rFont val="Calibri"/>
        <family val="2"/>
        <scheme val="minor"/>
      </rPr>
      <t>.</t>
    </r>
  </si>
  <si>
    <t>Example -2</t>
  </si>
  <si>
    <t>Age</t>
  </si>
  <si>
    <t>Weight</t>
  </si>
  <si>
    <t>Gender</t>
  </si>
  <si>
    <t>Sport</t>
  </si>
  <si>
    <t xml:space="preserve">Ms Komal Jayshing Chandanshive </t>
  </si>
  <si>
    <t>M</t>
  </si>
  <si>
    <t>Table Tennis</t>
  </si>
  <si>
    <t>Age / Gender</t>
  </si>
  <si>
    <t>Makes everything uppercase</t>
  </si>
  <si>
    <t>Makes everything lowercase</t>
  </si>
  <si>
    <t>Capitalize first letter of each word</t>
  </si>
  <si>
    <t>Removes all extra spaces</t>
  </si>
  <si>
    <t>The Perfect Answer</t>
  </si>
  <si>
    <t>Employee Names</t>
  </si>
  <si>
    <t>UPPER</t>
  </si>
  <si>
    <t>LOWER</t>
  </si>
  <si>
    <t>PROPER</t>
  </si>
  <si>
    <t>TRIM</t>
  </si>
  <si>
    <t>PROPER + TRIM</t>
  </si>
  <si>
    <t>raHul sHah</t>
  </si>
  <si>
    <t>Payal MEHta</t>
  </si>
  <si>
    <t>Neha mishra</t>
  </si>
  <si>
    <t>kanci NagoRI</t>
  </si>
  <si>
    <t>RahUl shAh</t>
  </si>
  <si>
    <t>PaYal mehta</t>
  </si>
  <si>
    <t>RitA Mishra</t>
  </si>
  <si>
    <t>neha mishra</t>
  </si>
  <si>
    <t>kanci                        NagoRI</t>
  </si>
  <si>
    <t>Tanvi                         Sharma</t>
  </si>
  <si>
    <t>LEFT(),</t>
  </si>
  <si>
    <t>The LEFT returns the number of characters from the start of the string or text. </t>
  </si>
  <si>
    <t>First Name</t>
  </si>
  <si>
    <t>Mid Name</t>
  </si>
  <si>
    <t>The MID formula requires starting position and length to extract the characters from the middle. </t>
  </si>
  <si>
    <t>MID()</t>
  </si>
  <si>
    <t>LEFT(), MID(), and  RIGHT()</t>
  </si>
  <si>
    <t>RIGHT()</t>
  </si>
  <si>
    <t>The RIGHT will return the number of characters from the end. You just need to provide a number of characters. </t>
  </si>
  <si>
    <t>Last Name</t>
  </si>
  <si>
    <t>Arthur Adam Gainer</t>
  </si>
  <si>
    <t xml:space="preserve">The round-off formula in Excel for roundup will help the user round off the decimal value to the nearest higher whole number. </t>
  </si>
  <si>
    <t>Round-off Formula in Excel - Round Up</t>
  </si>
  <si>
    <t>For example, 2.8930 will be rounded up to the nearest highest value as 2.9.</t>
  </si>
  <si>
    <t>Example Number</t>
  </si>
  <si>
    <t>ROUNDUP()</t>
  </si>
  <si>
    <t>Substraction</t>
  </si>
  <si>
    <t>Multiplication</t>
  </si>
  <si>
    <t>Division</t>
  </si>
  <si>
    <t>Logical Signs</t>
  </si>
  <si>
    <t>Calculate Total by using (Auto Sum - SUM)</t>
  </si>
  <si>
    <t>Auto Sum</t>
  </si>
  <si>
    <t>SUM</t>
  </si>
  <si>
    <t>Cash</t>
  </si>
  <si>
    <t>Accounts Receivable</t>
  </si>
  <si>
    <t>Furniture and Fixtures</t>
  </si>
  <si>
    <t>Computer Equipment</t>
  </si>
  <si>
    <t>Machinery</t>
  </si>
  <si>
    <t>Automobiles</t>
  </si>
  <si>
    <t>Basic Arithmatic Calculation in Excel</t>
  </si>
  <si>
    <t>Addition</t>
  </si>
  <si>
    <t>Percentage</t>
  </si>
  <si>
    <t>+</t>
  </si>
  <si>
    <t>-</t>
  </si>
  <si>
    <t>*</t>
  </si>
  <si>
    <t>/</t>
  </si>
  <si>
    <t>%</t>
  </si>
  <si>
    <t>&gt;</t>
  </si>
  <si>
    <t>&lt;</t>
  </si>
  <si>
    <t>&gt;=</t>
  </si>
  <si>
    <t>&lt;=</t>
  </si>
  <si>
    <t>&lt;&gt;</t>
  </si>
  <si>
    <t>Exercise 1</t>
  </si>
  <si>
    <t>Text Based Formulas</t>
  </si>
  <si>
    <t>Exercise 2</t>
  </si>
  <si>
    <t>Exercise 3</t>
  </si>
  <si>
    <t>Exercise 4</t>
  </si>
  <si>
    <t xml:space="preserve"> AVERAGE</t>
  </si>
  <si>
    <t>Exercise 5</t>
  </si>
  <si>
    <t>Exercise 6</t>
  </si>
  <si>
    <t>MIN() and MAX()</t>
  </si>
  <si>
    <t>Exercise 7</t>
  </si>
  <si>
    <t>CONCATENATE()</t>
  </si>
  <si>
    <t>Exercise 8</t>
  </si>
  <si>
    <t>Na</t>
  </si>
  <si>
    <t>Ms Komal Jayshing Chandanshive</t>
  </si>
  <si>
    <t>Ms Ashwini Bhagwan  Kure</t>
  </si>
  <si>
    <t>Mr Rashid Rafiq Shaikh</t>
  </si>
  <si>
    <t>Mr Yuraj  Santosh Lohokare</t>
  </si>
  <si>
    <t>Exercise 9</t>
  </si>
  <si>
    <t>Rita ShaH</t>
  </si>
  <si>
    <t>tanVi Sharma</t>
  </si>
  <si>
    <t>Prepaired By : Inayat Isane - OE Trainer</t>
  </si>
  <si>
    <t>Prepared By : Inayat Isane - OE Trainer</t>
  </si>
  <si>
    <t>From OE LCF Assignment</t>
  </si>
  <si>
    <t>Space in Name</t>
  </si>
  <si>
    <t>Ans:</t>
  </si>
  <si>
    <t>PrinsikaMane</t>
  </si>
  <si>
    <t>PrinsikaManeKale</t>
  </si>
  <si>
    <t>VidyaJadhav</t>
  </si>
  <si>
    <t>VidyaJadhavKale</t>
  </si>
  <si>
    <t>VrushaliDeshmukh</t>
  </si>
  <si>
    <t>VrushaliDeshmukhKale</t>
  </si>
  <si>
    <t>PratikMane</t>
  </si>
  <si>
    <t>PratikManeKale</t>
  </si>
  <si>
    <t>PankajDatta</t>
  </si>
  <si>
    <t>PankajDattaSule</t>
  </si>
  <si>
    <t>RutujaVikas</t>
  </si>
  <si>
    <t>RutujaVikasKhatate</t>
  </si>
  <si>
    <t>ManasiAshok</t>
  </si>
  <si>
    <t>ManasiAshokRaut</t>
  </si>
  <si>
    <t>Archanabandu</t>
  </si>
  <si>
    <t>Archana BanduBhise</t>
  </si>
  <si>
    <t>RutujaManohar</t>
  </si>
  <si>
    <t>RutujaManoharJavalkar</t>
  </si>
  <si>
    <t>NehaDattatray</t>
  </si>
  <si>
    <t>NehaDattatrayMemane</t>
  </si>
  <si>
    <t>PaurnimaVikas</t>
  </si>
  <si>
    <t>PaurnimaVikasShinde</t>
  </si>
  <si>
    <t>NikitaVilas</t>
  </si>
  <si>
    <t>NikitaVilasKamthe</t>
  </si>
  <si>
    <t>SohanAnkush</t>
  </si>
  <si>
    <t>SohanAnkushPawar</t>
  </si>
  <si>
    <t>RenukaAnil</t>
  </si>
  <si>
    <t>RenukaAnilKalaskar</t>
  </si>
  <si>
    <t>AkankshaMahendra</t>
  </si>
  <si>
    <t>AkankshaMahendraKalaskar</t>
  </si>
  <si>
    <t>VaishnaviUttam</t>
  </si>
  <si>
    <t>VaishnaviUttamJavalkar</t>
  </si>
  <si>
    <t>RutujaSuresh</t>
  </si>
  <si>
    <t>RutujaSureshHonrao</t>
  </si>
  <si>
    <t>DaminiRamesh</t>
  </si>
  <si>
    <t>Damini RameshBhumare</t>
  </si>
  <si>
    <t>ShrutiGanesh</t>
  </si>
  <si>
    <t>ShrutiGaneshDeshmukhe</t>
  </si>
  <si>
    <t>KetanRamchandra</t>
  </si>
  <si>
    <t>KetanRamchandraPingale</t>
  </si>
  <si>
    <t>KiranJivan</t>
  </si>
  <si>
    <t>KiranJivanKhatavkar</t>
  </si>
  <si>
    <t>DeepaliKiran</t>
  </si>
  <si>
    <t>DeepaliKiranWagh</t>
  </si>
  <si>
    <t>JyotiDivakar</t>
  </si>
  <si>
    <t>JyotiDivakarPathak</t>
  </si>
  <si>
    <t>Advance Version</t>
  </si>
  <si>
    <t>Comparision Operators</t>
  </si>
  <si>
    <t>Prinsika Mane</t>
  </si>
  <si>
    <t>Vidya Jadhav</t>
  </si>
  <si>
    <t>Vrushali Deshmukh</t>
  </si>
  <si>
    <t>Pratik Mane</t>
  </si>
  <si>
    <t>Pankaj Datta</t>
  </si>
  <si>
    <t>Rutuja Vikas</t>
  </si>
  <si>
    <t>Manasi Ashok</t>
  </si>
  <si>
    <t>Archanabandu Archanabandu</t>
  </si>
  <si>
    <t>Rutuja Manohar</t>
  </si>
  <si>
    <t>Neha Dattatray</t>
  </si>
  <si>
    <t>Paurnima Vikas</t>
  </si>
  <si>
    <t>Nikita Vilas</t>
  </si>
  <si>
    <t>Sohan Ankush</t>
  </si>
  <si>
    <t>Renuka Anil</t>
  </si>
  <si>
    <t>Akanksha Mahendra</t>
  </si>
  <si>
    <t>Vaishnavi Uttam</t>
  </si>
  <si>
    <t>Rutuja Suresh</t>
  </si>
  <si>
    <t>Damini Ramesh</t>
  </si>
  <si>
    <t>Shruti Ganesh</t>
  </si>
  <si>
    <t>Ketan Ramchandra</t>
  </si>
  <si>
    <t>Kiran Jivan</t>
  </si>
  <si>
    <t>Deepali Kiran</t>
  </si>
  <si>
    <t>Jyoti Divakar</t>
  </si>
  <si>
    <t>Prinsika Mane Kale</t>
  </si>
  <si>
    <t>Vidya Jadhav Kale</t>
  </si>
  <si>
    <t>Vrushali Deshmukh Kale</t>
  </si>
  <si>
    <t>Pratik Mane Kale</t>
  </si>
  <si>
    <t>Pankaj Datta Sule</t>
  </si>
  <si>
    <t>Rutuja Vikas Khatate</t>
  </si>
  <si>
    <t>Manasi Ashok Raut</t>
  </si>
  <si>
    <t>Archanabandu Archanabandu Bhise</t>
  </si>
  <si>
    <t>Rutuja Manohar Javalkar</t>
  </si>
  <si>
    <t>Neha Dattatray Memane</t>
  </si>
  <si>
    <t>Paurnima Vikas Shinde</t>
  </si>
  <si>
    <t>Nikita Vilas Kamthe</t>
  </si>
  <si>
    <t>Sohan Ankush Pawar</t>
  </si>
  <si>
    <t>Renuka Anil Kalaskar</t>
  </si>
  <si>
    <t>Akanksha Mahendra Kalaskar</t>
  </si>
  <si>
    <t>Vaishnavi Uttam Javalkar</t>
  </si>
  <si>
    <t>Rutuja Suresh Honrao</t>
  </si>
  <si>
    <t>Damini Ramesh Bhumare</t>
  </si>
  <si>
    <t>Shruti Ganesh Deshmukhe</t>
  </si>
  <si>
    <t>Ketan Ramchandra Pingale</t>
  </si>
  <si>
    <t>Kiran Jivan Khatavkar</t>
  </si>
  <si>
    <t>Deepali Kiran Wagh</t>
  </si>
  <si>
    <t>Jyoti Divakar Pathak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</si>
</sst>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3.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8"/>
      <color rgb="FF3F3F3F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6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2F2F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0" fontId="11" fillId="14" borderId="7" applyNumberFormat="0" applyAlignment="0" applyProtection="0"/>
    <xf numFmtId="0" fontId="15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0" fillId="2" borderId="2" xfId="0" applyFill="1" applyBorder="1"/>
    <xf numFmtId="0" fontId="0" fillId="0" borderId="0" xfId="0" applyAlignment="1">
      <alignment horizontal="center"/>
    </xf>
    <xf numFmtId="0" fontId="0" fillId="0" borderId="2" xfId="0" applyBorder="1"/>
    <xf numFmtId="0" fontId="1" fillId="3" borderId="2" xfId="0" applyFont="1" applyFill="1" applyBorder="1"/>
    <xf numFmtId="0" fontId="1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3" xfId="0" applyBorder="1"/>
    <xf numFmtId="0" fontId="5" fillId="4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 applyAlignment="1">
      <alignment vertical="center"/>
    </xf>
    <xf numFmtId="0" fontId="0" fillId="0" borderId="3" xfId="0" applyBorder="1" applyAlignment="1">
      <alignment horizontal="center"/>
    </xf>
    <xf numFmtId="0" fontId="8" fillId="0" borderId="0" xfId="0" applyFont="1"/>
    <xf numFmtId="0" fontId="2" fillId="5" borderId="6" xfId="0" applyFont="1" applyFill="1" applyBorder="1"/>
    <xf numFmtId="0" fontId="2" fillId="6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5" xfId="0" applyFont="1" applyBorder="1"/>
    <xf numFmtId="0" fontId="7" fillId="0" borderId="0" xfId="0" applyFont="1"/>
    <xf numFmtId="0" fontId="9" fillId="0" borderId="0" xfId="0" applyFont="1" applyAlignment="1">
      <alignment wrapText="1"/>
    </xf>
    <xf numFmtId="0" fontId="0" fillId="0" borderId="0" xfId="0" applyAlignment="1">
      <alignment wrapText="1"/>
    </xf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12" borderId="1" xfId="0" applyFont="1" applyFill="1" applyBorder="1" applyAlignment="1">
      <alignment wrapText="1"/>
    </xf>
    <xf numFmtId="0" fontId="0" fillId="13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7" fillId="0" borderId="1" xfId="0" applyFont="1" applyBorder="1"/>
    <xf numFmtId="0" fontId="7" fillId="0" borderId="4" xfId="0" applyFont="1" applyBorder="1"/>
    <xf numFmtId="0" fontId="7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7" fillId="0" borderId="1" xfId="0" applyFont="1" applyBorder="1" applyAlignment="1">
      <alignment horizontal="center"/>
    </xf>
    <xf numFmtId="0" fontId="13" fillId="0" borderId="0" xfId="0" applyFont="1"/>
    <xf numFmtId="3" fontId="0" fillId="0" borderId="0" xfId="0" applyNumberFormat="1"/>
    <xf numFmtId="3" fontId="0" fillId="0" borderId="6" xfId="0" applyNumberFormat="1" applyBorder="1"/>
    <xf numFmtId="0" fontId="0" fillId="0" borderId="0" xfId="0" applyAlignment="1">
      <alignment horizontal="left" indent="1"/>
    </xf>
    <xf numFmtId="3" fontId="11" fillId="14" borderId="7" xfId="2" applyNumberFormat="1"/>
    <xf numFmtId="0" fontId="16" fillId="0" borderId="0" xfId="0" applyFont="1"/>
    <xf numFmtId="0" fontId="12" fillId="0" borderId="8" xfId="0" applyFont="1" applyBorder="1"/>
    <xf numFmtId="0" fontId="12" fillId="0" borderId="0" xfId="0" applyFont="1"/>
    <xf numFmtId="0" fontId="16" fillId="0" borderId="0" xfId="0" applyFont="1" applyAlignment="1">
      <alignment horizontal="center"/>
    </xf>
    <xf numFmtId="3" fontId="16" fillId="0" borderId="0" xfId="0" applyNumberFormat="1" applyFont="1"/>
    <xf numFmtId="0" fontId="16" fillId="0" borderId="0" xfId="0" applyFont="1" applyAlignment="1">
      <alignment horizontal="left" indent="1"/>
    </xf>
    <xf numFmtId="3" fontId="18" fillId="14" borderId="7" xfId="2" applyNumberFormat="1" applyFont="1"/>
    <xf numFmtId="1" fontId="16" fillId="0" borderId="0" xfId="0" applyNumberFormat="1" applyFont="1"/>
    <xf numFmtId="0" fontId="17" fillId="15" borderId="0" xfId="0" applyFont="1" applyFill="1" applyAlignment="1">
      <alignment horizontal="center"/>
    </xf>
    <xf numFmtId="0" fontId="14" fillId="15" borderId="0" xfId="0" applyFont="1" applyFill="1" applyAlignment="1">
      <alignment horizontal="center"/>
    </xf>
    <xf numFmtId="0" fontId="6" fillId="15" borderId="1" xfId="0" applyFont="1" applyFill="1" applyBorder="1"/>
    <xf numFmtId="1" fontId="6" fillId="15" borderId="1" xfId="0" applyNumberFormat="1" applyFont="1" applyFill="1" applyBorder="1" applyAlignment="1">
      <alignment horizontal="left" indent="8"/>
    </xf>
    <xf numFmtId="0" fontId="6" fillId="15" borderId="0" xfId="0" applyFont="1" applyFill="1"/>
    <xf numFmtId="1" fontId="6" fillId="15" borderId="1" xfId="0" applyNumberFormat="1" applyFont="1" applyFill="1" applyBorder="1" applyAlignment="1">
      <alignment horizontal="center"/>
    </xf>
    <xf numFmtId="0" fontId="19" fillId="0" borderId="0" xfId="3" applyFont="1"/>
    <xf numFmtId="0" fontId="12" fillId="0" borderId="0" xfId="0" applyFont="1" applyAlignment="1">
      <alignment horizontal="left"/>
    </xf>
    <xf numFmtId="0" fontId="1" fillId="16" borderId="0" xfId="0" applyFont="1" applyFill="1"/>
    <xf numFmtId="0" fontId="20" fillId="17" borderId="0" xfId="0" applyFont="1" applyFill="1"/>
    <xf numFmtId="0" fontId="20" fillId="18" borderId="0" xfId="0" applyFont="1" applyFill="1"/>
    <xf numFmtId="0" fontId="21" fillId="0" borderId="9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0" fillId="0" borderId="11" xfId="0" applyFont="1" applyBorder="1"/>
    <xf numFmtId="0" fontId="21" fillId="0" borderId="12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0" fillId="0" borderId="14" xfId="0" applyFont="1" applyBorder="1"/>
    <xf numFmtId="0" fontId="22" fillId="0" borderId="0" xfId="0" applyFont="1"/>
    <xf numFmtId="9" fontId="18" fillId="14" borderId="1" xfId="1" applyFont="1" applyFill="1" applyBorder="1"/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6" fillId="15" borderId="5" xfId="0" applyFont="1" applyFill="1" applyBorder="1" applyAlignment="1">
      <alignment horizontal="center"/>
    </xf>
    <xf numFmtId="0" fontId="6" fillId="15" borderId="4" xfId="0" applyFont="1" applyFill="1" applyBorder="1" applyAlignment="1">
      <alignment horizontal="center"/>
    </xf>
    <xf numFmtId="0" fontId="6" fillId="15" borderId="0" xfId="0" applyFont="1" applyFill="1" applyAlignment="1">
      <alignment horizontal="center"/>
    </xf>
  </cellXfs>
  <cellStyles count="4">
    <cellStyle name="Hyperlink" xfId="3" builtinId="8"/>
    <cellStyle name="Normal" xfId="0" builtinId="0"/>
    <cellStyle name="Output" xfId="2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048576"/>
  <sheetViews>
    <sheetView showGridLines="0" workbookViewId="0">
      <selection activeCell="L15" sqref="L15"/>
    </sheetView>
  </sheetViews>
  <sheetFormatPr defaultColWidth="9.109375" defaultRowHeight="23.4" x14ac:dyDescent="0.45"/>
  <cols>
    <col min="1" max="1" width="9.109375" style="45"/>
    <col min="2" max="2" width="13.109375" style="45" customWidth="1"/>
    <col min="3" max="3" width="16.77734375" style="45" bestFit="1" customWidth="1"/>
    <col min="4" max="4" width="9.109375" style="45"/>
    <col min="5" max="5" width="14.77734375" style="45" bestFit="1" customWidth="1"/>
    <col min="6" max="6" width="9.109375" style="45"/>
    <col min="7" max="7" width="14.77734375" style="45" bestFit="1" customWidth="1"/>
    <col min="8" max="8" width="9.109375" style="45"/>
    <col min="9" max="9" width="14.77734375" style="45" bestFit="1" customWidth="1"/>
    <col min="10" max="10" width="9.109375" style="45"/>
    <col min="11" max="11" width="15.109375" style="45" bestFit="1" customWidth="1"/>
    <col min="12" max="12" width="9.109375" style="45"/>
    <col min="13" max="13" width="15.6640625" style="45" customWidth="1"/>
    <col min="14" max="16384" width="9.109375" style="45"/>
  </cols>
  <sheetData>
    <row r="2" spans="1:17" x14ac:dyDescent="0.45">
      <c r="A2" s="73" t="s">
        <v>131</v>
      </c>
      <c r="B2" s="73"/>
    </row>
    <row r="5" spans="1:17" x14ac:dyDescent="0.45">
      <c r="A5" s="47" t="s">
        <v>118</v>
      </c>
    </row>
    <row r="6" spans="1:17" x14ac:dyDescent="0.45">
      <c r="A6" s="47"/>
      <c r="O6" s="45" t="s">
        <v>203</v>
      </c>
    </row>
    <row r="7" spans="1:17" x14ac:dyDescent="0.45">
      <c r="C7" s="48" t="s">
        <v>119</v>
      </c>
      <c r="D7" s="48"/>
      <c r="E7" s="48" t="s">
        <v>105</v>
      </c>
      <c r="F7" s="48"/>
      <c r="G7" s="48" t="s">
        <v>106</v>
      </c>
      <c r="H7" s="48"/>
      <c r="I7" s="48" t="s">
        <v>107</v>
      </c>
      <c r="J7" s="48"/>
      <c r="K7" s="48" t="s">
        <v>120</v>
      </c>
      <c r="L7" s="48"/>
      <c r="M7" s="48" t="s">
        <v>16</v>
      </c>
      <c r="N7" s="48"/>
      <c r="O7" s="72" t="s">
        <v>108</v>
      </c>
      <c r="P7" s="72"/>
      <c r="Q7" s="72"/>
    </row>
    <row r="8" spans="1:17" x14ac:dyDescent="0.45">
      <c r="M8" s="45">
        <v>750</v>
      </c>
    </row>
    <row r="9" spans="1:17" x14ac:dyDescent="0.45">
      <c r="C9" s="53" t="s">
        <v>121</v>
      </c>
      <c r="E9" s="53" t="s">
        <v>122</v>
      </c>
      <c r="G9" s="53" t="s">
        <v>123</v>
      </c>
      <c r="I9" s="53" t="s">
        <v>124</v>
      </c>
      <c r="K9" s="53" t="s">
        <v>125</v>
      </c>
      <c r="M9" s="45">
        <v>650</v>
      </c>
      <c r="O9" s="53" t="s">
        <v>126</v>
      </c>
      <c r="Q9" s="53" t="s">
        <v>127</v>
      </c>
    </row>
    <row r="10" spans="1:17" x14ac:dyDescent="0.45">
      <c r="M10" s="45">
        <v>275</v>
      </c>
    </row>
    <row r="11" spans="1:17" x14ac:dyDescent="0.45">
      <c r="C11" s="49">
        <v>20</v>
      </c>
      <c r="E11" s="49">
        <v>80</v>
      </c>
      <c r="G11" s="49">
        <v>20</v>
      </c>
      <c r="I11" s="49">
        <v>20</v>
      </c>
      <c r="K11" s="49">
        <v>500</v>
      </c>
      <c r="M11" s="45">
        <v>325</v>
      </c>
      <c r="O11" s="53" t="s">
        <v>128</v>
      </c>
      <c r="Q11" s="53" t="s">
        <v>129</v>
      </c>
    </row>
    <row r="12" spans="1:17" x14ac:dyDescent="0.45">
      <c r="C12" s="49">
        <v>20</v>
      </c>
      <c r="E12" s="49">
        <v>49</v>
      </c>
      <c r="G12" s="49">
        <v>2</v>
      </c>
      <c r="I12" s="49">
        <v>2</v>
      </c>
      <c r="K12" s="49">
        <v>350</v>
      </c>
      <c r="M12" s="45">
        <v>500</v>
      </c>
    </row>
    <row r="13" spans="1:17" x14ac:dyDescent="0.45">
      <c r="C13" s="49"/>
      <c r="E13" s="49"/>
      <c r="G13" s="49"/>
      <c r="I13" s="49"/>
      <c r="K13" s="49"/>
      <c r="M13" s="45">
        <v>175</v>
      </c>
      <c r="P13" s="53" t="s">
        <v>130</v>
      </c>
    </row>
    <row r="14" spans="1:17" x14ac:dyDescent="0.45">
      <c r="B14" s="50" t="s">
        <v>6</v>
      </c>
      <c r="C14" s="51">
        <f>C11+C12</f>
        <v>40</v>
      </c>
      <c r="E14" s="51">
        <f>E11+E12</f>
        <v>129</v>
      </c>
      <c r="G14" s="51">
        <f>G11*G12</f>
        <v>40</v>
      </c>
      <c r="I14" s="51">
        <f>I11/I12</f>
        <v>10</v>
      </c>
      <c r="K14" s="71">
        <f>K12/K11</f>
        <v>0.7</v>
      </c>
      <c r="M14" s="51">
        <f>SUM(M8:M13)</f>
        <v>2675</v>
      </c>
    </row>
    <row r="15" spans="1:17" x14ac:dyDescent="0.45">
      <c r="M15" s="52">
        <f>M14/6</f>
        <v>445.83333333333331</v>
      </c>
    </row>
    <row r="16" spans="1:17" x14ac:dyDescent="0.45">
      <c r="M16" s="52"/>
    </row>
    <row r="1048576" spans="8:8" x14ac:dyDescent="0.45">
      <c r="H1048576" s="45" t="s">
        <v>151</v>
      </c>
    </row>
  </sheetData>
  <mergeCells count="2">
    <mergeCell ref="O7:Q7"/>
    <mergeCell ref="A2:B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048576"/>
  <sheetViews>
    <sheetView showGridLines="0" zoomScaleNormal="100" workbookViewId="0">
      <selection activeCell="F16" sqref="F16"/>
    </sheetView>
  </sheetViews>
  <sheetFormatPr defaultRowHeight="14.4" x14ac:dyDescent="0.3"/>
  <cols>
    <col min="2" max="2" width="22.77734375" customWidth="1"/>
    <col min="3" max="3" width="14.77734375" customWidth="1"/>
  </cols>
  <sheetData>
    <row r="2" spans="1:3" ht="24" thickBot="1" x14ac:dyDescent="0.5">
      <c r="A2" s="46" t="s">
        <v>133</v>
      </c>
    </row>
    <row r="3" spans="1:3" ht="23.4" x14ac:dyDescent="0.45">
      <c r="A3" s="47"/>
    </row>
    <row r="4" spans="1:3" ht="23.4" x14ac:dyDescent="0.3">
      <c r="B4" s="38" t="s">
        <v>101</v>
      </c>
    </row>
    <row r="5" spans="1:3" x14ac:dyDescent="0.3">
      <c r="B5" t="s">
        <v>100</v>
      </c>
    </row>
    <row r="6" spans="1:3" x14ac:dyDescent="0.3">
      <c r="B6" t="s">
        <v>102</v>
      </c>
    </row>
    <row r="8" spans="1:3" ht="18" x14ac:dyDescent="0.35">
      <c r="B8" s="39" t="s">
        <v>103</v>
      </c>
      <c r="C8" s="39" t="s">
        <v>104</v>
      </c>
    </row>
    <row r="9" spans="1:3" x14ac:dyDescent="0.3">
      <c r="B9" s="14">
        <v>96.879300000000001</v>
      </c>
      <c r="C9" s="14">
        <f>ROUNDUP(B9,2)</f>
        <v>96.88000000000001</v>
      </c>
    </row>
    <row r="10" spans="1:3" x14ac:dyDescent="0.3">
      <c r="B10" s="14">
        <v>97.879300000000001</v>
      </c>
      <c r="C10" s="14">
        <f t="shared" ref="C10:C15" si="0">ROUNDUP(B10,2)</f>
        <v>97.88000000000001</v>
      </c>
    </row>
    <row r="11" spans="1:3" x14ac:dyDescent="0.3">
      <c r="B11" s="14">
        <v>98.879300000000001</v>
      </c>
      <c r="C11" s="14">
        <f t="shared" si="0"/>
        <v>98.88000000000001</v>
      </c>
    </row>
    <row r="12" spans="1:3" x14ac:dyDescent="0.3">
      <c r="B12" s="14">
        <v>99.879300000000001</v>
      </c>
      <c r="C12" s="14">
        <f t="shared" si="0"/>
        <v>99.88000000000001</v>
      </c>
    </row>
    <row r="13" spans="1:3" x14ac:dyDescent="0.3">
      <c r="B13" s="14">
        <v>100.8793</v>
      </c>
      <c r="C13" s="14">
        <f t="shared" si="0"/>
        <v>100.88000000000001</v>
      </c>
    </row>
    <row r="14" spans="1:3" x14ac:dyDescent="0.3">
      <c r="B14" s="14">
        <v>101.8793</v>
      </c>
      <c r="C14" s="14">
        <f t="shared" si="0"/>
        <v>101.88000000000001</v>
      </c>
    </row>
    <row r="15" spans="1:3" x14ac:dyDescent="0.3">
      <c r="B15" s="14">
        <v>102.8793</v>
      </c>
      <c r="C15" s="14">
        <f t="shared" si="0"/>
        <v>102.88000000000001</v>
      </c>
    </row>
    <row r="1048576" spans="1:1" ht="23.4" x14ac:dyDescent="0.45">
      <c r="A1048576" s="45" t="s">
        <v>151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1048576"/>
  <sheetViews>
    <sheetView showGridLines="0" topLeftCell="A7" zoomScaleNormal="100" workbookViewId="0">
      <selection activeCell="E28" sqref="E28"/>
    </sheetView>
  </sheetViews>
  <sheetFormatPr defaultRowHeight="14.4" x14ac:dyDescent="0.3"/>
  <cols>
    <col min="2" max="2" width="14.77734375" customWidth="1"/>
    <col min="5" max="5" width="9.109375" bestFit="1" customWidth="1"/>
    <col min="7" max="7" width="9.109375" bestFit="1" customWidth="1"/>
  </cols>
  <sheetData>
    <row r="2" spans="1:7" ht="24" thickBot="1" x14ac:dyDescent="0.5">
      <c r="A2" s="46" t="s">
        <v>134</v>
      </c>
    </row>
    <row r="3" spans="1:7" ht="23.4" x14ac:dyDescent="0.45">
      <c r="A3" s="47"/>
    </row>
    <row r="4" spans="1:7" ht="18" x14ac:dyDescent="0.3">
      <c r="B4" s="15" t="s">
        <v>32</v>
      </c>
    </row>
    <row r="5" spans="1:7" x14ac:dyDescent="0.3">
      <c r="B5" t="s">
        <v>33</v>
      </c>
    </row>
    <row r="9" spans="1:7" ht="22.05" customHeight="1" x14ac:dyDescent="0.3">
      <c r="B9" s="1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3" t="s">
        <v>7</v>
      </c>
    </row>
    <row r="10" spans="1:7" ht="22.05" customHeight="1" x14ac:dyDescent="0.3">
      <c r="B10" s="4" t="s">
        <v>5</v>
      </c>
      <c r="C10" s="5">
        <v>2099</v>
      </c>
      <c r="D10" s="5">
        <v>2088</v>
      </c>
      <c r="E10" s="5">
        <v>2077</v>
      </c>
      <c r="F10" s="5">
        <v>2066</v>
      </c>
      <c r="G10" s="61">
        <f t="shared" ref="G10:G14" si="0">SUM(C10:F10)</f>
        <v>8330</v>
      </c>
    </row>
    <row r="11" spans="1:7" ht="22.05" customHeight="1" x14ac:dyDescent="0.3">
      <c r="B11" s="6" t="s">
        <v>5</v>
      </c>
      <c r="C11" s="5">
        <v>4055</v>
      </c>
      <c r="D11" s="5">
        <v>2355</v>
      </c>
      <c r="E11" s="5">
        <v>4233</v>
      </c>
      <c r="F11" s="5">
        <v>2566</v>
      </c>
      <c r="G11" s="61">
        <f t="shared" si="0"/>
        <v>13209</v>
      </c>
    </row>
    <row r="12" spans="1:7" ht="22.05" customHeight="1" x14ac:dyDescent="0.3">
      <c r="B12" s="6" t="s">
        <v>5</v>
      </c>
      <c r="C12" s="5">
        <v>3022</v>
      </c>
      <c r="D12" s="5">
        <v>5523</v>
      </c>
      <c r="E12" s="5">
        <v>8024</v>
      </c>
      <c r="F12" s="5">
        <v>10525</v>
      </c>
      <c r="G12" s="61">
        <f t="shared" si="0"/>
        <v>27094</v>
      </c>
    </row>
    <row r="13" spans="1:7" ht="22.05" customHeight="1" x14ac:dyDescent="0.3">
      <c r="B13" s="6" t="s">
        <v>5</v>
      </c>
      <c r="C13" s="5">
        <v>1990</v>
      </c>
      <c r="D13" s="5">
        <v>8824</v>
      </c>
      <c r="E13" s="5">
        <v>15658</v>
      </c>
      <c r="F13" s="5">
        <v>22492</v>
      </c>
      <c r="G13" s="61">
        <f t="shared" si="0"/>
        <v>48964</v>
      </c>
    </row>
    <row r="14" spans="1:7" ht="22.05" customHeight="1" x14ac:dyDescent="0.3">
      <c r="B14" s="7" t="s">
        <v>6</v>
      </c>
      <c r="C14" s="8">
        <f>SUM(C10:C13)</f>
        <v>11166</v>
      </c>
      <c r="D14" s="8">
        <f>SUM(D10:D13)</f>
        <v>18790</v>
      </c>
      <c r="E14" s="8">
        <f>SUM(E10:E13)</f>
        <v>29992</v>
      </c>
      <c r="F14" s="8">
        <f>SUM(F10:F13)</f>
        <v>37649</v>
      </c>
      <c r="G14" s="61">
        <f t="shared" si="0"/>
        <v>97597</v>
      </c>
    </row>
    <row r="17" spans="2:7" x14ac:dyDescent="0.3">
      <c r="B17" s="40" t="s">
        <v>109</v>
      </c>
    </row>
    <row r="19" spans="2:7" x14ac:dyDescent="0.3">
      <c r="E19" s="54" t="s">
        <v>110</v>
      </c>
      <c r="F19" s="5"/>
      <c r="G19" s="54" t="s">
        <v>111</v>
      </c>
    </row>
    <row r="21" spans="2:7" x14ac:dyDescent="0.3">
      <c r="C21" t="s">
        <v>112</v>
      </c>
      <c r="E21" s="41">
        <v>124864</v>
      </c>
      <c r="G21" s="41">
        <v>124864</v>
      </c>
    </row>
    <row r="22" spans="2:7" x14ac:dyDescent="0.3">
      <c r="C22" t="s">
        <v>113</v>
      </c>
      <c r="E22" s="41">
        <v>752441</v>
      </c>
      <c r="G22" s="41">
        <v>752441</v>
      </c>
    </row>
    <row r="23" spans="2:7" x14ac:dyDescent="0.3">
      <c r="E23" s="41"/>
      <c r="G23" s="41"/>
    </row>
    <row r="24" spans="2:7" x14ac:dyDescent="0.3">
      <c r="C24" t="s">
        <v>114</v>
      </c>
      <c r="E24" s="41">
        <v>185112</v>
      </c>
      <c r="G24" s="41">
        <v>185112</v>
      </c>
    </row>
    <row r="25" spans="2:7" x14ac:dyDescent="0.3">
      <c r="C25" t="s">
        <v>115</v>
      </c>
      <c r="E25" s="41">
        <v>225986</v>
      </c>
      <c r="G25" s="41">
        <v>225986</v>
      </c>
    </row>
    <row r="26" spans="2:7" x14ac:dyDescent="0.3">
      <c r="C26" t="s">
        <v>116</v>
      </c>
      <c r="E26" s="41">
        <v>160205</v>
      </c>
      <c r="G26" s="41">
        <v>160205</v>
      </c>
    </row>
    <row r="27" spans="2:7" x14ac:dyDescent="0.3">
      <c r="C27" t="s">
        <v>117</v>
      </c>
      <c r="E27" s="42">
        <v>99565</v>
      </c>
      <c r="G27" s="42">
        <v>99565</v>
      </c>
    </row>
    <row r="28" spans="2:7" x14ac:dyDescent="0.3">
      <c r="C28" s="43" t="s">
        <v>6</v>
      </c>
      <c r="E28" s="44">
        <f>SUM(E21:E27)</f>
        <v>1548173</v>
      </c>
      <c r="G28" s="44">
        <f>SUM(G21:G27)</f>
        <v>1548173</v>
      </c>
    </row>
    <row r="1048576" spans="1:1" x14ac:dyDescent="0.3">
      <c r="A1048576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1048576"/>
  <sheetViews>
    <sheetView showGridLines="0" topLeftCell="A19" workbookViewId="0">
      <selection activeCell="K18" sqref="K18"/>
    </sheetView>
  </sheetViews>
  <sheetFormatPr defaultRowHeight="14.4" x14ac:dyDescent="0.3"/>
  <cols>
    <col min="2" max="2" width="11.21875" customWidth="1"/>
    <col min="3" max="3" width="14.77734375" customWidth="1"/>
    <col min="4" max="4" width="13.77734375" customWidth="1"/>
    <col min="8" max="8" width="14.6640625" bestFit="1" customWidth="1"/>
    <col min="10" max="10" width="14.33203125" bestFit="1" customWidth="1"/>
    <col min="11" max="11" width="14.6640625" bestFit="1" customWidth="1"/>
  </cols>
  <sheetData>
    <row r="2" spans="1:11" ht="23.4" x14ac:dyDescent="0.45">
      <c r="A2" s="73" t="s">
        <v>135</v>
      </c>
      <c r="B2" s="73"/>
      <c r="C2" s="9"/>
    </row>
    <row r="3" spans="1:11" ht="18" customHeight="1" x14ac:dyDescent="0.45">
      <c r="A3" s="60"/>
      <c r="B3" s="60"/>
      <c r="C3" s="9"/>
    </row>
    <row r="4" spans="1:11" ht="23.4" x14ac:dyDescent="0.45">
      <c r="A4" s="60"/>
      <c r="B4" s="15" t="s">
        <v>136</v>
      </c>
      <c r="C4" s="9"/>
    </row>
    <row r="5" spans="1:11" x14ac:dyDescent="0.3">
      <c r="B5" t="s">
        <v>39</v>
      </c>
    </row>
    <row r="7" spans="1:11" ht="15.6" x14ac:dyDescent="0.3">
      <c r="B7" s="14" t="s">
        <v>18</v>
      </c>
      <c r="C7" s="14" t="s">
        <v>29</v>
      </c>
      <c r="D7" s="13" t="s">
        <v>30</v>
      </c>
      <c r="F7" s="14" t="s">
        <v>18</v>
      </c>
      <c r="G7" s="14" t="s">
        <v>29</v>
      </c>
      <c r="H7" s="13" t="s">
        <v>30</v>
      </c>
      <c r="K7" s="13" t="s">
        <v>31</v>
      </c>
    </row>
    <row r="8" spans="1:11" x14ac:dyDescent="0.3">
      <c r="B8" s="14">
        <v>1</v>
      </c>
      <c r="C8" s="14" t="s">
        <v>20</v>
      </c>
      <c r="D8" s="11">
        <v>1200</v>
      </c>
      <c r="F8" s="14">
        <v>1</v>
      </c>
      <c r="G8" s="14" t="s">
        <v>20</v>
      </c>
      <c r="H8" s="11">
        <v>1200</v>
      </c>
      <c r="K8" s="11">
        <v>27</v>
      </c>
    </row>
    <row r="9" spans="1:11" x14ac:dyDescent="0.3">
      <c r="B9" s="14">
        <v>2</v>
      </c>
      <c r="C9" s="14" t="s">
        <v>21</v>
      </c>
      <c r="D9" s="11">
        <v>1445</v>
      </c>
      <c r="F9" s="14">
        <v>2</v>
      </c>
      <c r="G9" s="14" t="s">
        <v>21</v>
      </c>
      <c r="H9" s="11">
        <v>1445</v>
      </c>
      <c r="K9" s="11">
        <v>30</v>
      </c>
    </row>
    <row r="10" spans="1:11" x14ac:dyDescent="0.3">
      <c r="B10" s="14">
        <v>3</v>
      </c>
      <c r="C10" s="14" t="s">
        <v>22</v>
      </c>
      <c r="D10" s="11">
        <v>1690</v>
      </c>
      <c r="F10" s="14">
        <v>3</v>
      </c>
      <c r="G10" s="14" t="s">
        <v>22</v>
      </c>
      <c r="H10" s="11">
        <v>1690</v>
      </c>
      <c r="K10" s="11">
        <v>12</v>
      </c>
    </row>
    <row r="11" spans="1:11" x14ac:dyDescent="0.3">
      <c r="B11" s="14">
        <v>4</v>
      </c>
      <c r="C11" s="14" t="s">
        <v>23</v>
      </c>
      <c r="D11" s="11">
        <v>1935</v>
      </c>
      <c r="F11" s="14">
        <v>4</v>
      </c>
      <c r="G11" s="14" t="s">
        <v>23</v>
      </c>
      <c r="H11" s="11">
        <v>1935</v>
      </c>
      <c r="K11" s="11">
        <v>15</v>
      </c>
    </row>
    <row r="12" spans="1:11" x14ac:dyDescent="0.3">
      <c r="B12" s="14">
        <v>5</v>
      </c>
      <c r="C12" s="14" t="s">
        <v>24</v>
      </c>
      <c r="D12" s="11">
        <v>2180</v>
      </c>
      <c r="F12" s="14">
        <v>5</v>
      </c>
      <c r="G12" s="14" t="s">
        <v>24</v>
      </c>
      <c r="H12" s="11">
        <v>2180</v>
      </c>
      <c r="K12" s="11">
        <v>65</v>
      </c>
    </row>
    <row r="13" spans="1:11" x14ac:dyDescent="0.3">
      <c r="B13" s="14">
        <v>6</v>
      </c>
      <c r="C13" s="14" t="s">
        <v>25</v>
      </c>
      <c r="D13" s="11">
        <v>2425</v>
      </c>
      <c r="F13" s="14">
        <v>6</v>
      </c>
      <c r="G13" s="14" t="s">
        <v>25</v>
      </c>
      <c r="H13" s="11">
        <v>2425</v>
      </c>
      <c r="K13" s="11">
        <v>54</v>
      </c>
    </row>
    <row r="14" spans="1:11" x14ac:dyDescent="0.3">
      <c r="B14" s="14">
        <v>7</v>
      </c>
      <c r="C14" s="14" t="s">
        <v>26</v>
      </c>
      <c r="D14" s="11">
        <v>2670</v>
      </c>
      <c r="F14" s="14">
        <v>7</v>
      </c>
      <c r="G14" s="14" t="s">
        <v>26</v>
      </c>
      <c r="H14" s="11">
        <v>2670</v>
      </c>
      <c r="K14" s="11">
        <v>50</v>
      </c>
    </row>
    <row r="15" spans="1:11" x14ac:dyDescent="0.3">
      <c r="B15" s="14">
        <v>8</v>
      </c>
      <c r="C15" s="14" t="s">
        <v>27</v>
      </c>
      <c r="D15" s="11">
        <v>2915</v>
      </c>
      <c r="F15" s="14">
        <v>8</v>
      </c>
      <c r="G15" s="14" t="s">
        <v>27</v>
      </c>
      <c r="H15" s="11">
        <v>2915</v>
      </c>
      <c r="K15" s="11">
        <v>54</v>
      </c>
    </row>
    <row r="16" spans="1:11" x14ac:dyDescent="0.3">
      <c r="B16" s="14">
        <v>9</v>
      </c>
      <c r="C16" s="14" t="s">
        <v>28</v>
      </c>
      <c r="D16" s="11">
        <v>3160</v>
      </c>
      <c r="F16" s="14">
        <v>9</v>
      </c>
      <c r="G16" s="14" t="s">
        <v>28</v>
      </c>
      <c r="H16" s="11">
        <v>3160</v>
      </c>
      <c r="K16" s="12">
        <v>45</v>
      </c>
    </row>
    <row r="17" spans="2:11" ht="28.5" customHeight="1" x14ac:dyDescent="0.35">
      <c r="B17" s="74" t="s">
        <v>17</v>
      </c>
      <c r="C17" s="75"/>
      <c r="D17" s="55">
        <f>AVERAGE(D8:D16)</f>
        <v>2180</v>
      </c>
      <c r="F17" s="74" t="s">
        <v>19</v>
      </c>
      <c r="G17" s="75"/>
      <c r="H17" s="55">
        <f>SUM(H8:H16)</f>
        <v>19620</v>
      </c>
      <c r="J17" s="55" t="s">
        <v>16</v>
      </c>
      <c r="K17" s="56">
        <f>AVERAGE(K8:K16)</f>
        <v>39.111111111111114</v>
      </c>
    </row>
    <row r="19" spans="2:11" ht="23.25" customHeight="1" x14ac:dyDescent="0.35">
      <c r="F19" s="76" t="s">
        <v>16</v>
      </c>
      <c r="G19" s="76"/>
      <c r="H19" s="57">
        <f>AVERAGE(H8:H16)</f>
        <v>2180</v>
      </c>
    </row>
    <row r="1048576" spans="1:1" x14ac:dyDescent="0.3">
      <c r="A1048576" t="s">
        <v>152</v>
      </c>
    </row>
  </sheetData>
  <mergeCells count="4">
    <mergeCell ref="F17:G17"/>
    <mergeCell ref="F19:G19"/>
    <mergeCell ref="B17:C17"/>
    <mergeCell ref="A2:B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1048576"/>
  <sheetViews>
    <sheetView showGridLines="0" workbookViewId="0">
      <selection activeCell="J20" sqref="J20"/>
    </sheetView>
  </sheetViews>
  <sheetFormatPr defaultRowHeight="14.4" x14ac:dyDescent="0.3"/>
  <cols>
    <col min="2" max="2" width="17" customWidth="1"/>
    <col min="3" max="3" width="15.77734375" customWidth="1"/>
    <col min="10" max="10" width="15.21875" bestFit="1" customWidth="1"/>
  </cols>
  <sheetData>
    <row r="2" spans="1:10" ht="23.4" x14ac:dyDescent="0.45">
      <c r="A2" s="73" t="s">
        <v>137</v>
      </c>
      <c r="B2" s="73"/>
    </row>
    <row r="3" spans="1:10" ht="23.4" x14ac:dyDescent="0.45">
      <c r="A3" s="60"/>
      <c r="B3" s="60"/>
    </row>
    <row r="4" spans="1:10" ht="18" x14ac:dyDescent="0.3">
      <c r="B4" s="15" t="s">
        <v>139</v>
      </c>
    </row>
    <row r="5" spans="1:10" ht="18" x14ac:dyDescent="0.3">
      <c r="B5" s="15"/>
    </row>
    <row r="6" spans="1:10" ht="18" x14ac:dyDescent="0.3">
      <c r="B6" s="15" t="s">
        <v>36</v>
      </c>
      <c r="I6" s="15" t="s">
        <v>37</v>
      </c>
    </row>
    <row r="7" spans="1:10" x14ac:dyDescent="0.3">
      <c r="B7" t="s">
        <v>34</v>
      </c>
      <c r="I7" t="s">
        <v>35</v>
      </c>
    </row>
    <row r="9" spans="1:10" ht="15.6" x14ac:dyDescent="0.3">
      <c r="C9" s="13" t="s">
        <v>38</v>
      </c>
      <c r="J9" s="13" t="s">
        <v>38</v>
      </c>
    </row>
    <row r="10" spans="1:10" x14ac:dyDescent="0.3">
      <c r="C10" s="14">
        <v>27</v>
      </c>
      <c r="J10" s="14">
        <v>27</v>
      </c>
    </row>
    <row r="11" spans="1:10" x14ac:dyDescent="0.3">
      <c r="C11" s="14">
        <v>30</v>
      </c>
      <c r="J11" s="14">
        <v>30</v>
      </c>
    </row>
    <row r="12" spans="1:10" x14ac:dyDescent="0.3">
      <c r="C12" s="14">
        <v>12</v>
      </c>
      <c r="J12" s="14">
        <v>12</v>
      </c>
    </row>
    <row r="13" spans="1:10" x14ac:dyDescent="0.3">
      <c r="C13" s="14">
        <v>15</v>
      </c>
      <c r="J13" s="14">
        <v>15</v>
      </c>
    </row>
    <row r="14" spans="1:10" x14ac:dyDescent="0.3">
      <c r="C14" s="14">
        <v>65</v>
      </c>
      <c r="J14" s="14">
        <v>65</v>
      </c>
    </row>
    <row r="15" spans="1:10" x14ac:dyDescent="0.3">
      <c r="C15" s="14">
        <v>54</v>
      </c>
      <c r="J15" s="14">
        <v>54</v>
      </c>
    </row>
    <row r="16" spans="1:10" x14ac:dyDescent="0.3">
      <c r="C16" s="14">
        <v>50</v>
      </c>
      <c r="J16" s="14">
        <v>50</v>
      </c>
    </row>
    <row r="17" spans="2:10" x14ac:dyDescent="0.3">
      <c r="C17" s="14">
        <v>54</v>
      </c>
      <c r="J17" s="14">
        <v>54</v>
      </c>
    </row>
    <row r="18" spans="2:10" x14ac:dyDescent="0.3">
      <c r="C18" s="16">
        <v>45</v>
      </c>
      <c r="J18" s="16">
        <v>45</v>
      </c>
    </row>
    <row r="19" spans="2:10" ht="18" x14ac:dyDescent="0.35">
      <c r="B19" s="55" t="s">
        <v>36</v>
      </c>
      <c r="C19" s="58">
        <f>MIN(C10:C18)</f>
        <v>12</v>
      </c>
      <c r="I19" s="55" t="s">
        <v>37</v>
      </c>
      <c r="J19" s="58">
        <f>MAX(J10:J18)</f>
        <v>65</v>
      </c>
    </row>
    <row r="1048576" spans="1:1" x14ac:dyDescent="0.3">
      <c r="A1048576" t="s">
        <v>152</v>
      </c>
    </row>
  </sheetData>
  <mergeCells count="1"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1048576"/>
  <sheetViews>
    <sheetView showGridLines="0" topLeftCell="A5" workbookViewId="0">
      <selection activeCell="H12" sqref="H12"/>
    </sheetView>
  </sheetViews>
  <sheetFormatPr defaultRowHeight="14.4" x14ac:dyDescent="0.3"/>
  <cols>
    <col min="2" max="2" width="16.77734375" customWidth="1"/>
    <col min="5" max="5" width="12" customWidth="1"/>
    <col min="8" max="8" width="16.109375" customWidth="1"/>
  </cols>
  <sheetData>
    <row r="2" spans="1:9" ht="23.4" x14ac:dyDescent="0.45">
      <c r="A2" s="73" t="s">
        <v>140</v>
      </c>
      <c r="B2" s="73"/>
    </row>
    <row r="3" spans="1:9" ht="23.4" x14ac:dyDescent="0.45">
      <c r="A3" s="60"/>
      <c r="B3" s="60"/>
    </row>
    <row r="4" spans="1:9" ht="21" x14ac:dyDescent="0.4">
      <c r="B4" s="10" t="s">
        <v>8</v>
      </c>
    </row>
    <row r="6" spans="1:9" ht="18" x14ac:dyDescent="0.35">
      <c r="B6" s="17" t="s">
        <v>40</v>
      </c>
    </row>
    <row r="7" spans="1:9" ht="18" x14ac:dyDescent="0.35">
      <c r="B7" s="17" t="s">
        <v>41</v>
      </c>
    </row>
    <row r="8" spans="1:9" ht="18" x14ac:dyDescent="0.35">
      <c r="B8" s="17" t="s">
        <v>42</v>
      </c>
    </row>
    <row r="10" spans="1:9" x14ac:dyDescent="0.3">
      <c r="C10" s="11">
        <v>12</v>
      </c>
      <c r="F10" s="11">
        <v>25</v>
      </c>
      <c r="I10" s="11">
        <v>27</v>
      </c>
    </row>
    <row r="11" spans="1:9" x14ac:dyDescent="0.3">
      <c r="C11" s="11">
        <v>13</v>
      </c>
      <c r="F11" s="11">
        <v>30</v>
      </c>
      <c r="I11" s="11">
        <v>30</v>
      </c>
    </row>
    <row r="12" spans="1:9" x14ac:dyDescent="0.3">
      <c r="C12" s="11" t="s">
        <v>12</v>
      </c>
      <c r="F12" s="11" t="s">
        <v>12</v>
      </c>
      <c r="I12" s="11"/>
    </row>
    <row r="13" spans="1:9" x14ac:dyDescent="0.3">
      <c r="C13" s="11">
        <v>14</v>
      </c>
      <c r="F13" s="11" t="s">
        <v>12</v>
      </c>
      <c r="I13" s="11" t="s">
        <v>14</v>
      </c>
    </row>
    <row r="14" spans="1:9" x14ac:dyDescent="0.3">
      <c r="C14" s="11">
        <v>15</v>
      </c>
      <c r="F14" s="11" t="s">
        <v>13</v>
      </c>
      <c r="I14" s="11" t="s">
        <v>15</v>
      </c>
    </row>
    <row r="15" spans="1:9" x14ac:dyDescent="0.3">
      <c r="C15" s="11" t="s">
        <v>143</v>
      </c>
      <c r="F15" s="11" t="s">
        <v>12</v>
      </c>
      <c r="I15" s="11"/>
    </row>
    <row r="16" spans="1:9" x14ac:dyDescent="0.3">
      <c r="C16" s="11">
        <v>16</v>
      </c>
      <c r="F16" s="11">
        <v>32</v>
      </c>
      <c r="I16" s="11">
        <v>50</v>
      </c>
    </row>
    <row r="17" spans="2:9" x14ac:dyDescent="0.3">
      <c r="C17" s="11">
        <v>17</v>
      </c>
      <c r="F17" s="11">
        <v>34</v>
      </c>
      <c r="I17" s="11">
        <v>54</v>
      </c>
    </row>
    <row r="18" spans="2:9" x14ac:dyDescent="0.3">
      <c r="C18" s="12"/>
      <c r="F18" s="11">
        <v>34</v>
      </c>
      <c r="I18" s="12"/>
    </row>
    <row r="19" spans="2:9" ht="27" customHeight="1" x14ac:dyDescent="0.35">
      <c r="B19" s="55" t="s">
        <v>9</v>
      </c>
      <c r="C19" s="55">
        <f>COUNT(C10:C18)</f>
        <v>6</v>
      </c>
      <c r="E19" s="55" t="s">
        <v>10</v>
      </c>
      <c r="F19" s="55">
        <f>COUNTA(F10:F18)</f>
        <v>9</v>
      </c>
      <c r="H19" s="55" t="s">
        <v>11</v>
      </c>
      <c r="I19" s="55">
        <f>COUNTBLANK(I10:I18)</f>
        <v>3</v>
      </c>
    </row>
    <row r="22" spans="2:9" ht="18" x14ac:dyDescent="0.3">
      <c r="B22" s="15"/>
    </row>
    <row r="1048576" spans="1:1" x14ac:dyDescent="0.3">
      <c r="A1048576" t="s">
        <v>152</v>
      </c>
    </row>
  </sheetData>
  <mergeCells count="1">
    <mergeCell ref="A2:B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48576"/>
  <sheetViews>
    <sheetView showGridLines="0" zoomScale="120" zoomScaleNormal="120" workbookViewId="0">
      <selection activeCell="F10" sqref="F10"/>
    </sheetView>
  </sheetViews>
  <sheetFormatPr defaultColWidth="9.109375" defaultRowHeight="14.4" x14ac:dyDescent="0.3"/>
  <cols>
    <col min="1" max="1" width="24.6640625" bestFit="1" customWidth="1"/>
    <col min="2" max="2" width="24.77734375" bestFit="1" customWidth="1"/>
    <col min="3" max="3" width="24.6640625" bestFit="1" customWidth="1"/>
    <col min="4" max="4" width="29.21875" bestFit="1" customWidth="1"/>
    <col min="5" max="5" width="21.77734375" bestFit="1" customWidth="1"/>
    <col min="6" max="6" width="17.109375" bestFit="1" customWidth="1"/>
  </cols>
  <sheetData>
    <row r="1" spans="1:26" ht="23.4" x14ac:dyDescent="0.45">
      <c r="A1" s="59"/>
    </row>
    <row r="2" spans="1:26" ht="23.4" x14ac:dyDescent="0.45">
      <c r="A2" s="73" t="s">
        <v>142</v>
      </c>
      <c r="B2" s="73"/>
    </row>
    <row r="3" spans="1:26" ht="23.4" x14ac:dyDescent="0.45">
      <c r="A3" s="60"/>
      <c r="B3" s="60"/>
    </row>
    <row r="4" spans="1:26" ht="18" x14ac:dyDescent="0.35">
      <c r="A4" s="37" t="s">
        <v>132</v>
      </c>
    </row>
    <row r="5" spans="1:26" ht="21" customHeight="1" x14ac:dyDescent="0.35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21" customHeight="1" x14ac:dyDescent="0.35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x14ac:dyDescent="0.3">
      <c r="A7" s="24"/>
      <c r="B7" s="25" t="s">
        <v>68</v>
      </c>
      <c r="C7" s="26" t="s">
        <v>69</v>
      </c>
      <c r="D7" s="27" t="s">
        <v>70</v>
      </c>
      <c r="E7" s="28" t="s">
        <v>71</v>
      </c>
      <c r="F7" s="29" t="s">
        <v>72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20.100000000000001" customHeight="1" x14ac:dyDescent="0.3">
      <c r="A8" s="30" t="s">
        <v>73</v>
      </c>
      <c r="B8" s="30" t="s">
        <v>74</v>
      </c>
      <c r="C8" s="30" t="s">
        <v>75</v>
      </c>
      <c r="D8" s="30" t="s">
        <v>76</v>
      </c>
      <c r="E8" s="30" t="s">
        <v>77</v>
      </c>
      <c r="F8" s="30" t="s">
        <v>78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20.100000000000001" customHeight="1" x14ac:dyDescent="0.3">
      <c r="A9" s="32" t="s">
        <v>79</v>
      </c>
      <c r="B9" s="31" t="str">
        <f t="shared" ref="B9:B18" si="0">UPPER(A9)</f>
        <v>RAHUL SHAH</v>
      </c>
      <c r="C9" s="31" t="str">
        <f t="shared" ref="C9:C18" si="1">LOWER(A9)</f>
        <v>rahul shah</v>
      </c>
      <c r="D9" s="31" t="str">
        <f t="shared" ref="D9:D18" si="2">PROPER(A9)</f>
        <v>Rahul Shah</v>
      </c>
      <c r="E9" s="31" t="str">
        <f t="shared" ref="E9:E18" si="3">TRIM(A9)</f>
        <v>raHul sHah</v>
      </c>
      <c r="F9" s="31" t="str">
        <f>PROPER(TRIM(E9))</f>
        <v>Rahul Shah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20.100000000000001" customHeight="1" x14ac:dyDescent="0.3">
      <c r="A10" s="31" t="s">
        <v>80</v>
      </c>
      <c r="B10" s="31" t="str">
        <f t="shared" si="0"/>
        <v>PAYAL MEHTA</v>
      </c>
      <c r="C10" s="31" t="str">
        <f t="shared" si="1"/>
        <v>payal mehta</v>
      </c>
      <c r="D10" s="31" t="str">
        <f t="shared" si="2"/>
        <v>Payal Mehta</v>
      </c>
      <c r="E10" s="31" t="str">
        <f t="shared" si="3"/>
        <v>Payal MEHta</v>
      </c>
      <c r="F10" s="31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20.100000000000001" customHeight="1" x14ac:dyDescent="0.3">
      <c r="A11" s="31" t="s">
        <v>149</v>
      </c>
      <c r="B11" s="31" t="str">
        <f t="shared" si="0"/>
        <v>RITA SHAH</v>
      </c>
      <c r="C11" s="31" t="str">
        <f t="shared" si="1"/>
        <v>rita shah</v>
      </c>
      <c r="D11" s="31" t="str">
        <f t="shared" si="2"/>
        <v>Rita Shah</v>
      </c>
      <c r="E11" s="31" t="str">
        <f t="shared" si="3"/>
        <v>Rita ShaH</v>
      </c>
      <c r="F11" s="31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20.100000000000001" customHeight="1" x14ac:dyDescent="0.3">
      <c r="A12" s="31" t="s">
        <v>81</v>
      </c>
      <c r="B12" s="31" t="str">
        <f t="shared" si="0"/>
        <v>NEHA MISHRA</v>
      </c>
      <c r="C12" s="31" t="str">
        <f t="shared" si="1"/>
        <v>neha mishra</v>
      </c>
      <c r="D12" s="31" t="str">
        <f t="shared" si="2"/>
        <v>Neha Mishra</v>
      </c>
      <c r="E12" s="31" t="str">
        <f t="shared" si="3"/>
        <v>Neha mishra</v>
      </c>
      <c r="F12" s="31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20.100000000000001" customHeight="1" x14ac:dyDescent="0.3">
      <c r="A13" s="31" t="s">
        <v>150</v>
      </c>
      <c r="B13" s="31" t="str">
        <f t="shared" si="0"/>
        <v>TANVI SHARMA</v>
      </c>
      <c r="C13" s="31" t="str">
        <f t="shared" si="1"/>
        <v>tanvi sharma</v>
      </c>
      <c r="D13" s="31" t="str">
        <f t="shared" si="2"/>
        <v>Tanvi Sharma</v>
      </c>
      <c r="E13" s="31" t="str">
        <f t="shared" si="3"/>
        <v>tanVi Sharma</v>
      </c>
      <c r="F13" s="31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20.100000000000001" customHeight="1" x14ac:dyDescent="0.3">
      <c r="A14" s="31" t="s">
        <v>82</v>
      </c>
      <c r="B14" s="31" t="str">
        <f t="shared" si="0"/>
        <v>KANCI NAGORI</v>
      </c>
      <c r="C14" s="31" t="str">
        <f t="shared" si="1"/>
        <v>kanci nagori</v>
      </c>
      <c r="D14" s="31" t="str">
        <f t="shared" si="2"/>
        <v>Kanci Nagori</v>
      </c>
      <c r="E14" s="31" t="str">
        <f t="shared" si="3"/>
        <v>kanci NagoRI</v>
      </c>
      <c r="F14" s="31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20.100000000000001" customHeight="1" x14ac:dyDescent="0.3">
      <c r="A15" s="31" t="s">
        <v>83</v>
      </c>
      <c r="B15" s="31" t="str">
        <f t="shared" si="0"/>
        <v>RAHUL SHAH</v>
      </c>
      <c r="C15" s="31" t="str">
        <f t="shared" si="1"/>
        <v>rahul shah</v>
      </c>
      <c r="D15" s="31" t="str">
        <f t="shared" si="2"/>
        <v>Rahul Shah</v>
      </c>
      <c r="E15" s="31" t="str">
        <f t="shared" si="3"/>
        <v>RahUl shAh</v>
      </c>
      <c r="F15" s="31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20.100000000000001" customHeight="1" x14ac:dyDescent="0.3">
      <c r="A16" s="31" t="s">
        <v>84</v>
      </c>
      <c r="B16" s="31" t="str">
        <f t="shared" si="0"/>
        <v>PAYAL MEHTA</v>
      </c>
      <c r="C16" s="31" t="str">
        <f t="shared" si="1"/>
        <v>payal mehta</v>
      </c>
      <c r="D16" s="31" t="str">
        <f t="shared" si="2"/>
        <v>Payal Mehta</v>
      </c>
      <c r="E16" s="31" t="str">
        <f t="shared" si="3"/>
        <v>PaYal mehta</v>
      </c>
      <c r="F16" s="31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20.100000000000001" customHeight="1" x14ac:dyDescent="0.3">
      <c r="A17" s="31" t="s">
        <v>85</v>
      </c>
      <c r="B17" s="31" t="str">
        <f t="shared" si="0"/>
        <v>RITA MISHRA</v>
      </c>
      <c r="C17" s="31" t="str">
        <f t="shared" si="1"/>
        <v>rita mishra</v>
      </c>
      <c r="D17" s="31" t="str">
        <f t="shared" si="2"/>
        <v>Rita Mishra</v>
      </c>
      <c r="E17" s="31" t="str">
        <f t="shared" si="3"/>
        <v>RitA Mishra</v>
      </c>
      <c r="F17" s="31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20.100000000000001" customHeight="1" x14ac:dyDescent="0.3">
      <c r="A18" s="31" t="s">
        <v>86</v>
      </c>
      <c r="B18" s="31" t="str">
        <f t="shared" si="0"/>
        <v>NEHA MISHRA</v>
      </c>
      <c r="C18" s="31" t="str">
        <f t="shared" si="1"/>
        <v>neha mishra</v>
      </c>
      <c r="D18" s="31" t="str">
        <f t="shared" si="2"/>
        <v>Neha Mishra</v>
      </c>
      <c r="E18" s="31" t="str">
        <f t="shared" si="3"/>
        <v>neha mishra</v>
      </c>
      <c r="F18" s="31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20" spans="1:26" x14ac:dyDescent="0.3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20.100000000000001" customHeight="1" x14ac:dyDescent="0.3">
      <c r="A21" s="34" t="s">
        <v>88</v>
      </c>
      <c r="B21" s="31"/>
      <c r="C21" s="31"/>
      <c r="D21" s="31"/>
      <c r="E21" s="31"/>
      <c r="F21" s="31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x14ac:dyDescent="0.3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20.100000000000001" customHeight="1" x14ac:dyDescent="0.3">
      <c r="A23" s="33" t="s">
        <v>87</v>
      </c>
      <c r="B23" s="31"/>
      <c r="C23" s="31"/>
      <c r="D23" s="31"/>
      <c r="E23" s="31"/>
      <c r="F23" s="31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x14ac:dyDescent="0.3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x14ac:dyDescent="0.3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x14ac:dyDescent="0.3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x14ac:dyDescent="0.3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x14ac:dyDescent="0.3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x14ac:dyDescent="0.3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x14ac:dyDescent="0.3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x14ac:dyDescent="0.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x14ac:dyDescent="0.3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x14ac:dyDescent="0.3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x14ac:dyDescent="0.3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x14ac:dyDescent="0.3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x14ac:dyDescent="0.3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x14ac:dyDescent="0.3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x14ac:dyDescent="0.3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x14ac:dyDescent="0.3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x14ac:dyDescent="0.3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x14ac:dyDescent="0.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x14ac:dyDescent="0.3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x14ac:dyDescent="0.3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x14ac:dyDescent="0.3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x14ac:dyDescent="0.3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x14ac:dyDescent="0.3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x14ac:dyDescent="0.3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x14ac:dyDescent="0.3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x14ac:dyDescent="0.3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x14ac:dyDescent="0.3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x14ac:dyDescent="0.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x14ac:dyDescent="0.3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x14ac:dyDescent="0.3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x14ac:dyDescent="0.3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x14ac:dyDescent="0.3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x14ac:dyDescent="0.3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x14ac:dyDescent="0.3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x14ac:dyDescent="0.3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x14ac:dyDescent="0.3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x14ac:dyDescent="0.3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x14ac:dyDescent="0.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x14ac:dyDescent="0.3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x14ac:dyDescent="0.3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x14ac:dyDescent="0.3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x14ac:dyDescent="0.3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x14ac:dyDescent="0.3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x14ac:dyDescent="0.3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x14ac:dyDescent="0.3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x14ac:dyDescent="0.3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x14ac:dyDescent="0.3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x14ac:dyDescent="0.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x14ac:dyDescent="0.3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x14ac:dyDescent="0.3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x14ac:dyDescent="0.3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x14ac:dyDescent="0.3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x14ac:dyDescent="0.3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x14ac:dyDescent="0.3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x14ac:dyDescent="0.3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x14ac:dyDescent="0.3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x14ac:dyDescent="0.3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x14ac:dyDescent="0.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x14ac:dyDescent="0.3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x14ac:dyDescent="0.3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x14ac:dyDescent="0.3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x14ac:dyDescent="0.3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x14ac:dyDescent="0.3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x14ac:dyDescent="0.3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x14ac:dyDescent="0.3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x14ac:dyDescent="0.3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x14ac:dyDescent="0.3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x14ac:dyDescent="0.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x14ac:dyDescent="0.3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x14ac:dyDescent="0.3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x14ac:dyDescent="0.3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x14ac:dyDescent="0.3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x14ac:dyDescent="0.3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x14ac:dyDescent="0.3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x14ac:dyDescent="0.3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x14ac:dyDescent="0.3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x14ac:dyDescent="0.3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x14ac:dyDescent="0.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x14ac:dyDescent="0.3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x14ac:dyDescent="0.3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x14ac:dyDescent="0.3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x14ac:dyDescent="0.3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x14ac:dyDescent="0.3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x14ac:dyDescent="0.3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x14ac:dyDescent="0.3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x14ac:dyDescent="0.3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x14ac:dyDescent="0.3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x14ac:dyDescent="0.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x14ac:dyDescent="0.3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x14ac:dyDescent="0.3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x14ac:dyDescent="0.3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x14ac:dyDescent="0.3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x14ac:dyDescent="0.3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x14ac:dyDescent="0.3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x14ac:dyDescent="0.3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x14ac:dyDescent="0.3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x14ac:dyDescent="0.3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x14ac:dyDescent="0.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x14ac:dyDescent="0.3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x14ac:dyDescent="0.3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x14ac:dyDescent="0.3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x14ac:dyDescent="0.3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x14ac:dyDescent="0.3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x14ac:dyDescent="0.3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x14ac:dyDescent="0.3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x14ac:dyDescent="0.3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x14ac:dyDescent="0.3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x14ac:dyDescent="0.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x14ac:dyDescent="0.3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x14ac:dyDescent="0.3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x14ac:dyDescent="0.3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x14ac:dyDescent="0.3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x14ac:dyDescent="0.3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x14ac:dyDescent="0.3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x14ac:dyDescent="0.3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x14ac:dyDescent="0.3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x14ac:dyDescent="0.3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x14ac:dyDescent="0.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x14ac:dyDescent="0.3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x14ac:dyDescent="0.3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x14ac:dyDescent="0.3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x14ac:dyDescent="0.3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x14ac:dyDescent="0.3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x14ac:dyDescent="0.3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x14ac:dyDescent="0.3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x14ac:dyDescent="0.3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x14ac:dyDescent="0.3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x14ac:dyDescent="0.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x14ac:dyDescent="0.3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x14ac:dyDescent="0.3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x14ac:dyDescent="0.3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x14ac:dyDescent="0.3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x14ac:dyDescent="0.3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x14ac:dyDescent="0.3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x14ac:dyDescent="0.3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x14ac:dyDescent="0.3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x14ac:dyDescent="0.3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x14ac:dyDescent="0.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x14ac:dyDescent="0.3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x14ac:dyDescent="0.3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x14ac:dyDescent="0.3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x14ac:dyDescent="0.3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x14ac:dyDescent="0.3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x14ac:dyDescent="0.3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x14ac:dyDescent="0.3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x14ac:dyDescent="0.3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x14ac:dyDescent="0.3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x14ac:dyDescent="0.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x14ac:dyDescent="0.3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x14ac:dyDescent="0.3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x14ac:dyDescent="0.3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x14ac:dyDescent="0.3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x14ac:dyDescent="0.3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x14ac:dyDescent="0.3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x14ac:dyDescent="0.3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x14ac:dyDescent="0.3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x14ac:dyDescent="0.3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x14ac:dyDescent="0.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x14ac:dyDescent="0.3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x14ac:dyDescent="0.3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x14ac:dyDescent="0.3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x14ac:dyDescent="0.3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x14ac:dyDescent="0.3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x14ac:dyDescent="0.3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x14ac:dyDescent="0.3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x14ac:dyDescent="0.3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x14ac:dyDescent="0.3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x14ac:dyDescent="0.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x14ac:dyDescent="0.3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x14ac:dyDescent="0.3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x14ac:dyDescent="0.3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x14ac:dyDescent="0.3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x14ac:dyDescent="0.3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x14ac:dyDescent="0.3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x14ac:dyDescent="0.3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x14ac:dyDescent="0.3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x14ac:dyDescent="0.3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x14ac:dyDescent="0.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x14ac:dyDescent="0.3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x14ac:dyDescent="0.3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x14ac:dyDescent="0.3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x14ac:dyDescent="0.3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x14ac:dyDescent="0.3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x14ac:dyDescent="0.3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x14ac:dyDescent="0.3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x14ac:dyDescent="0.3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x14ac:dyDescent="0.3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x14ac:dyDescent="0.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x14ac:dyDescent="0.3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x14ac:dyDescent="0.3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x14ac:dyDescent="0.3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x14ac:dyDescent="0.3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x14ac:dyDescent="0.3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x14ac:dyDescent="0.3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x14ac:dyDescent="0.3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x14ac:dyDescent="0.3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x14ac:dyDescent="0.3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x14ac:dyDescent="0.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x14ac:dyDescent="0.3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x14ac:dyDescent="0.3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x14ac:dyDescent="0.3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x14ac:dyDescent="0.3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x14ac:dyDescent="0.3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x14ac:dyDescent="0.3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x14ac:dyDescent="0.3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x14ac:dyDescent="0.3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x14ac:dyDescent="0.3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x14ac:dyDescent="0.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x14ac:dyDescent="0.3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x14ac:dyDescent="0.3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x14ac:dyDescent="0.3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x14ac:dyDescent="0.3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x14ac:dyDescent="0.3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x14ac:dyDescent="0.3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x14ac:dyDescent="0.3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x14ac:dyDescent="0.3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x14ac:dyDescent="0.3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x14ac:dyDescent="0.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x14ac:dyDescent="0.3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x14ac:dyDescent="0.3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x14ac:dyDescent="0.3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x14ac:dyDescent="0.3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x14ac:dyDescent="0.3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x14ac:dyDescent="0.3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x14ac:dyDescent="0.3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x14ac:dyDescent="0.3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x14ac:dyDescent="0.3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x14ac:dyDescent="0.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x14ac:dyDescent="0.3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x14ac:dyDescent="0.3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x14ac:dyDescent="0.3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x14ac:dyDescent="0.3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x14ac:dyDescent="0.3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x14ac:dyDescent="0.3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x14ac:dyDescent="0.3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x14ac:dyDescent="0.3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x14ac:dyDescent="0.3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x14ac:dyDescent="0.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x14ac:dyDescent="0.3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x14ac:dyDescent="0.3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x14ac:dyDescent="0.3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x14ac:dyDescent="0.3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x14ac:dyDescent="0.3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x14ac:dyDescent="0.3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x14ac:dyDescent="0.3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x14ac:dyDescent="0.3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x14ac:dyDescent="0.3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x14ac:dyDescent="0.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x14ac:dyDescent="0.3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x14ac:dyDescent="0.3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x14ac:dyDescent="0.3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x14ac:dyDescent="0.3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x14ac:dyDescent="0.3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x14ac:dyDescent="0.3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x14ac:dyDescent="0.3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x14ac:dyDescent="0.3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x14ac:dyDescent="0.3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x14ac:dyDescent="0.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x14ac:dyDescent="0.3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x14ac:dyDescent="0.3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x14ac:dyDescent="0.3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x14ac:dyDescent="0.3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x14ac:dyDescent="0.3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x14ac:dyDescent="0.3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x14ac:dyDescent="0.3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x14ac:dyDescent="0.3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x14ac:dyDescent="0.3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x14ac:dyDescent="0.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x14ac:dyDescent="0.3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x14ac:dyDescent="0.3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x14ac:dyDescent="0.3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x14ac:dyDescent="0.3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x14ac:dyDescent="0.3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x14ac:dyDescent="0.3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x14ac:dyDescent="0.3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x14ac:dyDescent="0.3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x14ac:dyDescent="0.3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x14ac:dyDescent="0.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x14ac:dyDescent="0.3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x14ac:dyDescent="0.3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x14ac:dyDescent="0.3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x14ac:dyDescent="0.3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x14ac:dyDescent="0.3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x14ac:dyDescent="0.3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x14ac:dyDescent="0.3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x14ac:dyDescent="0.3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x14ac:dyDescent="0.3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x14ac:dyDescent="0.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x14ac:dyDescent="0.3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x14ac:dyDescent="0.3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x14ac:dyDescent="0.3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x14ac:dyDescent="0.3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x14ac:dyDescent="0.3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x14ac:dyDescent="0.3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x14ac:dyDescent="0.3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x14ac:dyDescent="0.3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x14ac:dyDescent="0.3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x14ac:dyDescent="0.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x14ac:dyDescent="0.3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x14ac:dyDescent="0.3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x14ac:dyDescent="0.3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x14ac:dyDescent="0.3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x14ac:dyDescent="0.3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x14ac:dyDescent="0.3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x14ac:dyDescent="0.3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x14ac:dyDescent="0.3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x14ac:dyDescent="0.3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x14ac:dyDescent="0.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x14ac:dyDescent="0.3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x14ac:dyDescent="0.3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x14ac:dyDescent="0.3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x14ac:dyDescent="0.3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x14ac:dyDescent="0.3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x14ac:dyDescent="0.3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x14ac:dyDescent="0.3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x14ac:dyDescent="0.3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x14ac:dyDescent="0.3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x14ac:dyDescent="0.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x14ac:dyDescent="0.3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x14ac:dyDescent="0.3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x14ac:dyDescent="0.3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x14ac:dyDescent="0.3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x14ac:dyDescent="0.3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x14ac:dyDescent="0.3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x14ac:dyDescent="0.3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x14ac:dyDescent="0.3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x14ac:dyDescent="0.3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x14ac:dyDescent="0.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x14ac:dyDescent="0.3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x14ac:dyDescent="0.3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x14ac:dyDescent="0.3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x14ac:dyDescent="0.3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x14ac:dyDescent="0.3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x14ac:dyDescent="0.3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x14ac:dyDescent="0.3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x14ac:dyDescent="0.3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x14ac:dyDescent="0.3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x14ac:dyDescent="0.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x14ac:dyDescent="0.3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x14ac:dyDescent="0.3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x14ac:dyDescent="0.3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x14ac:dyDescent="0.3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x14ac:dyDescent="0.3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x14ac:dyDescent="0.3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x14ac:dyDescent="0.3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x14ac:dyDescent="0.3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x14ac:dyDescent="0.3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x14ac:dyDescent="0.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x14ac:dyDescent="0.3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x14ac:dyDescent="0.3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x14ac:dyDescent="0.3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x14ac:dyDescent="0.3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x14ac:dyDescent="0.3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x14ac:dyDescent="0.3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x14ac:dyDescent="0.3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x14ac:dyDescent="0.3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x14ac:dyDescent="0.3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x14ac:dyDescent="0.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x14ac:dyDescent="0.3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x14ac:dyDescent="0.3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x14ac:dyDescent="0.3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x14ac:dyDescent="0.3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x14ac:dyDescent="0.3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x14ac:dyDescent="0.3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x14ac:dyDescent="0.3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x14ac:dyDescent="0.3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x14ac:dyDescent="0.3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x14ac:dyDescent="0.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x14ac:dyDescent="0.3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x14ac:dyDescent="0.3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x14ac:dyDescent="0.3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x14ac:dyDescent="0.3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x14ac:dyDescent="0.3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x14ac:dyDescent="0.3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x14ac:dyDescent="0.3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x14ac:dyDescent="0.3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x14ac:dyDescent="0.3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x14ac:dyDescent="0.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x14ac:dyDescent="0.3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x14ac:dyDescent="0.3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x14ac:dyDescent="0.3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x14ac:dyDescent="0.3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x14ac:dyDescent="0.3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x14ac:dyDescent="0.3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x14ac:dyDescent="0.3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x14ac:dyDescent="0.3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x14ac:dyDescent="0.3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x14ac:dyDescent="0.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x14ac:dyDescent="0.3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x14ac:dyDescent="0.3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x14ac:dyDescent="0.3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x14ac:dyDescent="0.3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x14ac:dyDescent="0.3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x14ac:dyDescent="0.3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x14ac:dyDescent="0.3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x14ac:dyDescent="0.3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x14ac:dyDescent="0.3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x14ac:dyDescent="0.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x14ac:dyDescent="0.3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x14ac:dyDescent="0.3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x14ac:dyDescent="0.3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x14ac:dyDescent="0.3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x14ac:dyDescent="0.3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x14ac:dyDescent="0.3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x14ac:dyDescent="0.3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x14ac:dyDescent="0.3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x14ac:dyDescent="0.3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x14ac:dyDescent="0.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x14ac:dyDescent="0.3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x14ac:dyDescent="0.3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x14ac:dyDescent="0.3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x14ac:dyDescent="0.3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x14ac:dyDescent="0.3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x14ac:dyDescent="0.3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x14ac:dyDescent="0.3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x14ac:dyDescent="0.3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x14ac:dyDescent="0.3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x14ac:dyDescent="0.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x14ac:dyDescent="0.3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x14ac:dyDescent="0.3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x14ac:dyDescent="0.3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x14ac:dyDescent="0.3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x14ac:dyDescent="0.3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x14ac:dyDescent="0.3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x14ac:dyDescent="0.3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x14ac:dyDescent="0.3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x14ac:dyDescent="0.3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x14ac:dyDescent="0.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x14ac:dyDescent="0.3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x14ac:dyDescent="0.3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x14ac:dyDescent="0.3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x14ac:dyDescent="0.3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x14ac:dyDescent="0.3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x14ac:dyDescent="0.3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x14ac:dyDescent="0.3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x14ac:dyDescent="0.3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x14ac:dyDescent="0.3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x14ac:dyDescent="0.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x14ac:dyDescent="0.3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x14ac:dyDescent="0.3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x14ac:dyDescent="0.3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x14ac:dyDescent="0.3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x14ac:dyDescent="0.3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x14ac:dyDescent="0.3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x14ac:dyDescent="0.3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x14ac:dyDescent="0.3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x14ac:dyDescent="0.3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x14ac:dyDescent="0.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x14ac:dyDescent="0.3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x14ac:dyDescent="0.3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x14ac:dyDescent="0.3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x14ac:dyDescent="0.3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x14ac:dyDescent="0.3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x14ac:dyDescent="0.3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x14ac:dyDescent="0.3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x14ac:dyDescent="0.3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x14ac:dyDescent="0.3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x14ac:dyDescent="0.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x14ac:dyDescent="0.3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x14ac:dyDescent="0.3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x14ac:dyDescent="0.3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x14ac:dyDescent="0.3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x14ac:dyDescent="0.3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x14ac:dyDescent="0.3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x14ac:dyDescent="0.3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x14ac:dyDescent="0.3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x14ac:dyDescent="0.3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x14ac:dyDescent="0.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x14ac:dyDescent="0.3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x14ac:dyDescent="0.3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x14ac:dyDescent="0.3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x14ac:dyDescent="0.3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x14ac:dyDescent="0.3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x14ac:dyDescent="0.3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x14ac:dyDescent="0.3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x14ac:dyDescent="0.3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x14ac:dyDescent="0.3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x14ac:dyDescent="0.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x14ac:dyDescent="0.3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x14ac:dyDescent="0.3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x14ac:dyDescent="0.3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x14ac:dyDescent="0.3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x14ac:dyDescent="0.3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x14ac:dyDescent="0.3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x14ac:dyDescent="0.3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x14ac:dyDescent="0.3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x14ac:dyDescent="0.3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x14ac:dyDescent="0.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x14ac:dyDescent="0.3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x14ac:dyDescent="0.3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x14ac:dyDescent="0.3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x14ac:dyDescent="0.3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x14ac:dyDescent="0.3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x14ac:dyDescent="0.3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x14ac:dyDescent="0.3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x14ac:dyDescent="0.3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x14ac:dyDescent="0.3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x14ac:dyDescent="0.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x14ac:dyDescent="0.3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x14ac:dyDescent="0.3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x14ac:dyDescent="0.3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x14ac:dyDescent="0.3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x14ac:dyDescent="0.3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x14ac:dyDescent="0.3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x14ac:dyDescent="0.3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x14ac:dyDescent="0.3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x14ac:dyDescent="0.3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x14ac:dyDescent="0.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x14ac:dyDescent="0.3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x14ac:dyDescent="0.3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x14ac:dyDescent="0.3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x14ac:dyDescent="0.3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x14ac:dyDescent="0.3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x14ac:dyDescent="0.3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x14ac:dyDescent="0.3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x14ac:dyDescent="0.3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x14ac:dyDescent="0.3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x14ac:dyDescent="0.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x14ac:dyDescent="0.3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x14ac:dyDescent="0.3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x14ac:dyDescent="0.3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x14ac:dyDescent="0.3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x14ac:dyDescent="0.3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x14ac:dyDescent="0.3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x14ac:dyDescent="0.3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x14ac:dyDescent="0.3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x14ac:dyDescent="0.3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x14ac:dyDescent="0.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x14ac:dyDescent="0.3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x14ac:dyDescent="0.3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x14ac:dyDescent="0.3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x14ac:dyDescent="0.3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x14ac:dyDescent="0.3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x14ac:dyDescent="0.3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x14ac:dyDescent="0.3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x14ac:dyDescent="0.3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x14ac:dyDescent="0.3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x14ac:dyDescent="0.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x14ac:dyDescent="0.3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x14ac:dyDescent="0.3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x14ac:dyDescent="0.3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x14ac:dyDescent="0.3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x14ac:dyDescent="0.3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x14ac:dyDescent="0.3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x14ac:dyDescent="0.3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x14ac:dyDescent="0.3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x14ac:dyDescent="0.3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x14ac:dyDescent="0.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x14ac:dyDescent="0.3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x14ac:dyDescent="0.3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x14ac:dyDescent="0.3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x14ac:dyDescent="0.3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x14ac:dyDescent="0.3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x14ac:dyDescent="0.3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x14ac:dyDescent="0.3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x14ac:dyDescent="0.3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x14ac:dyDescent="0.3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x14ac:dyDescent="0.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x14ac:dyDescent="0.3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x14ac:dyDescent="0.3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x14ac:dyDescent="0.3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x14ac:dyDescent="0.3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x14ac:dyDescent="0.3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x14ac:dyDescent="0.3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x14ac:dyDescent="0.3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x14ac:dyDescent="0.3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x14ac:dyDescent="0.3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x14ac:dyDescent="0.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x14ac:dyDescent="0.3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x14ac:dyDescent="0.3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x14ac:dyDescent="0.3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x14ac:dyDescent="0.3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x14ac:dyDescent="0.3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x14ac:dyDescent="0.3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x14ac:dyDescent="0.3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x14ac:dyDescent="0.3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x14ac:dyDescent="0.3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x14ac:dyDescent="0.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x14ac:dyDescent="0.3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x14ac:dyDescent="0.3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x14ac:dyDescent="0.3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x14ac:dyDescent="0.3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x14ac:dyDescent="0.3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x14ac:dyDescent="0.3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x14ac:dyDescent="0.3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x14ac:dyDescent="0.3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x14ac:dyDescent="0.3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x14ac:dyDescent="0.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x14ac:dyDescent="0.3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x14ac:dyDescent="0.3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x14ac:dyDescent="0.3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x14ac:dyDescent="0.3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x14ac:dyDescent="0.3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x14ac:dyDescent="0.3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x14ac:dyDescent="0.3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x14ac:dyDescent="0.3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x14ac:dyDescent="0.3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x14ac:dyDescent="0.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x14ac:dyDescent="0.3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x14ac:dyDescent="0.3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x14ac:dyDescent="0.3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x14ac:dyDescent="0.3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x14ac:dyDescent="0.3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x14ac:dyDescent="0.3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x14ac:dyDescent="0.3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x14ac:dyDescent="0.3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x14ac:dyDescent="0.3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x14ac:dyDescent="0.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x14ac:dyDescent="0.3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x14ac:dyDescent="0.3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x14ac:dyDescent="0.3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x14ac:dyDescent="0.3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x14ac:dyDescent="0.3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x14ac:dyDescent="0.3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x14ac:dyDescent="0.3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x14ac:dyDescent="0.3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x14ac:dyDescent="0.3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x14ac:dyDescent="0.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x14ac:dyDescent="0.3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x14ac:dyDescent="0.3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x14ac:dyDescent="0.3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x14ac:dyDescent="0.3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x14ac:dyDescent="0.3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x14ac:dyDescent="0.3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x14ac:dyDescent="0.3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x14ac:dyDescent="0.3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x14ac:dyDescent="0.3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x14ac:dyDescent="0.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x14ac:dyDescent="0.3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x14ac:dyDescent="0.3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x14ac:dyDescent="0.3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x14ac:dyDescent="0.3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x14ac:dyDescent="0.3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x14ac:dyDescent="0.3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x14ac:dyDescent="0.3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x14ac:dyDescent="0.3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x14ac:dyDescent="0.3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x14ac:dyDescent="0.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x14ac:dyDescent="0.3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x14ac:dyDescent="0.3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x14ac:dyDescent="0.3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x14ac:dyDescent="0.3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x14ac:dyDescent="0.3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x14ac:dyDescent="0.3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x14ac:dyDescent="0.3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x14ac:dyDescent="0.3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x14ac:dyDescent="0.3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x14ac:dyDescent="0.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x14ac:dyDescent="0.3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x14ac:dyDescent="0.3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x14ac:dyDescent="0.3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x14ac:dyDescent="0.3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x14ac:dyDescent="0.3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x14ac:dyDescent="0.3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x14ac:dyDescent="0.3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x14ac:dyDescent="0.3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x14ac:dyDescent="0.3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x14ac:dyDescent="0.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x14ac:dyDescent="0.3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x14ac:dyDescent="0.3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x14ac:dyDescent="0.3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x14ac:dyDescent="0.3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x14ac:dyDescent="0.3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x14ac:dyDescent="0.3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x14ac:dyDescent="0.3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x14ac:dyDescent="0.3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x14ac:dyDescent="0.3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x14ac:dyDescent="0.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x14ac:dyDescent="0.3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x14ac:dyDescent="0.3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x14ac:dyDescent="0.3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x14ac:dyDescent="0.3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x14ac:dyDescent="0.3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x14ac:dyDescent="0.3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x14ac:dyDescent="0.3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x14ac:dyDescent="0.3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x14ac:dyDescent="0.3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x14ac:dyDescent="0.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x14ac:dyDescent="0.3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x14ac:dyDescent="0.3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x14ac:dyDescent="0.3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x14ac:dyDescent="0.3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x14ac:dyDescent="0.3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x14ac:dyDescent="0.3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x14ac:dyDescent="0.3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x14ac:dyDescent="0.3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x14ac:dyDescent="0.3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x14ac:dyDescent="0.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x14ac:dyDescent="0.3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x14ac:dyDescent="0.3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x14ac:dyDescent="0.3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x14ac:dyDescent="0.3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x14ac:dyDescent="0.3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x14ac:dyDescent="0.3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x14ac:dyDescent="0.3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x14ac:dyDescent="0.3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x14ac:dyDescent="0.3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x14ac:dyDescent="0.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x14ac:dyDescent="0.3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x14ac:dyDescent="0.3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x14ac:dyDescent="0.3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x14ac:dyDescent="0.3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x14ac:dyDescent="0.3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x14ac:dyDescent="0.3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x14ac:dyDescent="0.3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x14ac:dyDescent="0.3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x14ac:dyDescent="0.3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x14ac:dyDescent="0.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x14ac:dyDescent="0.3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x14ac:dyDescent="0.3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x14ac:dyDescent="0.3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x14ac:dyDescent="0.3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x14ac:dyDescent="0.3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x14ac:dyDescent="0.3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x14ac:dyDescent="0.3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x14ac:dyDescent="0.3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x14ac:dyDescent="0.3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x14ac:dyDescent="0.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x14ac:dyDescent="0.3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x14ac:dyDescent="0.3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x14ac:dyDescent="0.3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x14ac:dyDescent="0.3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x14ac:dyDescent="0.3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x14ac:dyDescent="0.3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x14ac:dyDescent="0.3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x14ac:dyDescent="0.3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x14ac:dyDescent="0.3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x14ac:dyDescent="0.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x14ac:dyDescent="0.3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x14ac:dyDescent="0.3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x14ac:dyDescent="0.3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x14ac:dyDescent="0.3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x14ac:dyDescent="0.3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x14ac:dyDescent="0.3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x14ac:dyDescent="0.3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x14ac:dyDescent="0.3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x14ac:dyDescent="0.3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x14ac:dyDescent="0.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x14ac:dyDescent="0.3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x14ac:dyDescent="0.3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x14ac:dyDescent="0.3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x14ac:dyDescent="0.3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x14ac:dyDescent="0.3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x14ac:dyDescent="0.3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x14ac:dyDescent="0.3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x14ac:dyDescent="0.3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x14ac:dyDescent="0.3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x14ac:dyDescent="0.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x14ac:dyDescent="0.3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x14ac:dyDescent="0.3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x14ac:dyDescent="0.3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x14ac:dyDescent="0.3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x14ac:dyDescent="0.3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x14ac:dyDescent="0.3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x14ac:dyDescent="0.3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x14ac:dyDescent="0.3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x14ac:dyDescent="0.3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x14ac:dyDescent="0.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x14ac:dyDescent="0.3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x14ac:dyDescent="0.3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x14ac:dyDescent="0.3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x14ac:dyDescent="0.3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x14ac:dyDescent="0.3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x14ac:dyDescent="0.3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x14ac:dyDescent="0.3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x14ac:dyDescent="0.3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x14ac:dyDescent="0.3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x14ac:dyDescent="0.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x14ac:dyDescent="0.3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x14ac:dyDescent="0.3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x14ac:dyDescent="0.3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x14ac:dyDescent="0.3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x14ac:dyDescent="0.3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x14ac:dyDescent="0.3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x14ac:dyDescent="0.3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x14ac:dyDescent="0.3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x14ac:dyDescent="0.3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x14ac:dyDescent="0.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x14ac:dyDescent="0.3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x14ac:dyDescent="0.3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x14ac:dyDescent="0.3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x14ac:dyDescent="0.3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x14ac:dyDescent="0.3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x14ac:dyDescent="0.3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x14ac:dyDescent="0.3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x14ac:dyDescent="0.3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x14ac:dyDescent="0.3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x14ac:dyDescent="0.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x14ac:dyDescent="0.3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x14ac:dyDescent="0.3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x14ac:dyDescent="0.3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x14ac:dyDescent="0.3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x14ac:dyDescent="0.3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x14ac:dyDescent="0.3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x14ac:dyDescent="0.3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x14ac:dyDescent="0.3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x14ac:dyDescent="0.3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x14ac:dyDescent="0.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x14ac:dyDescent="0.3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x14ac:dyDescent="0.3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x14ac:dyDescent="0.3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x14ac:dyDescent="0.3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x14ac:dyDescent="0.3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x14ac:dyDescent="0.3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x14ac:dyDescent="0.3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x14ac:dyDescent="0.3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x14ac:dyDescent="0.3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x14ac:dyDescent="0.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x14ac:dyDescent="0.3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x14ac:dyDescent="0.3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x14ac:dyDescent="0.3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x14ac:dyDescent="0.3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x14ac:dyDescent="0.3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x14ac:dyDescent="0.3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x14ac:dyDescent="0.3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x14ac:dyDescent="0.3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x14ac:dyDescent="0.3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x14ac:dyDescent="0.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x14ac:dyDescent="0.3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x14ac:dyDescent="0.3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x14ac:dyDescent="0.3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x14ac:dyDescent="0.3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x14ac:dyDescent="0.3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x14ac:dyDescent="0.3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x14ac:dyDescent="0.3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x14ac:dyDescent="0.3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x14ac:dyDescent="0.3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x14ac:dyDescent="0.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x14ac:dyDescent="0.3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x14ac:dyDescent="0.3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x14ac:dyDescent="0.3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x14ac:dyDescent="0.3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x14ac:dyDescent="0.3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x14ac:dyDescent="0.3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x14ac:dyDescent="0.3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x14ac:dyDescent="0.3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x14ac:dyDescent="0.3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x14ac:dyDescent="0.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x14ac:dyDescent="0.3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x14ac:dyDescent="0.3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x14ac:dyDescent="0.3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x14ac:dyDescent="0.3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x14ac:dyDescent="0.3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x14ac:dyDescent="0.3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x14ac:dyDescent="0.3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x14ac:dyDescent="0.3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x14ac:dyDescent="0.3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x14ac:dyDescent="0.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x14ac:dyDescent="0.3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x14ac:dyDescent="0.3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x14ac:dyDescent="0.3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x14ac:dyDescent="0.3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x14ac:dyDescent="0.3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x14ac:dyDescent="0.3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x14ac:dyDescent="0.3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x14ac:dyDescent="0.3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x14ac:dyDescent="0.3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x14ac:dyDescent="0.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x14ac:dyDescent="0.3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x14ac:dyDescent="0.3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x14ac:dyDescent="0.3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x14ac:dyDescent="0.3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x14ac:dyDescent="0.3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x14ac:dyDescent="0.3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x14ac:dyDescent="0.3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x14ac:dyDescent="0.3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x14ac:dyDescent="0.3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x14ac:dyDescent="0.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x14ac:dyDescent="0.3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x14ac:dyDescent="0.3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x14ac:dyDescent="0.3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x14ac:dyDescent="0.3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x14ac:dyDescent="0.3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x14ac:dyDescent="0.3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x14ac:dyDescent="0.3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x14ac:dyDescent="0.3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x14ac:dyDescent="0.3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x14ac:dyDescent="0.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x14ac:dyDescent="0.3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x14ac:dyDescent="0.3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x14ac:dyDescent="0.3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x14ac:dyDescent="0.3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x14ac:dyDescent="0.3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x14ac:dyDescent="0.3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x14ac:dyDescent="0.3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x14ac:dyDescent="0.3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x14ac:dyDescent="0.3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x14ac:dyDescent="0.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x14ac:dyDescent="0.3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x14ac:dyDescent="0.3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x14ac:dyDescent="0.3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x14ac:dyDescent="0.3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x14ac:dyDescent="0.3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x14ac:dyDescent="0.3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x14ac:dyDescent="0.3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x14ac:dyDescent="0.3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x14ac:dyDescent="0.3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x14ac:dyDescent="0.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x14ac:dyDescent="0.3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x14ac:dyDescent="0.3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x14ac:dyDescent="0.3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x14ac:dyDescent="0.3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x14ac:dyDescent="0.3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x14ac:dyDescent="0.3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x14ac:dyDescent="0.3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x14ac:dyDescent="0.3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x14ac:dyDescent="0.3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x14ac:dyDescent="0.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x14ac:dyDescent="0.3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x14ac:dyDescent="0.3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x14ac:dyDescent="0.3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x14ac:dyDescent="0.3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x14ac:dyDescent="0.3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x14ac:dyDescent="0.3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x14ac:dyDescent="0.3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x14ac:dyDescent="0.3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x14ac:dyDescent="0.3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x14ac:dyDescent="0.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x14ac:dyDescent="0.3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x14ac:dyDescent="0.3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x14ac:dyDescent="0.3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x14ac:dyDescent="0.3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x14ac:dyDescent="0.3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x14ac:dyDescent="0.3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x14ac:dyDescent="0.3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x14ac:dyDescent="0.3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x14ac:dyDescent="0.3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x14ac:dyDescent="0.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x14ac:dyDescent="0.3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x14ac:dyDescent="0.3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x14ac:dyDescent="0.3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x14ac:dyDescent="0.3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x14ac:dyDescent="0.3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x14ac:dyDescent="0.3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x14ac:dyDescent="0.3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x14ac:dyDescent="0.3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x14ac:dyDescent="0.3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x14ac:dyDescent="0.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x14ac:dyDescent="0.3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x14ac:dyDescent="0.3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x14ac:dyDescent="0.3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x14ac:dyDescent="0.3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x14ac:dyDescent="0.3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x14ac:dyDescent="0.3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x14ac:dyDescent="0.3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x14ac:dyDescent="0.3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x14ac:dyDescent="0.3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x14ac:dyDescent="0.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x14ac:dyDescent="0.3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x14ac:dyDescent="0.3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x14ac:dyDescent="0.3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x14ac:dyDescent="0.3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x14ac:dyDescent="0.3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x14ac:dyDescent="0.3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x14ac:dyDescent="0.3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x14ac:dyDescent="0.3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x14ac:dyDescent="0.3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x14ac:dyDescent="0.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x14ac:dyDescent="0.3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x14ac:dyDescent="0.3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x14ac:dyDescent="0.3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1048576" spans="1:1" x14ac:dyDescent="0.3">
      <c r="A1048576" t="s">
        <v>153</v>
      </c>
    </row>
  </sheetData>
  <mergeCells count="1">
    <mergeCell ref="A2: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1048576"/>
  <sheetViews>
    <sheetView showGridLines="0" zoomScaleNormal="100" workbookViewId="0">
      <selection activeCell="E18" sqref="E18"/>
    </sheetView>
  </sheetViews>
  <sheetFormatPr defaultRowHeight="14.4" x14ac:dyDescent="0.3"/>
  <cols>
    <col min="2" max="2" width="19.109375" customWidth="1"/>
    <col min="3" max="3" width="14" customWidth="1"/>
    <col min="4" max="5" width="14.109375" customWidth="1"/>
    <col min="6" max="6" width="13.77734375" customWidth="1"/>
  </cols>
  <sheetData>
    <row r="2" spans="1:5" ht="23.4" x14ac:dyDescent="0.45">
      <c r="A2" s="73" t="s">
        <v>138</v>
      </c>
      <c r="B2" s="73"/>
    </row>
    <row r="4" spans="1:5" ht="18" x14ac:dyDescent="0.3">
      <c r="B4" s="15" t="s">
        <v>95</v>
      </c>
    </row>
    <row r="6" spans="1:5" ht="18" x14ac:dyDescent="0.3">
      <c r="B6" s="15" t="s">
        <v>89</v>
      </c>
    </row>
    <row r="7" spans="1:5" x14ac:dyDescent="0.3">
      <c r="B7" t="s">
        <v>90</v>
      </c>
    </row>
    <row r="9" spans="1:5" ht="18" x14ac:dyDescent="0.35">
      <c r="B9" s="22" t="s">
        <v>94</v>
      </c>
    </row>
    <row r="10" spans="1:5" x14ac:dyDescent="0.3">
      <c r="B10" t="s">
        <v>93</v>
      </c>
    </row>
    <row r="12" spans="1:5" ht="18" x14ac:dyDescent="0.35">
      <c r="B12" s="22" t="s">
        <v>96</v>
      </c>
    </row>
    <row r="13" spans="1:5" x14ac:dyDescent="0.3">
      <c r="B13" t="s">
        <v>97</v>
      </c>
    </row>
    <row r="16" spans="1:5" ht="18" x14ac:dyDescent="0.35">
      <c r="B16" s="35" t="s">
        <v>29</v>
      </c>
      <c r="C16" s="36" t="s">
        <v>91</v>
      </c>
      <c r="D16" s="35" t="s">
        <v>92</v>
      </c>
      <c r="E16" s="35" t="s">
        <v>98</v>
      </c>
    </row>
    <row r="17" spans="2:5" x14ac:dyDescent="0.3">
      <c r="B17" s="14" t="s">
        <v>99</v>
      </c>
      <c r="C17" s="5" t="str">
        <f>LEFT(B17,6)</f>
        <v>Arthur</v>
      </c>
      <c r="D17" s="5" t="str">
        <f>MID(B17,8,4)</f>
        <v>Adam</v>
      </c>
      <c r="E17" s="5" t="str">
        <f>RIGHT(B17,6)</f>
        <v>Gainer</v>
      </c>
    </row>
    <row r="1048576" spans="1:1" x14ac:dyDescent="0.3">
      <c r="A1048576" t="s">
        <v>152</v>
      </c>
    </row>
  </sheetData>
  <mergeCells count="1">
    <mergeCell ref="A2:B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48576"/>
  <sheetViews>
    <sheetView showGridLines="0" topLeftCell="A4" zoomScale="120" zoomScaleNormal="120" workbookViewId="0">
      <selection activeCell="F12" sqref="F12"/>
    </sheetView>
  </sheetViews>
  <sheetFormatPr defaultRowHeight="14.4" x14ac:dyDescent="0.3"/>
  <cols>
    <col min="4" max="4" width="10.109375" bestFit="1" customWidth="1"/>
    <col min="5" max="5" width="14.109375" bestFit="1" customWidth="1"/>
    <col min="6" max="6" width="34.6640625" customWidth="1"/>
    <col min="10" max="10" width="12.109375" bestFit="1" customWidth="1"/>
    <col min="12" max="12" width="12.77734375" bestFit="1" customWidth="1"/>
  </cols>
  <sheetData>
    <row r="1" spans="1:6" ht="23.4" x14ac:dyDescent="0.45">
      <c r="A1" s="59"/>
    </row>
    <row r="2" spans="1:6" ht="23.4" x14ac:dyDescent="0.45">
      <c r="A2" s="73" t="s">
        <v>148</v>
      </c>
      <c r="B2" s="73"/>
    </row>
    <row r="3" spans="1:6" ht="23.4" x14ac:dyDescent="0.45">
      <c r="A3" s="60"/>
      <c r="B3" s="60"/>
    </row>
    <row r="4" spans="1:6" ht="18" x14ac:dyDescent="0.35">
      <c r="B4" s="22" t="s">
        <v>141</v>
      </c>
    </row>
    <row r="5" spans="1:6" x14ac:dyDescent="0.3">
      <c r="B5" t="s">
        <v>58</v>
      </c>
    </row>
    <row r="8" spans="1:6" ht="15.6" x14ac:dyDescent="0.3">
      <c r="B8" s="18" t="s">
        <v>29</v>
      </c>
      <c r="C8" s="18"/>
      <c r="D8" s="18"/>
      <c r="E8" s="18"/>
      <c r="F8" s="19" t="s">
        <v>43</v>
      </c>
    </row>
    <row r="9" spans="1:6" ht="15.6" x14ac:dyDescent="0.3">
      <c r="B9" s="20" t="s">
        <v>44</v>
      </c>
      <c r="C9" s="20" t="s">
        <v>45</v>
      </c>
      <c r="D9" s="20" t="s">
        <v>46</v>
      </c>
      <c r="E9" s="21" t="s">
        <v>47</v>
      </c>
      <c r="F9" s="20" t="str">
        <f>CONCATENATE(B9," ",C9," ",D9," ",E9)</f>
        <v>Ms Komal Jayshing Chandanshive</v>
      </c>
    </row>
    <row r="10" spans="1:6" ht="15.6" x14ac:dyDescent="0.3">
      <c r="B10" s="20" t="s">
        <v>44</v>
      </c>
      <c r="C10" s="20" t="s">
        <v>48</v>
      </c>
      <c r="D10" s="20" t="s">
        <v>49</v>
      </c>
      <c r="E10" s="21" t="s">
        <v>50</v>
      </c>
      <c r="F10" s="20" t="str">
        <f>CONCATENATE(B10," ",C10," ",D10," ",E10," ")</f>
        <v xml:space="preserve">Ms Ashwini Bhagwan  Kure </v>
      </c>
    </row>
    <row r="11" spans="1:6" ht="15.6" x14ac:dyDescent="0.3">
      <c r="B11" s="20" t="s">
        <v>51</v>
      </c>
      <c r="C11" s="20" t="s">
        <v>52</v>
      </c>
      <c r="D11" s="20" t="s">
        <v>53</v>
      </c>
      <c r="E11" s="21" t="s">
        <v>54</v>
      </c>
      <c r="F11" s="20" t="str">
        <f>CONCATENATE(B11," ",C11," ",D11," ",E11," ")</f>
        <v xml:space="preserve">Mr Rashid Rafiq Shaikh </v>
      </c>
    </row>
    <row r="12" spans="1:6" ht="15.6" x14ac:dyDescent="0.3">
      <c r="B12" s="20" t="s">
        <v>51</v>
      </c>
      <c r="C12" s="20" t="s">
        <v>55</v>
      </c>
      <c r="D12" s="20" t="s">
        <v>56</v>
      </c>
      <c r="E12" s="21" t="s">
        <v>57</v>
      </c>
      <c r="F12" s="20"/>
    </row>
    <row r="15" spans="1:6" ht="18" x14ac:dyDescent="0.35">
      <c r="F15" s="22" t="s">
        <v>59</v>
      </c>
    </row>
    <row r="17" spans="6:12" x14ac:dyDescent="0.3">
      <c r="F17" s="1" t="s">
        <v>29</v>
      </c>
      <c r="G17" s="2" t="s">
        <v>60</v>
      </c>
      <c r="H17" s="2" t="s">
        <v>62</v>
      </c>
      <c r="I17" s="2" t="s">
        <v>61</v>
      </c>
      <c r="J17" s="2" t="s">
        <v>63</v>
      </c>
      <c r="K17" s="5"/>
      <c r="L17" s="2" t="s">
        <v>67</v>
      </c>
    </row>
    <row r="18" spans="6:12" ht="15.6" x14ac:dyDescent="0.3">
      <c r="F18" s="20" t="s">
        <v>64</v>
      </c>
      <c r="G18" s="14">
        <v>25</v>
      </c>
      <c r="H18" s="14" t="s">
        <v>65</v>
      </c>
      <c r="I18" s="14">
        <v>65</v>
      </c>
      <c r="J18" s="14" t="s">
        <v>66</v>
      </c>
      <c r="K18" s="5"/>
      <c r="L18" s="14"/>
    </row>
    <row r="20" spans="6:12" x14ac:dyDescent="0.3">
      <c r="F20" s="11" t="s">
        <v>144</v>
      </c>
      <c r="G20" s="11"/>
      <c r="H20" s="11"/>
      <c r="I20" s="11"/>
      <c r="J20" s="11"/>
    </row>
    <row r="21" spans="6:12" x14ac:dyDescent="0.3">
      <c r="F21" s="11" t="s">
        <v>145</v>
      </c>
      <c r="G21" s="11"/>
      <c r="H21" s="11"/>
      <c r="I21" s="11"/>
      <c r="J21" s="11"/>
    </row>
    <row r="22" spans="6:12" x14ac:dyDescent="0.3">
      <c r="F22" s="11" t="s">
        <v>146</v>
      </c>
      <c r="G22" s="11"/>
      <c r="H22" s="11"/>
      <c r="I22" s="11"/>
      <c r="J22" s="11"/>
    </row>
    <row r="23" spans="6:12" x14ac:dyDescent="0.3">
      <c r="F23" s="11" t="s">
        <v>147</v>
      </c>
      <c r="G23" s="11"/>
      <c r="H23" s="11"/>
      <c r="I23" s="11"/>
      <c r="J23" s="11"/>
    </row>
    <row r="1048576" spans="1:1" x14ac:dyDescent="0.3">
      <c r="A1048576" t="s">
        <v>153</v>
      </c>
    </row>
  </sheetData>
  <mergeCells count="1">
    <mergeCell ref="A2:B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7D30-655C-4071-BB11-1BB6EAD11479}">
  <dimension ref="A2:D27"/>
  <sheetViews>
    <sheetView tabSelected="1" workbookViewId="0">
      <selection activeCell="D6" sqref="D6"/>
    </sheetView>
  </sheetViews>
  <sheetFormatPr defaultRowHeight="14.4" x14ac:dyDescent="0.3"/>
  <cols>
    <col min="1" max="1" width="25.6640625" customWidth="1"/>
    <col min="2" max="2" width="23.88671875" customWidth="1"/>
    <col min="3" max="3" width="27" customWidth="1"/>
    <col min="4" max="4" width="21.77734375" customWidth="1"/>
  </cols>
  <sheetData>
    <row r="2" spans="1:4" ht="21" x14ac:dyDescent="0.4">
      <c r="A2" s="70" t="s">
        <v>202</v>
      </c>
    </row>
    <row r="4" spans="1:4" x14ac:dyDescent="0.3">
      <c r="A4" s="62" t="s">
        <v>154</v>
      </c>
      <c r="B4" s="63" t="s">
        <v>155</v>
      </c>
      <c r="C4" s="62" t="s">
        <v>154</v>
      </c>
      <c r="D4" s="63" t="s">
        <v>155</v>
      </c>
    </row>
    <row r="5" spans="1:4" x14ac:dyDescent="0.3">
      <c r="A5" s="64" t="s">
        <v>156</v>
      </c>
      <c r="B5" s="65" t="s">
        <v>204</v>
      </c>
      <c r="C5" s="66" t="s">
        <v>157</v>
      </c>
      <c r="D5" s="66" t="s">
        <v>227</v>
      </c>
    </row>
    <row r="6" spans="1:4" x14ac:dyDescent="0.3">
      <c r="A6" s="67" t="s">
        <v>158</v>
      </c>
      <c r="B6" s="68" t="s">
        <v>205</v>
      </c>
      <c r="C6" s="69" t="s">
        <v>159</v>
      </c>
      <c r="D6" s="69" t="s">
        <v>228</v>
      </c>
    </row>
    <row r="7" spans="1:4" x14ac:dyDescent="0.3">
      <c r="A7" s="67" t="s">
        <v>160</v>
      </c>
      <c r="B7" s="68" t="s">
        <v>206</v>
      </c>
      <c r="C7" s="69" t="s">
        <v>161</v>
      </c>
      <c r="D7" s="69" t="s">
        <v>229</v>
      </c>
    </row>
    <row r="8" spans="1:4" x14ac:dyDescent="0.3">
      <c r="A8" s="67" t="s">
        <v>162</v>
      </c>
      <c r="B8" s="68" t="s">
        <v>207</v>
      </c>
      <c r="C8" s="69" t="s">
        <v>163</v>
      </c>
      <c r="D8" s="69" t="s">
        <v>230</v>
      </c>
    </row>
    <row r="9" spans="1:4" x14ac:dyDescent="0.3">
      <c r="A9" s="67" t="s">
        <v>164</v>
      </c>
      <c r="B9" s="68" t="s">
        <v>208</v>
      </c>
      <c r="C9" s="69" t="s">
        <v>165</v>
      </c>
      <c r="D9" s="69" t="s">
        <v>231</v>
      </c>
    </row>
    <row r="10" spans="1:4" x14ac:dyDescent="0.3">
      <c r="A10" s="67" t="s">
        <v>166</v>
      </c>
      <c r="B10" s="68" t="s">
        <v>209</v>
      </c>
      <c r="C10" s="69" t="s">
        <v>167</v>
      </c>
      <c r="D10" s="69" t="s">
        <v>232</v>
      </c>
    </row>
    <row r="11" spans="1:4" x14ac:dyDescent="0.3">
      <c r="A11" s="67" t="s">
        <v>168</v>
      </c>
      <c r="B11" s="68" t="s">
        <v>210</v>
      </c>
      <c r="C11" s="69" t="s">
        <v>169</v>
      </c>
      <c r="D11" s="69" t="s">
        <v>233</v>
      </c>
    </row>
    <row r="12" spans="1:4" x14ac:dyDescent="0.3">
      <c r="A12" s="67" t="s">
        <v>170</v>
      </c>
      <c r="B12" s="68" t="s">
        <v>211</v>
      </c>
      <c r="C12" s="69" t="s">
        <v>171</v>
      </c>
      <c r="D12" s="69" t="s">
        <v>234</v>
      </c>
    </row>
    <row r="13" spans="1:4" x14ac:dyDescent="0.3">
      <c r="A13" s="67" t="s">
        <v>172</v>
      </c>
      <c r="B13" s="68" t="s">
        <v>212</v>
      </c>
      <c r="C13" s="69" t="s">
        <v>173</v>
      </c>
      <c r="D13" s="69" t="s">
        <v>235</v>
      </c>
    </row>
    <row r="14" spans="1:4" x14ac:dyDescent="0.3">
      <c r="A14" s="67" t="s">
        <v>174</v>
      </c>
      <c r="B14" s="68" t="s">
        <v>213</v>
      </c>
      <c r="C14" s="69" t="s">
        <v>175</v>
      </c>
      <c r="D14" s="69" t="s">
        <v>236</v>
      </c>
    </row>
    <row r="15" spans="1:4" x14ac:dyDescent="0.3">
      <c r="A15" s="67" t="s">
        <v>176</v>
      </c>
      <c r="B15" s="68" t="s">
        <v>214</v>
      </c>
      <c r="C15" s="69" t="s">
        <v>177</v>
      </c>
      <c r="D15" s="69" t="s">
        <v>237</v>
      </c>
    </row>
    <row r="16" spans="1:4" x14ac:dyDescent="0.3">
      <c r="A16" s="67" t="s">
        <v>178</v>
      </c>
      <c r="B16" s="68" t="s">
        <v>215</v>
      </c>
      <c r="C16" s="69" t="s">
        <v>179</v>
      </c>
      <c r="D16" s="69" t="s">
        <v>238</v>
      </c>
    </row>
    <row r="17" spans="1:4" x14ac:dyDescent="0.3">
      <c r="A17" s="67" t="s">
        <v>180</v>
      </c>
      <c r="B17" s="68" t="s">
        <v>216</v>
      </c>
      <c r="C17" s="69" t="s">
        <v>181</v>
      </c>
      <c r="D17" s="69" t="s">
        <v>239</v>
      </c>
    </row>
    <row r="18" spans="1:4" x14ac:dyDescent="0.3">
      <c r="A18" s="67" t="s">
        <v>182</v>
      </c>
      <c r="B18" s="68" t="s">
        <v>217</v>
      </c>
      <c r="C18" s="69" t="s">
        <v>183</v>
      </c>
      <c r="D18" s="69" t="s">
        <v>240</v>
      </c>
    </row>
    <row r="19" spans="1:4" x14ac:dyDescent="0.3">
      <c r="A19" s="67" t="s">
        <v>184</v>
      </c>
      <c r="B19" s="68" t="s">
        <v>218</v>
      </c>
      <c r="C19" s="69" t="s">
        <v>185</v>
      </c>
      <c r="D19" s="69" t="s">
        <v>241</v>
      </c>
    </row>
    <row r="20" spans="1:4" x14ac:dyDescent="0.3">
      <c r="A20" s="67" t="s">
        <v>186</v>
      </c>
      <c r="B20" s="68" t="s">
        <v>219</v>
      </c>
      <c r="C20" s="69" t="s">
        <v>187</v>
      </c>
      <c r="D20" s="69" t="s">
        <v>242</v>
      </c>
    </row>
    <row r="21" spans="1:4" x14ac:dyDescent="0.3">
      <c r="A21" s="67" t="s">
        <v>188</v>
      </c>
      <c r="B21" s="68" t="s">
        <v>220</v>
      </c>
      <c r="C21" s="69" t="s">
        <v>189</v>
      </c>
      <c r="D21" s="69" t="s">
        <v>243</v>
      </c>
    </row>
    <row r="22" spans="1:4" x14ac:dyDescent="0.3">
      <c r="A22" s="67" t="s">
        <v>190</v>
      </c>
      <c r="B22" s="68" t="s">
        <v>221</v>
      </c>
      <c r="C22" s="69" t="s">
        <v>191</v>
      </c>
      <c r="D22" s="69" t="s">
        <v>244</v>
      </c>
    </row>
    <row r="23" spans="1:4" x14ac:dyDescent="0.3">
      <c r="A23" s="67" t="s">
        <v>192</v>
      </c>
      <c r="B23" s="68" t="s">
        <v>222</v>
      </c>
      <c r="C23" s="69" t="s">
        <v>193</v>
      </c>
      <c r="D23" s="69" t="s">
        <v>245</v>
      </c>
    </row>
    <row r="24" spans="1:4" x14ac:dyDescent="0.3">
      <c r="A24" s="67" t="s">
        <v>194</v>
      </c>
      <c r="B24" s="68" t="s">
        <v>223</v>
      </c>
      <c r="C24" s="69" t="s">
        <v>195</v>
      </c>
      <c r="D24" s="69" t="s">
        <v>246</v>
      </c>
    </row>
    <row r="25" spans="1:4" x14ac:dyDescent="0.3">
      <c r="A25" s="67" t="s">
        <v>196</v>
      </c>
      <c r="B25" s="68" t="s">
        <v>224</v>
      </c>
      <c r="C25" s="69" t="s">
        <v>197</v>
      </c>
      <c r="D25" s="69" t="s">
        <v>247</v>
      </c>
    </row>
    <row r="26" spans="1:4" x14ac:dyDescent="0.3">
      <c r="A26" s="67" t="s">
        <v>198</v>
      </c>
      <c r="B26" s="68" t="s">
        <v>225</v>
      </c>
      <c r="C26" s="69" t="s">
        <v>199</v>
      </c>
      <c r="D26" s="69" t="s">
        <v>248</v>
      </c>
    </row>
    <row r="27" spans="1:4" x14ac:dyDescent="0.3">
      <c r="A27" s="67" t="s">
        <v>200</v>
      </c>
      <c r="B27" s="68" t="s">
        <v>226</v>
      </c>
      <c r="C27" s="69" t="s">
        <v>201</v>
      </c>
      <c r="D27" s="69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Basic Arithmatic Calculation</vt:lpstr>
      <vt:lpstr>ROUNDUP</vt:lpstr>
      <vt:lpstr>SUM - AUTO SUM</vt:lpstr>
      <vt:lpstr>Average</vt:lpstr>
      <vt:lpstr>MIN and MAX</vt:lpstr>
      <vt:lpstr>Count - CountA - CountBlank</vt:lpstr>
      <vt:lpstr>Text Base Formulas</vt:lpstr>
      <vt:lpstr>LEFT MID RIGHT</vt:lpstr>
      <vt:lpstr>CONCATENATE</vt:lpstr>
      <vt:lpstr>FLASH-FILL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Basic Formula of  the Excel</dc:title>
  <dc:subject>Basic Formula of the Excel</dc:subject>
  <dc:creator>Inayat Isane</dc:creator>
  <dc:description>Do not do any changes without informing to Inayat Isane</dc:description>
  <cp:lastModifiedBy>nooreelahi786@outlook.com</cp:lastModifiedBy>
  <dcterms:created xsi:type="dcterms:W3CDTF">2023-07-31T05:14:55Z</dcterms:created>
  <dcterms:modified xsi:type="dcterms:W3CDTF">2026-08-06T03:53:09Z</dcterms:modified>
  <cp:category>MS Excel</cp:category>
  <cp:contentStatus>Active in OE Batches</cp:contentStatus>
</cp:coreProperties>
</file>