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d.docs.live.net/6b2605add2f4c5a7/ドキュメント/Desktop/EXCEL LHF/"/>
    </mc:Choice>
  </mc:AlternateContent>
  <xr:revisionPtr revIDLastSave="319" documentId="13_ncr:1_{A946EBAE-3427-478C-84D6-DC4F92490047}" xr6:coauthVersionLast="47" xr6:coauthVersionMax="47" xr10:uidLastSave="{A44AFD1A-FFBA-4448-8E53-463DB799C91C}"/>
  <bookViews>
    <workbookView xWindow="-108" yWindow="-108" windowWidth="23256" windowHeight="13896" firstSheet="16" activeTab="21" xr2:uid="{00000000-000D-0000-FFFF-FFFF00000000}"/>
  </bookViews>
  <sheets>
    <sheet name="Introduction of Excel" sheetId="20" r:id="rId1"/>
    <sheet name="Data Creation" sheetId="31" r:id="rId2"/>
    <sheet name="ROW - Col Adjustment" sheetId="16" r:id="rId3"/>
    <sheet name="Insert-Delete-Hide-Un Row - Col" sheetId="21" r:id="rId4"/>
    <sheet name="Alignment - L-R-C" sheetId="18" r:id="rId5"/>
    <sheet name="Grid Lines - Boders" sheetId="19" r:id="rId6"/>
    <sheet name="Merge Cell" sheetId="2" r:id="rId7"/>
    <sheet name="DATA- COPY - CUT - PASTE" sheetId="17" r:id="rId8"/>
    <sheet name="Paste Value" sheetId="3" r:id="rId9"/>
    <sheet name="Transpose" sheetId="8" r:id="rId10"/>
    <sheet name="Range" sheetId="14" r:id="rId11"/>
    <sheet name="Freez" sheetId="11" r:id="rId12"/>
    <sheet name="Find &amp; Replace" sheetId="25" r:id="rId13"/>
    <sheet name="Drop Down" sheetId="24" r:id="rId14"/>
    <sheet name="Filter" sheetId="10" r:id="rId15"/>
    <sheet name="Advanced Filter" sheetId="32" r:id="rId16"/>
    <sheet name="DATA Sort" sheetId="23" r:id="rId17"/>
    <sheet name="DATA Validation" sheetId="27" r:id="rId18"/>
    <sheet name="Date" sheetId="12" r:id="rId19"/>
    <sheet name="DATE-2" sheetId="15" r:id="rId20"/>
    <sheet name="Group-UnGroup" sheetId="30" r:id="rId21"/>
    <sheet name="Page Setup in Excel" sheetId="29" r:id="rId22"/>
  </sheets>
  <externalReferences>
    <externalReference r:id="rId23"/>
  </externalReferences>
  <definedNames>
    <definedName name="_xlnm._FilterDatabase" localSheetId="14" hidden="1">Filter!$A$9:$H$95</definedName>
    <definedName name="_xlnm._FilterDatabase" localSheetId="11" hidden="1">Freez!$A$9:$G$95</definedName>
    <definedName name="_xlnm.Criteria" localSheetId="15">'Advanced Filter'!$B$7:$B$8</definedName>
    <definedName name="_xlnm.Extract" localSheetId="15">'Advanced Filter'!$B$16:$I$16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2" i="12" l="1"/>
  <c r="B62" i="12"/>
  <c r="B66" i="12" s="1"/>
  <c r="C31" i="12"/>
  <c r="G31" i="12"/>
  <c r="M12" i="12"/>
  <c r="O12" i="12"/>
  <c r="C15" i="14"/>
  <c r="B43" i="8" a="1"/>
  <c r="B43" i="8" s="1"/>
  <c r="C32" i="12"/>
  <c r="C33" i="12"/>
  <c r="C34" i="12"/>
  <c r="C35" i="12"/>
  <c r="C36" i="12"/>
  <c r="C37" i="12"/>
  <c r="E7" i="15"/>
  <c r="E10" i="15"/>
  <c r="E11" i="15"/>
  <c r="E12" i="15"/>
  <c r="E13" i="15"/>
  <c r="E14" i="15"/>
  <c r="E15" i="15"/>
  <c r="E16" i="15"/>
  <c r="E17" i="15"/>
  <c r="E18" i="15"/>
  <c r="E19" i="15"/>
  <c r="E20" i="15"/>
  <c r="E21" i="15"/>
  <c r="E22" i="15"/>
  <c r="E23" i="15"/>
  <c r="E24" i="15"/>
  <c r="E25" i="15"/>
  <c r="E26" i="15"/>
  <c r="E27" i="15"/>
  <c r="E9" i="15"/>
  <c r="E8" i="15"/>
  <c r="O13" i="12"/>
  <c r="M13" i="12"/>
  <c r="M14" i="12"/>
  <c r="M15" i="12"/>
  <c r="M16" i="12"/>
  <c r="M17" i="12"/>
  <c r="M19" i="12"/>
  <c r="E8" i="12"/>
  <c r="I28" i="3"/>
  <c r="J28" i="3"/>
  <c r="K28" i="3"/>
  <c r="L28" i="3"/>
  <c r="D26" i="3"/>
  <c r="E26" i="3"/>
  <c r="F26" i="3"/>
  <c r="G26" i="3"/>
  <c r="D17" i="3"/>
  <c r="E17" i="3"/>
  <c r="F17" i="3"/>
  <c r="G17" i="3"/>
  <c r="K10" i="32" a="1"/>
  <c r="K10" i="32" s="1"/>
  <c r="B11" i="32" a="1"/>
  <c r="B11" i="32" s="1"/>
  <c r="C66" i="12" l="1"/>
  <c r="D12" i="3"/>
  <c r="E12" i="3"/>
  <c r="F12" i="3"/>
  <c r="G12" i="3"/>
  <c r="D6" i="12"/>
  <c r="D66" i="12" l="1"/>
  <c r="J26" i="30" l="1"/>
  <c r="I26" i="30"/>
  <c r="H26" i="30"/>
  <c r="G26" i="30"/>
  <c r="E26" i="30"/>
  <c r="D26" i="30"/>
  <c r="C26" i="30"/>
  <c r="B26" i="30"/>
  <c r="F26" i="30" s="1"/>
  <c r="K25" i="30"/>
  <c r="F25" i="30"/>
  <c r="K24" i="30"/>
  <c r="F24" i="30"/>
  <c r="K23" i="30"/>
  <c r="F23" i="30"/>
  <c r="K22" i="30"/>
  <c r="F22" i="30"/>
  <c r="J21" i="30"/>
  <c r="I21" i="30"/>
  <c r="H21" i="30"/>
  <c r="G21" i="30"/>
  <c r="E21" i="30"/>
  <c r="D21" i="30"/>
  <c r="C21" i="30"/>
  <c r="B21" i="30"/>
  <c r="F21" i="30" s="1"/>
  <c r="K20" i="30"/>
  <c r="F20" i="30"/>
  <c r="K19" i="30"/>
  <c r="F19" i="30"/>
  <c r="K18" i="30"/>
  <c r="F18" i="30"/>
  <c r="K17" i="30"/>
  <c r="F17" i="30"/>
  <c r="J16" i="30"/>
  <c r="I16" i="30"/>
  <c r="H16" i="30"/>
  <c r="G16" i="30"/>
  <c r="E16" i="30"/>
  <c r="D16" i="30"/>
  <c r="C16" i="30"/>
  <c r="B16" i="30"/>
  <c r="F16" i="30" s="1"/>
  <c r="K15" i="30"/>
  <c r="F15" i="30"/>
  <c r="K14" i="30"/>
  <c r="F14" i="30"/>
  <c r="K13" i="30"/>
  <c r="F13" i="30"/>
  <c r="K12" i="30"/>
  <c r="F12" i="30"/>
  <c r="J11" i="30"/>
  <c r="I11" i="30"/>
  <c r="H11" i="30"/>
  <c r="G11" i="30"/>
  <c r="F11" i="30"/>
  <c r="E11" i="30"/>
  <c r="D11" i="30"/>
  <c r="C11" i="30"/>
  <c r="B11" i="30"/>
  <c r="K10" i="30"/>
  <c r="F10" i="30"/>
  <c r="K9" i="30"/>
  <c r="F9" i="30"/>
  <c r="K8" i="30"/>
  <c r="F8" i="30"/>
  <c r="K7" i="30"/>
  <c r="F7" i="30"/>
  <c r="K21" i="30" l="1"/>
  <c r="K11" i="30"/>
  <c r="K16" i="30"/>
  <c r="K26" i="30"/>
  <c r="B50" i="12"/>
  <c r="B56" i="12" s="1"/>
  <c r="E56" i="12" l="1"/>
  <c r="D56" i="12"/>
  <c r="C56" i="12"/>
  <c r="G15" i="23"/>
  <c r="G12" i="23"/>
  <c r="G8" i="23"/>
  <c r="G13" i="23"/>
  <c r="G18" i="23"/>
  <c r="G21" i="23"/>
  <c r="G19" i="23"/>
  <c r="G14" i="23"/>
  <c r="G11" i="23"/>
  <c r="G24" i="23"/>
  <c r="G20" i="23"/>
  <c r="G25" i="23"/>
  <c r="G26" i="23"/>
  <c r="G10" i="23"/>
  <c r="G7" i="23"/>
  <c r="G16" i="23"/>
  <c r="G17" i="23"/>
  <c r="G22" i="23"/>
  <c r="G23" i="23"/>
  <c r="G9" i="23"/>
  <c r="B5" i="12" l="1"/>
  <c r="E13" i="8" l="1"/>
  <c r="D13" i="8"/>
  <c r="C13" i="8"/>
  <c r="B13"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<sst xmlns="http://schemas.openxmlformats.org/spreadsheetml/2006/main" count="4618" uniqueCount="1023">
  <si>
    <t>Exercise 1</t>
  </si>
  <si>
    <t>Exercise 2</t>
  </si>
  <si>
    <t>Exercise 3</t>
  </si>
  <si>
    <t>Department Report</t>
  </si>
  <si>
    <t>Corporate</t>
  </si>
  <si>
    <t>Accounting</t>
  </si>
  <si>
    <t>HR</t>
  </si>
  <si>
    <t>Operations</t>
  </si>
  <si>
    <t>Research</t>
  </si>
  <si>
    <t>Manufacturing</t>
  </si>
  <si>
    <t>Sales</t>
  </si>
  <si>
    <t>Marketing</t>
  </si>
  <si>
    <t>Logistics</t>
  </si>
  <si>
    <t>IT</t>
  </si>
  <si>
    <t>Warehouse</t>
  </si>
  <si>
    <t>DeptID</t>
  </si>
  <si>
    <t>Department</t>
  </si>
  <si>
    <t>Q1</t>
  </si>
  <si>
    <t>Q2</t>
  </si>
  <si>
    <t>Q3</t>
  </si>
  <si>
    <t>Q4</t>
  </si>
  <si>
    <t>TOTAL</t>
  </si>
  <si>
    <t>GRAND TOTAL</t>
  </si>
  <si>
    <t>Exercise 4</t>
  </si>
  <si>
    <t>Forties Stockiest</t>
  </si>
  <si>
    <t>Qtr -1</t>
  </si>
  <si>
    <t>Qtr -2</t>
  </si>
  <si>
    <t>Qtr -3</t>
  </si>
  <si>
    <t>Qtr -4</t>
  </si>
  <si>
    <t>EAST</t>
  </si>
  <si>
    <t>How to Transpose Data from Col to Row ?</t>
  </si>
  <si>
    <t>How to paste Value from the formulated cell ?</t>
  </si>
  <si>
    <t>EXIM</t>
  </si>
  <si>
    <t>DATA</t>
  </si>
  <si>
    <t>Review 1</t>
  </si>
  <si>
    <t>Review 2</t>
  </si>
  <si>
    <t>Review 3</t>
  </si>
  <si>
    <t xml:space="preserve">BAJAJ SUPER SALES </t>
  </si>
  <si>
    <t>ID</t>
  </si>
  <si>
    <t>Dealer Name</t>
  </si>
  <si>
    <t>Model No</t>
  </si>
  <si>
    <t>Price</t>
  </si>
  <si>
    <t>Quantity</t>
  </si>
  <si>
    <t>Rpt Dt</t>
  </si>
  <si>
    <t>DAY</t>
  </si>
  <si>
    <t>Smith,Jacob</t>
  </si>
  <si>
    <t>Bajaj Pulsar RS200</t>
  </si>
  <si>
    <t>THURSDAY</t>
  </si>
  <si>
    <t>Johnson,Michael</t>
  </si>
  <si>
    <t>Bajaj Pulsar NS 200</t>
  </si>
  <si>
    <t>WEDNESDAY</t>
  </si>
  <si>
    <t>Bajaj Pulsar NS 160</t>
  </si>
  <si>
    <t>Williams,Joshua</t>
  </si>
  <si>
    <t>Bajaj Pulsar 220 F</t>
  </si>
  <si>
    <t>Jones,Matthew</t>
  </si>
  <si>
    <t>Bajaj Pulsar 150</t>
  </si>
  <si>
    <t>Brown,Daniel</t>
  </si>
  <si>
    <t>Bajaj Pulsar 150 Twin Disc</t>
  </si>
  <si>
    <t>Davis,Christopher</t>
  </si>
  <si>
    <t>Bajaj Pulsar 150 Neon</t>
  </si>
  <si>
    <t>Miller,Andrew</t>
  </si>
  <si>
    <t>Bajaj Pulsar 180F Neon</t>
  </si>
  <si>
    <t>Wilson,Ethan</t>
  </si>
  <si>
    <t>Bajaj Avenger Cruise 220</t>
  </si>
  <si>
    <t>Moore,Joseph</t>
  </si>
  <si>
    <t>Bajaj Avenger Street 160</t>
  </si>
  <si>
    <t>Bajaj Platina 100</t>
  </si>
  <si>
    <t>Taylor,William</t>
  </si>
  <si>
    <t>Bajaj Platina 110</t>
  </si>
  <si>
    <t>Bajaj Platina 110 H Gear</t>
  </si>
  <si>
    <t>Anderson,Anthony</t>
  </si>
  <si>
    <t>Bajaj Dominar 400</t>
  </si>
  <si>
    <t>Thomas,David</t>
  </si>
  <si>
    <t>Bajaj CT110</t>
  </si>
  <si>
    <t>Jackson,Alexander</t>
  </si>
  <si>
    <t>Bajaj CT100</t>
  </si>
  <si>
    <t>White,Nicholas</t>
  </si>
  <si>
    <t>Harris,Ryan</t>
  </si>
  <si>
    <t>Martin,Tyler</t>
  </si>
  <si>
    <t>Thompson,James</t>
  </si>
  <si>
    <t>Garcia,John</t>
  </si>
  <si>
    <t>Martinez,Jonathan</t>
  </si>
  <si>
    <t>FRIDAY</t>
  </si>
  <si>
    <t>Robinson,Noah</t>
  </si>
  <si>
    <t>TUESDAY</t>
  </si>
  <si>
    <t>Clark,Brandon</t>
  </si>
  <si>
    <t>Rodriguez,Christian</t>
  </si>
  <si>
    <t>MONDAY</t>
  </si>
  <si>
    <t>Lewis,Dylan</t>
  </si>
  <si>
    <t>Lee,Samuel</t>
  </si>
  <si>
    <t>Walker,Benjamin</t>
  </si>
  <si>
    <t>Hall,Zachary</t>
  </si>
  <si>
    <t>Allen,Nathan</t>
  </si>
  <si>
    <t>Young,Logan</t>
  </si>
  <si>
    <t>Hernandez,Justin</t>
  </si>
  <si>
    <t>King,Gabriel</t>
  </si>
  <si>
    <t>Wright,Jose</t>
  </si>
  <si>
    <t>Lopez,Austin</t>
  </si>
  <si>
    <t>Hill,Kevin</t>
  </si>
  <si>
    <t>Scott,Elijah</t>
  </si>
  <si>
    <t>Green,Caleb</t>
  </si>
  <si>
    <t>Adams,Robert</t>
  </si>
  <si>
    <t>Baker,Thomas</t>
  </si>
  <si>
    <t>Gonzalez,Jordan</t>
  </si>
  <si>
    <t>Nelson,Cameron</t>
  </si>
  <si>
    <t>Carter,Jack</t>
  </si>
  <si>
    <t>Mitchell,Hunter</t>
  </si>
  <si>
    <t>Perez,Jackson</t>
  </si>
  <si>
    <t>Roberts,Angel</t>
  </si>
  <si>
    <t>Turner,Isaiah</t>
  </si>
  <si>
    <t>Phillips,Evan</t>
  </si>
  <si>
    <t>Campbell,Isaac</t>
  </si>
  <si>
    <t>Parker,Mason</t>
  </si>
  <si>
    <t>Evans,Luke</t>
  </si>
  <si>
    <t>Edwards,Jason</t>
  </si>
  <si>
    <t>Collins,Gavin</t>
  </si>
  <si>
    <t>Stewart,Jayden</t>
  </si>
  <si>
    <t>Sanchez,Aaron</t>
  </si>
  <si>
    <t>Morris,Connor</t>
  </si>
  <si>
    <t>Rogers,Aiden</t>
  </si>
  <si>
    <t>Reed,Aidan</t>
  </si>
  <si>
    <t>Cook,Kyle</t>
  </si>
  <si>
    <t>Morgan,Juan</t>
  </si>
  <si>
    <t>Bell,Charles</t>
  </si>
  <si>
    <t>How to Filter DATA for data analysis ?</t>
  </si>
  <si>
    <t>How to Freez Col &amp; Row ?</t>
  </si>
  <si>
    <t>Emp Name</t>
  </si>
  <si>
    <t>Emp ID</t>
  </si>
  <si>
    <t>DOB</t>
  </si>
  <si>
    <t>Date of Retirement</t>
  </si>
  <si>
    <t>Date of Joining</t>
  </si>
  <si>
    <t>Cooper,Brian</t>
  </si>
  <si>
    <t>Richardson,Eric</t>
  </si>
  <si>
    <t>Cox,Adrian</t>
  </si>
  <si>
    <t>Age</t>
  </si>
  <si>
    <t>Date Formats -1</t>
  </si>
  <si>
    <t>AGE Calucation</t>
  </si>
  <si>
    <t>Date of Birth</t>
  </si>
  <si>
    <t>DATE Functions</t>
  </si>
  <si>
    <t>Retirement date Calculation</t>
  </si>
  <si>
    <t>What is range in Excel ? =sum(D8:G8)</t>
  </si>
  <si>
    <t>Exercise 5</t>
  </si>
  <si>
    <t>Exercise 6</t>
  </si>
  <si>
    <t>Exercise 7</t>
  </si>
  <si>
    <t>Exercise 8</t>
  </si>
  <si>
    <t>Exercise 9</t>
  </si>
  <si>
    <t>TODAY Date</t>
  </si>
  <si>
    <t>TODAY Date (Ctrl + ;)</t>
  </si>
  <si>
    <t xml:space="preserve">ALIGNMENT- LEFT - RIGHT - CENTER </t>
  </si>
  <si>
    <t>BORDERS</t>
  </si>
  <si>
    <t>Exercise 10</t>
  </si>
  <si>
    <t>Exercise 11</t>
  </si>
  <si>
    <t>Exercise 12</t>
  </si>
  <si>
    <t>Exercise 13</t>
  </si>
  <si>
    <t>How to Insert / Delete / Hide / Unhide Row &amp; Col ?</t>
  </si>
  <si>
    <t>Paste Special Transpose</t>
  </si>
  <si>
    <t>To transpose data, execute the following steps.</t>
  </si>
  <si>
    <t>1. Select the range A1:C1.</t>
  </si>
  <si>
    <t>2. Right click, and then click Copy.</t>
  </si>
  <si>
    <r>
      <t>Use the '</t>
    </r>
    <r>
      <rPr>
        <b/>
        <sz val="11"/>
        <color theme="1"/>
        <rFont val="Arial"/>
        <family val="2"/>
      </rPr>
      <t>Paste Special Transpose</t>
    </r>
    <r>
      <rPr>
        <sz val="11"/>
        <color theme="1"/>
        <rFont val="Arial"/>
        <family val="2"/>
      </rPr>
      <t xml:space="preserve">' option to switch rows to columns or columns to rows in </t>
    </r>
    <r>
      <rPr>
        <b/>
        <sz val="11"/>
        <color theme="1"/>
        <rFont val="Arial"/>
        <family val="2"/>
      </rPr>
      <t>Excel</t>
    </r>
    <r>
      <rPr>
        <sz val="11"/>
        <color theme="1"/>
        <rFont val="Arial"/>
        <family val="2"/>
      </rPr>
      <t xml:space="preserve">. You can also use the </t>
    </r>
    <r>
      <rPr>
        <b/>
        <sz val="11"/>
        <color theme="1"/>
        <rFont val="Arial"/>
        <family val="2"/>
      </rPr>
      <t>TRANSPOSE function</t>
    </r>
    <r>
      <rPr>
        <sz val="11"/>
        <color theme="1"/>
        <rFont val="Arial"/>
        <family val="2"/>
      </rPr>
      <t>.</t>
    </r>
  </si>
  <si>
    <t>Right click, and then click Paste Special.</t>
  </si>
  <si>
    <t>6. Click OK.</t>
  </si>
  <si>
    <t>Transpose Function</t>
  </si>
  <si>
    <t>To insert the TRANSPOSE function, execute the following steps.</t>
  </si>
  <si>
    <t>1. First, select the new range of cells.</t>
  </si>
  <si>
    <t>2. Type in =TRANSPOSE(</t>
  </si>
  <si>
    <t>3. Select the range A1:C1 and close with a parenthesis.</t>
  </si>
  <si>
    <t>Check Transpose.</t>
  </si>
  <si>
    <t>1. Click any single cell inside a data set.</t>
  </si>
  <si>
    <t>2. On the Data tab, in the Sort &amp; Filter group, click Filter.</t>
  </si>
  <si>
    <r>
      <t>Filter</t>
    </r>
    <r>
      <rPr>
        <sz val="12"/>
        <color theme="1"/>
        <rFont val="Arial"/>
        <family val="2"/>
      </rPr>
      <t xml:space="preserve"> your Excel data if you only want to display records that meet certain criteria.</t>
    </r>
  </si>
  <si>
    <t xml:space="preserve">To remove the filter, on the Data tab, in the Sort &amp; Filter group, click Clear. </t>
  </si>
  <si>
    <t>To remove the filter and the arrows, click Filter.</t>
  </si>
  <si>
    <t>ROW &amp; COL Width &amp; Hight Adjustment</t>
  </si>
  <si>
    <t xml:space="preserve">Introduction Of Excel </t>
  </si>
  <si>
    <t>Paste Value without Formula</t>
  </si>
  <si>
    <t>Delete this Row</t>
  </si>
  <si>
    <t>Delete This Col</t>
  </si>
  <si>
    <t>Hide / Unhide This Col</t>
  </si>
  <si>
    <t>Hide / Unhide This Row</t>
  </si>
  <si>
    <t>Merge Across</t>
  </si>
  <si>
    <t>Merge &amp; Center</t>
  </si>
  <si>
    <r>
      <t xml:space="preserve">A </t>
    </r>
    <r>
      <rPr>
        <b/>
        <sz val="14"/>
        <color theme="1"/>
        <rFont val="Arial"/>
        <family val="2"/>
      </rPr>
      <t>range</t>
    </r>
    <r>
      <rPr>
        <sz val="14"/>
        <color theme="1"/>
        <rFont val="Arial"/>
        <family val="2"/>
      </rPr>
      <t xml:space="preserve"> in </t>
    </r>
    <r>
      <rPr>
        <b/>
        <sz val="14"/>
        <color theme="1"/>
        <rFont val="Arial"/>
        <family val="2"/>
      </rPr>
      <t>Excel</t>
    </r>
    <r>
      <rPr>
        <sz val="14"/>
        <color theme="1"/>
        <rFont val="Arial"/>
        <family val="2"/>
      </rPr>
      <t xml:space="preserve"> is a collection of two or more cells.</t>
    </r>
  </si>
  <si>
    <t>Transpose Col to Row</t>
  </si>
  <si>
    <t xml:space="preserve">DATA: Select Data, COPY - CUT - PASTE </t>
  </si>
  <si>
    <r>
      <t>Microsoft Excel</t>
    </r>
    <r>
      <rPr>
        <sz val="12"/>
        <color theme="1"/>
        <rFont val="Arial"/>
        <family val="2"/>
      </rPr>
      <t xml:space="preserve"> is one of the most used software applications of all time. Hundreds of millions of people around the world use Microsoft Excel. You can use Excel to enter all sorts of data and perform financial, mathematical or statistical calculations.</t>
    </r>
  </si>
  <si>
    <t>Date</t>
  </si>
  <si>
    <t>Client</t>
  </si>
  <si>
    <t>Payment</t>
  </si>
  <si>
    <t>Revenue</t>
  </si>
  <si>
    <t>Profit</t>
  </si>
  <si>
    <t>Profit Margin</t>
  </si>
  <si>
    <t>AMAZON.COM, INC. (XNAS:AMZN)</t>
  </si>
  <si>
    <t>Transfer</t>
  </si>
  <si>
    <t>TESLA, INC. (XNAS:TSLA)</t>
  </si>
  <si>
    <t>PayPal</t>
  </si>
  <si>
    <t>NETFLIX, INC. (XNAS:NFLX)</t>
  </si>
  <si>
    <t>THE PROCTER &amp; GAMBLE COMPANY (XNYS:PG)</t>
  </si>
  <si>
    <t>THE GOLDMAN SACHS GROUP, INC. (XNYS:GS)</t>
  </si>
  <si>
    <t>JPMORGAN CHASE &amp; CO. (XNYS:JPM)</t>
  </si>
  <si>
    <t>MORGAN STANLEY (XNYS:MS)</t>
  </si>
  <si>
    <t>CITIGROUP INC. (XNYS:C)</t>
  </si>
  <si>
    <t>BANK OF AMERICA CORPORATION (XNYS:BAC)</t>
  </si>
  <si>
    <t>Card</t>
  </si>
  <si>
    <t>WALMART INC. (XNYS:WMT)</t>
  </si>
  <si>
    <t>Check</t>
  </si>
  <si>
    <t>TARGET CORPORATION (XNYS:TGT)</t>
  </si>
  <si>
    <t>COSTCO WHOLESALE CORPORATION (XNAS:COST)</t>
  </si>
  <si>
    <t>MCDONALD'S CORPORATION (XNYS:MCD)</t>
  </si>
  <si>
    <t>EXXON MOBIL CORPORATION (XNYS:XOM)</t>
  </si>
  <si>
    <t>VERIZON COMMUNICATIONS INC. (XNYS:VZ)</t>
  </si>
  <si>
    <t>THE HOME DEPOT, INC. (XNYS:HD)</t>
  </si>
  <si>
    <t>CISCO SYSTEMS, INC. (XNAS:CSCO)</t>
  </si>
  <si>
    <t>CHEVRON CORPORATION (XNYS:CVX)</t>
  </si>
  <si>
    <t>How to Sort DATA in Excel ?</t>
  </si>
  <si>
    <t>Find &amp; Replace</t>
  </si>
  <si>
    <t>Day</t>
  </si>
  <si>
    <t>Month</t>
  </si>
  <si>
    <t>Year</t>
  </si>
  <si>
    <t>Monday</t>
  </si>
  <si>
    <t>Tuesday</t>
  </si>
  <si>
    <t>Wednesday</t>
  </si>
  <si>
    <t>Thursday</t>
  </si>
  <si>
    <t>Friday</t>
  </si>
  <si>
    <t>Saturday</t>
  </si>
  <si>
    <t>Sunday</t>
  </si>
  <si>
    <t>January</t>
  </si>
  <si>
    <t>February</t>
  </si>
  <si>
    <t>March</t>
  </si>
  <si>
    <t>April</t>
  </si>
  <si>
    <t>May</t>
  </si>
  <si>
    <t>June</t>
  </si>
  <si>
    <t>July</t>
  </si>
  <si>
    <t>August</t>
  </si>
  <si>
    <t>September</t>
  </si>
  <si>
    <t>October</t>
  </si>
  <si>
    <t>November</t>
  </si>
  <si>
    <t>December</t>
  </si>
  <si>
    <t>DROP DOWN</t>
  </si>
  <si>
    <t>FIND</t>
  </si>
  <si>
    <t>Replace with</t>
  </si>
  <si>
    <t>Albert Mark</t>
  </si>
  <si>
    <t>Steve Wah</t>
  </si>
  <si>
    <t>George Mathew</t>
  </si>
  <si>
    <t>DATA Validation</t>
  </si>
  <si>
    <t>Emp Department</t>
  </si>
  <si>
    <t>Emp Salary</t>
  </si>
  <si>
    <t>Fiscal Year</t>
  </si>
  <si>
    <t>Work Timings</t>
  </si>
  <si>
    <t>Login Time</t>
  </si>
  <si>
    <t>Logout Time</t>
  </si>
  <si>
    <t>Finance</t>
  </si>
  <si>
    <t>Operation</t>
  </si>
  <si>
    <t>Logistic</t>
  </si>
  <si>
    <t>Accounts</t>
  </si>
  <si>
    <t>Administration</t>
  </si>
  <si>
    <t>Customer Service</t>
  </si>
  <si>
    <t>Quality Check</t>
  </si>
  <si>
    <t>CEO</t>
  </si>
  <si>
    <t>Drop Down List</t>
  </si>
  <si>
    <t>Page Setup in Excel</t>
  </si>
  <si>
    <t>Customer Name</t>
  </si>
  <si>
    <t>Customer Segment</t>
  </si>
  <si>
    <t>Product Category</t>
  </si>
  <si>
    <t>Muhammed MacIntyre</t>
  </si>
  <si>
    <t>Small Business</t>
  </si>
  <si>
    <t>Office Supplies</t>
  </si>
  <si>
    <t>Ruben Dartt</t>
  </si>
  <si>
    <t>Liz Pelletier</t>
  </si>
  <si>
    <t>Furniture</t>
  </si>
  <si>
    <t>Technology</t>
  </si>
  <si>
    <t>Julie Creighton</t>
  </si>
  <si>
    <t>Sample Company A</t>
  </si>
  <si>
    <t>Home Office</t>
  </si>
  <si>
    <t>Tamara Dahlen</t>
  </si>
  <si>
    <t>Arthur Gainer</t>
  </si>
  <si>
    <t>Consumer</t>
  </si>
  <si>
    <t>Jonathan Doherty</t>
  </si>
  <si>
    <t>Helen Wasserman</t>
  </si>
  <si>
    <t>Keith Dawkins</t>
  </si>
  <si>
    <t>Craig Yedwab</t>
  </si>
  <si>
    <t>Pauline Chand</t>
  </si>
  <si>
    <t>Roy Collins</t>
  </si>
  <si>
    <t>Emily Phan</t>
  </si>
  <si>
    <t>Michael Dominguez</t>
  </si>
  <si>
    <t>Anne Pryor</t>
  </si>
  <si>
    <t>Valerie Takahito</t>
  </si>
  <si>
    <t>Justin Hirsh</t>
  </si>
  <si>
    <t>Maria Zettner</t>
  </si>
  <si>
    <t>Brad Thomas</t>
  </si>
  <si>
    <t>Penelope Sewall</t>
  </si>
  <si>
    <t>Bart Folk</t>
  </si>
  <si>
    <t>Karen Ferguson</t>
  </si>
  <si>
    <t>Matt Abelman</t>
  </si>
  <si>
    <t>Peter Fuller</t>
  </si>
  <si>
    <t>Erin Creighton</t>
  </si>
  <si>
    <t>Sean Braxton</t>
  </si>
  <si>
    <t>Liz Willingham</t>
  </si>
  <si>
    <t>Sonia Sunley</t>
  </si>
  <si>
    <t>Paul Lucas</t>
  </si>
  <si>
    <t>Dorris Love</t>
  </si>
  <si>
    <t>Barry French</t>
  </si>
  <si>
    <t>Sanjit Chand</t>
  </si>
  <si>
    <t>Giulietta Weimer</t>
  </si>
  <si>
    <t>Dario Medina</t>
  </si>
  <si>
    <t>Frank Gastineau</t>
  </si>
  <si>
    <t>Michelle Tran</t>
  </si>
  <si>
    <t>Dean Percer</t>
  </si>
  <si>
    <t>Henry MacAllister</t>
  </si>
  <si>
    <t>Ricardo Block</t>
  </si>
  <si>
    <t>Cari Sayre</t>
  </si>
  <si>
    <t>Sonia Cooley</t>
  </si>
  <si>
    <t>Tracy Poddar</t>
  </si>
  <si>
    <t>Jennifer Halladay</t>
  </si>
  <si>
    <t>Stuart Calhoun</t>
  </si>
  <si>
    <t>Robert Barroso</t>
  </si>
  <si>
    <t>Tony Sayre</t>
  </si>
  <si>
    <t>Candace McMahon</t>
  </si>
  <si>
    <t>Matt Collins</t>
  </si>
  <si>
    <t>Darrin Martin</t>
  </si>
  <si>
    <t>Art Foster</t>
  </si>
  <si>
    <t>Clay Rozendal</t>
  </si>
  <si>
    <t>Valerie Dominguez</t>
  </si>
  <si>
    <t>Sam Craven</t>
  </si>
  <si>
    <t>Arthur Prichep</t>
  </si>
  <si>
    <t>Carlos Soltero</t>
  </si>
  <si>
    <t>Sung Chung</t>
  </si>
  <si>
    <t>Ken Brennan</t>
  </si>
  <si>
    <t>Joe Elijah</t>
  </si>
  <si>
    <t>Sheri Gordon</t>
  </si>
  <si>
    <t>Carl Jackson</t>
  </si>
  <si>
    <t>Dave Hallsten</t>
  </si>
  <si>
    <t>Tamara Chand</t>
  </si>
  <si>
    <t>Monica Federle</t>
  </si>
  <si>
    <t>Bill Eplett</t>
  </si>
  <si>
    <t>Harold Engle</t>
  </si>
  <si>
    <t>Duane Huffman</t>
  </si>
  <si>
    <t>Dorothy Badders</t>
  </si>
  <si>
    <t>Sarah Jordon</t>
  </si>
  <si>
    <t>Susan MacKendrick</t>
  </si>
  <si>
    <t>Caroline Jumper</t>
  </si>
  <si>
    <t>Thomas Boland</t>
  </si>
  <si>
    <t>Roy French</t>
  </si>
  <si>
    <t>Darrin Van Huff</t>
  </si>
  <si>
    <t>Pamela Stobb</t>
  </si>
  <si>
    <t>Helen Abelman</t>
  </si>
  <si>
    <t>Sibella Parks</t>
  </si>
  <si>
    <t>Peter McVee</t>
  </si>
  <si>
    <t>Thais Sissman</t>
  </si>
  <si>
    <t>Kean Nguyen</t>
  </si>
  <si>
    <t>Toby Swindell</t>
  </si>
  <si>
    <t>Neola Schneider</t>
  </si>
  <si>
    <t>Alice McCarthy</t>
  </si>
  <si>
    <t>Olvera Toch</t>
  </si>
  <si>
    <t>Eugene Moren</t>
  </si>
  <si>
    <t>Sean O'Donnell</t>
  </si>
  <si>
    <t>Carlos Daly</t>
  </si>
  <si>
    <t>David Kendrick</t>
  </si>
  <si>
    <t>Edward Nazzal</t>
  </si>
  <si>
    <t>Sanjit Jacobs</t>
  </si>
  <si>
    <t>Karen Carlisle</t>
  </si>
  <si>
    <t>Meg O'Connel</t>
  </si>
  <si>
    <t>Anthony O'Donnell</t>
  </si>
  <si>
    <t>Luke Foster</t>
  </si>
  <si>
    <t>Phillina Ober</t>
  </si>
  <si>
    <t>Claudia Miner</t>
  </si>
  <si>
    <t>Jim Kriz</t>
  </si>
  <si>
    <t>Mike Vittorini</t>
  </si>
  <si>
    <t>Stefania Perrino</t>
  </si>
  <si>
    <t>Jas O'Carroll</t>
  </si>
  <si>
    <t>Maureen Gastineau</t>
  </si>
  <si>
    <t>Kelly Lampkin</t>
  </si>
  <si>
    <t>Allen Rosenblatt</t>
  </si>
  <si>
    <t>Max Jones</t>
  </si>
  <si>
    <t>Hallie Redmond</t>
  </si>
  <si>
    <t>Anthony Witt</t>
  </si>
  <si>
    <t>Jim Epp</t>
  </si>
  <si>
    <t>Harold Dahlen</t>
  </si>
  <si>
    <t>Muhammed Yedwab</t>
  </si>
  <si>
    <t>Ed Braxton</t>
  </si>
  <si>
    <t>Sylvia Foulston</t>
  </si>
  <si>
    <t>Thea Hendricks</t>
  </si>
  <si>
    <t>Ionia McGrath</t>
  </si>
  <si>
    <t>Guy Armstrong</t>
  </si>
  <si>
    <t>Aaron Smayling</t>
  </si>
  <si>
    <t>Karl Brown</t>
  </si>
  <si>
    <t>Sung Shariari</t>
  </si>
  <si>
    <t>Craig Carroll</t>
  </si>
  <si>
    <t>Lela Donovan</t>
  </si>
  <si>
    <t>Nicole Brennan</t>
  </si>
  <si>
    <t>Tanja Norvell</t>
  </si>
  <si>
    <t>Emily Grady</t>
  </si>
  <si>
    <t>Sally Matthias</t>
  </si>
  <si>
    <t>Lena Creighton</t>
  </si>
  <si>
    <t>Mitch Willingham</t>
  </si>
  <si>
    <t>Justin Knight</t>
  </si>
  <si>
    <t>Janet Lee</t>
  </si>
  <si>
    <t>Jim Radford</t>
  </si>
  <si>
    <t>Ritsa Hightower</t>
  </si>
  <si>
    <t>Theone Pippenger</t>
  </si>
  <si>
    <t>Corey Catlett</t>
  </si>
  <si>
    <t>Frank Merwin</t>
  </si>
  <si>
    <t>Ed Jacobs</t>
  </si>
  <si>
    <t>Carol Darley</t>
  </si>
  <si>
    <t>Stefanie Holloman</t>
  </si>
  <si>
    <t>Noel Staavos</t>
  </si>
  <si>
    <t>Shahid Shariari</t>
  </si>
  <si>
    <t>Barry Gonzalez</t>
  </si>
  <si>
    <t>Maribeth Schnelling</t>
  </si>
  <si>
    <t>Harold Ryan</t>
  </si>
  <si>
    <t>Grant Thornton</t>
  </si>
  <si>
    <t>Ted Trevino</t>
  </si>
  <si>
    <t>Carl Ludwig</t>
  </si>
  <si>
    <t>Don Miller</t>
  </si>
  <si>
    <t>Linda Southworth</t>
  </si>
  <si>
    <t>Lena Radford</t>
  </si>
  <si>
    <t>Dave Poirier</t>
  </si>
  <si>
    <t>Liz MacKendrick</t>
  </si>
  <si>
    <t>Rick Wilson</t>
  </si>
  <si>
    <t>Aleksandra Gannaway</t>
  </si>
  <si>
    <t>Sean Christensen</t>
  </si>
  <si>
    <t>John Lucas</t>
  </si>
  <si>
    <t>Nona Balk</t>
  </si>
  <si>
    <t>Art Ferguson</t>
  </si>
  <si>
    <t>Ed Ludwig</t>
  </si>
  <si>
    <t>Annie Cyprus</t>
  </si>
  <si>
    <t>Lisa Hazard</t>
  </si>
  <si>
    <t>Roger Barcio</t>
  </si>
  <si>
    <t>Joni Blumstein</t>
  </si>
  <si>
    <t>Deanra Eno</t>
  </si>
  <si>
    <t>Trudy Schmidt</t>
  </si>
  <si>
    <t>Becky Pak</t>
  </si>
  <si>
    <t>Susan Vittorini</t>
  </si>
  <si>
    <t>Tom Stivers</t>
  </si>
  <si>
    <t>Alex Avila</t>
  </si>
  <si>
    <t>Roy Phan</t>
  </si>
  <si>
    <t>Sung Pak</t>
  </si>
  <si>
    <t>Kean Thornton</t>
  </si>
  <si>
    <t>Jeremy Ellison</t>
  </si>
  <si>
    <t>Joe Kamberova</t>
  </si>
  <si>
    <t>Benjamin Venier</t>
  </si>
  <si>
    <t>Brian Moss</t>
  </si>
  <si>
    <t>Alejandro Grove</t>
  </si>
  <si>
    <t>Sam Zeldin</t>
  </si>
  <si>
    <t>Katherine Murray</t>
  </si>
  <si>
    <t>Paul Knutson</t>
  </si>
  <si>
    <t>Barry Franz</t>
  </si>
  <si>
    <t>Sandra Glassco</t>
  </si>
  <si>
    <t>Alan Hwang</t>
  </si>
  <si>
    <t>James Galang</t>
  </si>
  <si>
    <t>Rob Lucas</t>
  </si>
  <si>
    <t>Todd Boyes</t>
  </si>
  <si>
    <t>Katrina Willman</t>
  </si>
  <si>
    <t>Nora Paige</t>
  </si>
  <si>
    <t>Andy Reiter</t>
  </si>
  <si>
    <t>Lori Olson</t>
  </si>
  <si>
    <t>Vivian Mathis</t>
  </si>
  <si>
    <t>Jack O'Briant</t>
  </si>
  <si>
    <t>Pete Armstrong</t>
  </si>
  <si>
    <t>Sarah Brown</t>
  </si>
  <si>
    <t>Elpida Rittenbach</t>
  </si>
  <si>
    <t>Clay Cheatham</t>
  </si>
  <si>
    <t>Grant Donatelli</t>
  </si>
  <si>
    <t>Grant Carroll</t>
  </si>
  <si>
    <t>Rob Haberlin</t>
  </si>
  <si>
    <t>Maribeth Dona</t>
  </si>
  <si>
    <t>Liz Thompson</t>
  </si>
  <si>
    <t>Carol Adams</t>
  </si>
  <si>
    <t>Eric Barreto</t>
  </si>
  <si>
    <t>Fred Harton</t>
  </si>
  <si>
    <t>Jennifer Braxton</t>
  </si>
  <si>
    <t>Sara Luxemburg</t>
  </si>
  <si>
    <t>Sally Hughsby</t>
  </si>
  <si>
    <t>Vivek Gonzalez</t>
  </si>
  <si>
    <t>Adam Hart</t>
  </si>
  <si>
    <t>Andrew Allen</t>
  </si>
  <si>
    <t>Quincy Jones</t>
  </si>
  <si>
    <t>Michael Moore</t>
  </si>
  <si>
    <t>Bobby Elias</t>
  </si>
  <si>
    <t>Alan Barnes</t>
  </si>
  <si>
    <t>Roland Fjeld</t>
  </si>
  <si>
    <t>Cindy Chapman</t>
  </si>
  <si>
    <t>Brenda Bowman</t>
  </si>
  <si>
    <t>John Dryer</t>
  </si>
  <si>
    <t>Art Miller</t>
  </si>
  <si>
    <t>Christine Kargatis</t>
  </si>
  <si>
    <t>Eileen Kiefer</t>
  </si>
  <si>
    <t>Patrick Ryan</t>
  </si>
  <si>
    <t>Jack Garza</t>
  </si>
  <si>
    <t>Nathan Cano</t>
  </si>
  <si>
    <t>Troy Blackwell</t>
  </si>
  <si>
    <t>Bill Shonely</t>
  </si>
  <si>
    <t>Christopher Martinez</t>
  </si>
  <si>
    <t>Jay Fine</t>
  </si>
  <si>
    <t>Philip Brown</t>
  </si>
  <si>
    <t>Jane Waco</t>
  </si>
  <si>
    <t>Denny Ordway</t>
  </si>
  <si>
    <t>Julia West</t>
  </si>
  <si>
    <t>Lycoris Saunders</t>
  </si>
  <si>
    <t>Eugene Barchas</t>
  </si>
  <si>
    <t>Ross Baird</t>
  </si>
  <si>
    <t>Luke Schmidt</t>
  </si>
  <si>
    <t>Robert Waldorf</t>
  </si>
  <si>
    <t>Bill Tyler</t>
  </si>
  <si>
    <t>Yoseph Carroll</t>
  </si>
  <si>
    <t>Nora Price</t>
  </si>
  <si>
    <t>Tim Brockman</t>
  </si>
  <si>
    <t>Edward Hooks</t>
  </si>
  <si>
    <t>Alan Schoenberger</t>
  </si>
  <si>
    <t>Charles Crestani</t>
  </si>
  <si>
    <t>Maxwell Schwartz</t>
  </si>
  <si>
    <t>Tracy Zic</t>
  </si>
  <si>
    <t>Christy Brittain</t>
  </si>
  <si>
    <t>Jasper Cacioppo</t>
  </si>
  <si>
    <t>David Wiener</t>
  </si>
  <si>
    <t>Helen Andreada</t>
  </si>
  <si>
    <t>Paul Prost</t>
  </si>
  <si>
    <t>Bradley Nguyen</t>
  </si>
  <si>
    <t>Matt Collister</t>
  </si>
  <si>
    <t>Liz Carlisle</t>
  </si>
  <si>
    <t>Annie Thurman</t>
  </si>
  <si>
    <t>Bradley Drucker</t>
  </si>
  <si>
    <t>Richard Eichhorn</t>
  </si>
  <si>
    <t>Alan Haines</t>
  </si>
  <si>
    <t>Brad Eason</t>
  </si>
  <si>
    <t>James Lanier</t>
  </si>
  <si>
    <t>Edward Becker</t>
  </si>
  <si>
    <t>Raymond Book</t>
  </si>
  <si>
    <t>Bryan Spruell</t>
  </si>
  <si>
    <t>Neil Knudson</t>
  </si>
  <si>
    <t>Ben Peterman</t>
  </si>
  <si>
    <t>Sandra Flanagan</t>
  </si>
  <si>
    <t>Michael Granlund</t>
  </si>
  <si>
    <t>Christina Vanderzanden</t>
  </si>
  <si>
    <t>Gary Zandusky</t>
  </si>
  <si>
    <t>Steve Carroll</t>
  </si>
  <si>
    <t>Cathy Armstrong</t>
  </si>
  <si>
    <t>Alex Grayson</t>
  </si>
  <si>
    <t>George Zrebassa</t>
  </si>
  <si>
    <t>Lisa DeCherney</t>
  </si>
  <si>
    <t>Gary McGarr</t>
  </si>
  <si>
    <t>Steve Nguyen</t>
  </si>
  <si>
    <t>Susan Gilcrest</t>
  </si>
  <si>
    <t>Julia Dunbar</t>
  </si>
  <si>
    <t>Mick Crebagga</t>
  </si>
  <si>
    <t>Roy Skaria</t>
  </si>
  <si>
    <t>Patrick Jones</t>
  </si>
  <si>
    <t>Giulietta Baptist</t>
  </si>
  <si>
    <t>Nicole Hansen</t>
  </si>
  <si>
    <t>Tom Prescott</t>
  </si>
  <si>
    <t>Ken Heidel</t>
  </si>
  <si>
    <t>Logan Haushalter</t>
  </si>
  <si>
    <t>Ann Blume</t>
  </si>
  <si>
    <t>Lena Cacioppo</t>
  </si>
  <si>
    <t>Denise Leinenbach</t>
  </si>
  <si>
    <t>Herbert Flentye</t>
  </si>
  <si>
    <t>Steven Ward</t>
  </si>
  <si>
    <t>Denise Monton</t>
  </si>
  <si>
    <t>Lynn Smith</t>
  </si>
  <si>
    <t>Evan Henry</t>
  </si>
  <si>
    <t>Marc Harrigan</t>
  </si>
  <si>
    <t>Erin Smith</t>
  </si>
  <si>
    <t>Alan Dominguez</t>
  </si>
  <si>
    <t>Ken Black</t>
  </si>
  <si>
    <t>Deirdre Greer</t>
  </si>
  <si>
    <t>Thomas Thornton</t>
  </si>
  <si>
    <t>John Stevenson</t>
  </si>
  <si>
    <t>Stephanie Phelps</t>
  </si>
  <si>
    <t>Muhammed Lee</t>
  </si>
  <si>
    <t>Dorothy Wardle</t>
  </si>
  <si>
    <t>Keith Herrera</t>
  </si>
  <si>
    <t>Christina DeMoss</t>
  </si>
  <si>
    <t>Bobby Odegard</t>
  </si>
  <si>
    <t>Jack Lebron</t>
  </si>
  <si>
    <t>Christine Sundaresam</t>
  </si>
  <si>
    <t>Bruce Stewart</t>
  </si>
  <si>
    <t>Allen Golden</t>
  </si>
  <si>
    <t>Aaron Bergman</t>
  </si>
  <si>
    <t>Anthony Garverick</t>
  </si>
  <si>
    <t>Alyssa Tate</t>
  </si>
  <si>
    <t>Bruce Money</t>
  </si>
  <si>
    <t>Tamara Willingham</t>
  </si>
  <si>
    <t>Liz Price</t>
  </si>
  <si>
    <t>Dan Campbell</t>
  </si>
  <si>
    <t>Kelly Andreada</t>
  </si>
  <si>
    <t>Victoria Pisteka</t>
  </si>
  <si>
    <t>Erica Bern</t>
  </si>
  <si>
    <t>Scott Cohen</t>
  </si>
  <si>
    <t>Michael Paige</t>
  </si>
  <si>
    <t>Scott Williamson</t>
  </si>
  <si>
    <t>Ryan Crowe</t>
  </si>
  <si>
    <t>Dennis Bolton</t>
  </si>
  <si>
    <t>Carlos Meador</t>
  </si>
  <si>
    <t>Odella Nelson</t>
  </si>
  <si>
    <t>Clytie Kelty</t>
  </si>
  <si>
    <t>Christina Anderson</t>
  </si>
  <si>
    <t>Adrian Hane</t>
  </si>
  <si>
    <t>Ben Wallace</t>
  </si>
  <si>
    <t>Lindsay Williams</t>
  </si>
  <si>
    <t>Max Engle</t>
  </si>
  <si>
    <t>Ralph Kennedy</t>
  </si>
  <si>
    <t>Neil French</t>
  </si>
  <si>
    <t>Michael Stewart</t>
  </si>
  <si>
    <t>Giulietta Dortch</t>
  </si>
  <si>
    <t>Xylona Price</t>
  </si>
  <si>
    <t>Corinna Mitchell</t>
  </si>
  <si>
    <t>Rob Dowd</t>
  </si>
  <si>
    <t>Randy Bradley</t>
  </si>
  <si>
    <t>Sean Wendt</t>
  </si>
  <si>
    <t>John Castell</t>
  </si>
  <si>
    <t>Mark Haberlin</t>
  </si>
  <si>
    <t>Lauren Leatherbury</t>
  </si>
  <si>
    <t>Pete Takahito</t>
  </si>
  <si>
    <t>Robert Dilbeck</t>
  </si>
  <si>
    <t>Tonja Turnell</t>
  </si>
  <si>
    <t>William Brown</t>
  </si>
  <si>
    <t>Irene Maddox</t>
  </si>
  <si>
    <t>Khloe Miller</t>
  </si>
  <si>
    <t>Kelly Williams</t>
  </si>
  <si>
    <t>Carl Weiss</t>
  </si>
  <si>
    <t>Christine Abelman</t>
  </si>
  <si>
    <t>Don Jones</t>
  </si>
  <si>
    <t>Brendan Sweed</t>
  </si>
  <si>
    <t>Frank Carlisle</t>
  </si>
  <si>
    <t>Shahid Hopkins</t>
  </si>
  <si>
    <t>Anna Andreadi</t>
  </si>
  <si>
    <t>Beth Thompson</t>
  </si>
  <si>
    <t>Ashley Jarboe</t>
  </si>
  <si>
    <t>Fred Chung</t>
  </si>
  <si>
    <t>Randy Ferguson</t>
  </si>
  <si>
    <t>Frank Price</t>
  </si>
  <si>
    <t>Anna Gayman</t>
  </si>
  <si>
    <t>Rick Hansen</t>
  </si>
  <si>
    <t>Gary Hansen</t>
  </si>
  <si>
    <t>Michelle Lonsdale</t>
  </si>
  <si>
    <t>Nick Radford</t>
  </si>
  <si>
    <t>Dennis Kane</t>
  </si>
  <si>
    <t>Raymond Fair</t>
  </si>
  <si>
    <t>Theresa Swint</t>
  </si>
  <si>
    <t>Kristina Nunn</t>
  </si>
  <si>
    <t>Sean Miller</t>
  </si>
  <si>
    <t>Nancy Lomonaco</t>
  </si>
  <si>
    <t>Daniel Lacy</t>
  </si>
  <si>
    <t>Jessica Myrick</t>
  </si>
  <si>
    <t>Shirley Jackson</t>
  </si>
  <si>
    <t>Guy Thornton</t>
  </si>
  <si>
    <t>David Philippe</t>
  </si>
  <si>
    <t>Ann Chong</t>
  </si>
  <si>
    <t>Nat Gilpin</t>
  </si>
  <si>
    <t>Maurice Satty</t>
  </si>
  <si>
    <t>Joy Bell</t>
  </si>
  <si>
    <t>Filia McAdams</t>
  </si>
  <si>
    <t>Ellis Ballard</t>
  </si>
  <si>
    <t>Eric Murdock</t>
  </si>
  <si>
    <t>Skye Norling</t>
  </si>
  <si>
    <t>Toby Grace</t>
  </si>
  <si>
    <t>Arianne Irving</t>
  </si>
  <si>
    <t>Phillip Flathmann</t>
  </si>
  <si>
    <t>Maureen Fritzler</t>
  </si>
  <si>
    <t>Michael Kennedy</t>
  </si>
  <si>
    <t>Barry Weirich</t>
  </si>
  <si>
    <t>Mathew Reese</t>
  </si>
  <si>
    <t>Mitch Gastineau</t>
  </si>
  <si>
    <t>Henry Goldwyn</t>
  </si>
  <si>
    <t>Adam Shillingsburg</t>
  </si>
  <si>
    <t>Katharine Harms</t>
  </si>
  <si>
    <t>Joseph Holt</t>
  </si>
  <si>
    <t>Ricardo Emerson</t>
  </si>
  <si>
    <t>Nathan Mautz</t>
  </si>
  <si>
    <t>Anna Haberlin</t>
  </si>
  <si>
    <t>Ralph Arnett</t>
  </si>
  <si>
    <t>Alan Shonely</t>
  </si>
  <si>
    <t>Julie Prescott</t>
  </si>
  <si>
    <t>Cynthia Arntzen</t>
  </si>
  <si>
    <t>Jill Fjeld</t>
  </si>
  <si>
    <t>Max Ludwig</t>
  </si>
  <si>
    <t>Anne McFarland</t>
  </si>
  <si>
    <t>Chad Sievert</t>
  </si>
  <si>
    <t>Astrea Jones</t>
  </si>
  <si>
    <t>Natalie Webber</t>
  </si>
  <si>
    <t>Stuart Van</t>
  </si>
  <si>
    <t>Bill Overfelt</t>
  </si>
  <si>
    <t>Brooke Gillingham</t>
  </si>
  <si>
    <t>Lindsay Castell</t>
  </si>
  <si>
    <t>Kelly Collister</t>
  </si>
  <si>
    <t>Chuck Clark</t>
  </si>
  <si>
    <t>Victor Price</t>
  </si>
  <si>
    <t>Peter Buhler</t>
  </si>
  <si>
    <t>Damala Kotsonis</t>
  </si>
  <si>
    <t>Andrew Gjertsen</t>
  </si>
  <si>
    <t>Erin Ashbrook</t>
  </si>
  <si>
    <t>Logan Currie</t>
  </si>
  <si>
    <t>Phillip Breyer</t>
  </si>
  <si>
    <t>Dianna Arnett</t>
  </si>
  <si>
    <t>Ralph Knight</t>
  </si>
  <si>
    <t>Dean Katz</t>
  </si>
  <si>
    <t>Georgia Rosenberg</t>
  </si>
  <si>
    <t>Shaun Weien</t>
  </si>
  <si>
    <t>Steve Chapman</t>
  </si>
  <si>
    <t>Andy Gerbode</t>
  </si>
  <si>
    <t>How to merge cell in Excel ?</t>
  </si>
  <si>
    <t>NOW() and TODAY()</t>
  </si>
  <si>
    <t xml:space="preserve">NOW returns the current time and date, and TODAY returns only the current date. </t>
  </si>
  <si>
    <t>These are quite simple, and we will use them to extract a day, month, year, hours, and minutes from any date time data cell. </t>
  </si>
  <si>
    <t>NOW()</t>
  </si>
  <si>
    <t>NOW() returns the current time and date</t>
  </si>
  <si>
    <t>Current Date &amp; Time</t>
  </si>
  <si>
    <t>Extract</t>
  </si>
  <si>
    <t>Minutes</t>
  </si>
  <si>
    <t>Hours</t>
  </si>
  <si>
    <t>Second</t>
  </si>
  <si>
    <t>TODAY()</t>
  </si>
  <si>
    <t>TODAY returns only the current date.</t>
  </si>
  <si>
    <t>Current Date</t>
  </si>
  <si>
    <t>Day, Month, Year, Weekday</t>
  </si>
  <si>
    <t>Weekday</t>
  </si>
  <si>
    <t>The DATEDIF calculates the difference between two dates and returns the number of days, months, weeks, or years based on your preference. </t>
  </si>
  <si>
    <t xml:space="preserve">In the example below, we want to return the date difference in days by providing “d” for unit arguments. </t>
  </si>
  <si>
    <t>Make sure that the first argument is the start date and the second argument in the formula is the end date. </t>
  </si>
  <si>
    <t>DATEDIF()</t>
  </si>
  <si>
    <t>Order Date</t>
  </si>
  <si>
    <t>Shipped Date</t>
  </si>
  <si>
    <t>Delay Days</t>
  </si>
  <si>
    <t>Shipment</t>
  </si>
  <si>
    <t>Merging a cell in excel refers to combining two or more cells either vertically, horizontally or both ways.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</si>
  <si>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</si>
  <si>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</si>
  <si>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</si>
  <si>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</si>
  <si>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</si>
  <si>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</si>
  <si>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</si>
  <si>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</si>
  <si>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</si>
  <si>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</si>
  <si>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</si>
  <si>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</si>
  <si>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</si>
  <si>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</si>
  <si>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</si>
  <si>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</si>
  <si>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</si>
  <si>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</si>
  <si>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</si>
  <si>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</si>
  <si>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</si>
  <si>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</si>
  <si>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</si>
  <si>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</si>
  <si>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</si>
  <si>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</si>
  <si>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</si>
  <si>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</si>
  <si>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City</t>
  </si>
  <si>
    <t>The FILTER function allows you to filter a range of data based on criteria you define.</t>
  </si>
  <si>
    <t>Director Name</t>
  </si>
  <si>
    <t>Company Name</t>
  </si>
  <si>
    <t>Tomkiewicz</t>
  </si>
  <si>
    <t>Alan D Rosenburg Cpa Pc</t>
  </si>
  <si>
    <t>Zigomalas</t>
  </si>
  <si>
    <t>Cap Gemini America</t>
  </si>
  <si>
    <t>Andrade</t>
  </si>
  <si>
    <t>Elliott, John W Esq</t>
  </si>
  <si>
    <t>Mcwalters</t>
  </si>
  <si>
    <t>Mcmahan, Ben L</t>
  </si>
  <si>
    <t>WEST</t>
  </si>
  <si>
    <t>Rampy</t>
  </si>
  <si>
    <t>Thompson, Michael C Esq</t>
  </si>
  <si>
    <t>Grasmick</t>
  </si>
  <si>
    <t>Wrangle Hill Auto Auct &amp; Slvg</t>
  </si>
  <si>
    <t>Hisaw</t>
  </si>
  <si>
    <t>In Communications Inc</t>
  </si>
  <si>
    <t>Manzella</t>
  </si>
  <si>
    <t>Bizerba Usa Inc</t>
  </si>
  <si>
    <t>NORTH</t>
  </si>
  <si>
    <t>Writer</t>
  </si>
  <si>
    <t>K &amp; R Associates Inc</t>
  </si>
  <si>
    <t>Erm</t>
  </si>
  <si>
    <t>Cain, John M Esq</t>
  </si>
  <si>
    <t>Jaret</t>
  </si>
  <si>
    <t>Sound Vision Corp</t>
  </si>
  <si>
    <t>Bruch</t>
  </si>
  <si>
    <t>Rowley/hansell Petetin</t>
  </si>
  <si>
    <t>SOUTH</t>
  </si>
  <si>
    <t>Throssell</t>
  </si>
  <si>
    <t>Weiss Spirt &amp; Guyer</t>
  </si>
  <si>
    <t>Kanne</t>
  </si>
  <si>
    <t>Crowan, Kenneth W Esq</t>
  </si>
  <si>
    <t>Julio</t>
  </si>
  <si>
    <t>Rittenhouse Motor Co</t>
  </si>
  <si>
    <t>Spinello</t>
  </si>
  <si>
    <t>Modern Plastics Corp</t>
  </si>
  <si>
    <t>Exercise 14</t>
  </si>
  <si>
    <t>Exercise 15</t>
  </si>
  <si>
    <t>Exercise 16</t>
  </si>
  <si>
    <t>Exercise 17</t>
  </si>
  <si>
    <t>Exercise 18</t>
  </si>
  <si>
    <t>Exercise 19</t>
  </si>
  <si>
    <t>Prepared By Inayat Isane - OE Trainer</t>
  </si>
  <si>
    <t>Inayat Isane - OE Trainer</t>
  </si>
  <si>
    <t>Basic Function of the Excel Prepared By:</t>
  </si>
  <si>
    <t>Sales Report for the Month of February 2024</t>
  </si>
  <si>
    <t>TOTAL -EAST</t>
  </si>
  <si>
    <t>TOTAL - WEST</t>
  </si>
  <si>
    <t>TOTAL - NORTH</t>
  </si>
  <si>
    <t>TOTAL - SOUTH</t>
  </si>
  <si>
    <t>Enter Full Month Date</t>
  </si>
  <si>
    <t>ALT+H+F+I+S</t>
  </si>
  <si>
    <t>Family Vaccination Report</t>
  </si>
  <si>
    <t>Name</t>
  </si>
  <si>
    <t>Gender</t>
  </si>
  <si>
    <t>Occupation</t>
  </si>
  <si>
    <t>Relation</t>
  </si>
  <si>
    <t>Address</t>
  </si>
  <si>
    <t>Dose-1</t>
  </si>
  <si>
    <t>Dose-2</t>
  </si>
  <si>
    <t>Male</t>
  </si>
  <si>
    <t>Mother</t>
  </si>
  <si>
    <t>Yes</t>
  </si>
  <si>
    <t>No</t>
  </si>
  <si>
    <t>Bhumi</t>
  </si>
  <si>
    <t>Date Formats -2</t>
  </si>
  <si>
    <t>Date Formats -3</t>
  </si>
  <si>
    <t>Date Formats -4</t>
  </si>
  <si>
    <t>Transaction ID</t>
  </si>
  <si>
    <t>Product</t>
  </si>
  <si>
    <t xml:space="preserve">Unit Price </t>
  </si>
  <si>
    <t>State</t>
  </si>
  <si>
    <t>Country</t>
  </si>
  <si>
    <t>Sales Channel</t>
  </si>
  <si>
    <t>Payment Type</t>
  </si>
  <si>
    <t>TX0001</t>
  </si>
  <si>
    <t>Smartwatch</t>
  </si>
  <si>
    <t>2024-04-12</t>
  </si>
  <si>
    <t>Vivaan Sastry</t>
  </si>
  <si>
    <t>Arunachal Pradesh</t>
  </si>
  <si>
    <t>India</t>
  </si>
  <si>
    <t>Store</t>
  </si>
  <si>
    <t>Credit Card</t>
  </si>
  <si>
    <t>TX0002</t>
  </si>
  <si>
    <t>Desktop PC</t>
  </si>
  <si>
    <t>2024-02-06</t>
  </si>
  <si>
    <t>Ishaan Madan</t>
  </si>
  <si>
    <t>Odisha</t>
  </si>
  <si>
    <t>TX0003</t>
  </si>
  <si>
    <t>Azad Sandhu</t>
  </si>
  <si>
    <t>Bihar</t>
  </si>
  <si>
    <t>Online</t>
  </si>
  <si>
    <t>TX0004</t>
  </si>
  <si>
    <t>E-Reader</t>
  </si>
  <si>
    <t>2024-09-11</t>
  </si>
  <si>
    <t>Shray Chawla</t>
  </si>
  <si>
    <t>Manipur</t>
  </si>
  <si>
    <t>TX0005</t>
  </si>
  <si>
    <t>Laptop</t>
  </si>
  <si>
    <t>Zara Kata</t>
  </si>
  <si>
    <t>Madhya Pradesh</t>
  </si>
  <si>
    <t>Direct</t>
  </si>
  <si>
    <t>Net Banking</t>
  </si>
  <si>
    <t>TX0006</t>
  </si>
  <si>
    <t>Vritika Kata</t>
  </si>
  <si>
    <t>Meghalaya</t>
  </si>
  <si>
    <t>TX0007</t>
  </si>
  <si>
    <t>Tablet</t>
  </si>
  <si>
    <t>Hrishita Dada</t>
  </si>
  <si>
    <t>Goa</t>
  </si>
  <si>
    <t>TX0008</t>
  </si>
  <si>
    <t>External Hard Drive</t>
  </si>
  <si>
    <t>2024-07-13</t>
  </si>
  <si>
    <t>Anaya Sachar</t>
  </si>
  <si>
    <t>Punjab</t>
  </si>
  <si>
    <t>Debit Card</t>
  </si>
  <si>
    <t>TX0009</t>
  </si>
  <si>
    <t>2024-01-30</t>
  </si>
  <si>
    <t>Indrans Jani</t>
  </si>
  <si>
    <t>UPI</t>
  </si>
  <si>
    <t>TX0010</t>
  </si>
  <si>
    <t>Smartphone</t>
  </si>
  <si>
    <t>Shaan Dhar</t>
  </si>
  <si>
    <t>Assam</t>
  </si>
  <si>
    <t>TX0011</t>
  </si>
  <si>
    <t>2024-07-03</t>
  </si>
  <si>
    <t>Lavanya Lal</t>
  </si>
  <si>
    <t>Sikkim</t>
  </si>
  <si>
    <t>TX0012</t>
  </si>
  <si>
    <t>Headphones</t>
  </si>
  <si>
    <t>Prisha Bakshi</t>
  </si>
  <si>
    <t>TX0013</t>
  </si>
  <si>
    <t>Printer</t>
  </si>
  <si>
    <t>2024-09-17</t>
  </si>
  <si>
    <t>Abram Shetty</t>
  </si>
  <si>
    <t>Tripura</t>
  </si>
  <si>
    <t>TX0014</t>
  </si>
  <si>
    <t>Anaya Sunder</t>
  </si>
  <si>
    <t>Karnataka</t>
  </si>
  <si>
    <t>TX0015</t>
  </si>
  <si>
    <t>Farhan Mand</t>
  </si>
  <si>
    <t>TX0016</t>
  </si>
  <si>
    <t>Camera</t>
  </si>
  <si>
    <t>2024-02-15</t>
  </si>
  <si>
    <t>Nakul Hora</t>
  </si>
  <si>
    <t>Uttar Pradesh</t>
  </si>
  <si>
    <t>TX0017</t>
  </si>
  <si>
    <t>Rhea Hegde</t>
  </si>
  <si>
    <t>Cash</t>
  </si>
  <si>
    <t>TX0018</t>
  </si>
  <si>
    <t>2024-04-21</t>
  </si>
  <si>
    <t>Shanaya Desai</t>
  </si>
  <si>
    <t>Andhra Pradesh</t>
  </si>
  <si>
    <t>TX0019</t>
  </si>
  <si>
    <t>Miraan Rastogi</t>
  </si>
  <si>
    <t>Gujarat</t>
  </si>
  <si>
    <t>TX0020</t>
  </si>
  <si>
    <t>2024-08-02</t>
  </si>
  <si>
    <t>Dharmajan Wable</t>
  </si>
  <si>
    <t>TX0021</t>
  </si>
  <si>
    <t>2024-07-25</t>
  </si>
  <si>
    <t>Myra Chanda</t>
  </si>
  <si>
    <t>How to Change in "DD-MM-YYYY"</t>
  </si>
  <si>
    <t>Alt - HOA - Row Hieght</t>
  </si>
  <si>
    <t>Alt - HBA - All Boarders</t>
  </si>
  <si>
    <t>Alt - HAC - Center Alignment</t>
  </si>
  <si>
    <t>Alt - HAL - Left Alignment</t>
  </si>
  <si>
    <t>Alt - OA - Format</t>
  </si>
  <si>
    <t>Select entire column</t>
  </si>
  <si>
    <t>CTRL+SPACE</t>
  </si>
  <si>
    <t>Select entire row</t>
  </si>
  <si>
    <t>SHIFT+SPACE</t>
  </si>
  <si>
    <t>Select entire sheet</t>
  </si>
  <si>
    <t>CTRL+A</t>
  </si>
  <si>
    <t>Select till last non-blank cell</t>
  </si>
  <si>
    <t>CTRL+SHIFT+Arrow</t>
  </si>
  <si>
    <t>Select till beginning of sheet</t>
  </si>
  <si>
    <t>CTRL+SHIFT+HOME</t>
  </si>
  <si>
    <t>Select till last used cell</t>
  </si>
  <si>
    <t>CTRL+SHIFT+END</t>
  </si>
  <si>
    <t>Hide selected rows</t>
  </si>
  <si>
    <t>CTRL+9</t>
  </si>
  <si>
    <t>Unhide rows</t>
  </si>
  <si>
    <t>CTRL+SHIFT+(</t>
  </si>
  <si>
    <t>Hide selected columns</t>
  </si>
  <si>
    <t>CTRL+0</t>
  </si>
  <si>
    <t>Unhide columns</t>
  </si>
  <si>
    <t>Insert Row</t>
  </si>
  <si>
    <t>Select the entire row → Shift + Space
Then press → Ctrl + Shift + +</t>
  </si>
  <si>
    <t>Insert Column</t>
  </si>
  <si>
    <t>Select the entire column → Ctrl + Space
Then press → Ctrl + Shift + +</t>
  </si>
  <si>
    <t>Delete Row</t>
  </si>
  <si>
    <t>Select the entire row → Shift + Space
Then press → Ctrl + -</t>
  </si>
  <si>
    <t>Delete Column</t>
  </si>
  <si>
    <t>Select the entire column → Ctrl + Space
Then press → Ctrl + -</t>
  </si>
  <si>
    <t>Alt + H + O + U + L</t>
  </si>
  <si>
    <t>Short Cuts</t>
  </si>
  <si>
    <t>Alt - HAR - Right Alignment</t>
  </si>
  <si>
    <t>Copy</t>
  </si>
  <si>
    <t>CTRL+C</t>
  </si>
  <si>
    <t>Paste</t>
  </si>
  <si>
    <t>CTRL+V</t>
  </si>
  <si>
    <t>Cut</t>
  </si>
  <si>
    <t>CTRL+X</t>
  </si>
  <si>
    <t>Undo</t>
  </si>
  <si>
    <t>CTRL+Z</t>
  </si>
  <si>
    <t>Fill down</t>
  </si>
  <si>
    <t>CTRL+D</t>
  </si>
  <si>
    <t>Fill right</t>
  </si>
  <si>
    <t>CTRL+R</t>
  </si>
  <si>
    <t>Insert current date</t>
  </si>
  <si>
    <t>CTRL+;</t>
  </si>
  <si>
    <t>Insert current time</t>
  </si>
  <si>
    <t>CTRL+SHIFT+:</t>
  </si>
  <si>
    <t>Delete selected cells</t>
  </si>
  <si>
    <t>CTRL+-</t>
  </si>
  <si>
    <t>Insert blank cells</t>
  </si>
  <si>
    <t>CTRL+SHIFT++</t>
  </si>
  <si>
    <t>AutoSum</t>
  </si>
  <si>
    <t>ALT+=</t>
  </si>
  <si>
    <t>Apply or Remove Filter</t>
  </si>
  <si>
    <t>CTRL+SHIFT+L</t>
  </si>
  <si>
    <t>Open Filter Dropdown</t>
  </si>
  <si>
    <t>ALT+DOWN ARROW</t>
  </si>
  <si>
    <t>Sort Ascending</t>
  </si>
  <si>
    <t>ALT+A+S+A</t>
  </si>
  <si>
    <t>Sort Descending</t>
  </si>
  <si>
    <t>ALT+A+S+D</t>
  </si>
  <si>
    <t>Clear Filters</t>
  </si>
  <si>
    <t>ALT+A+T</t>
  </si>
  <si>
    <t>Extract all data Belong to City Losangelus, use advanced filter</t>
  </si>
  <si>
    <t>Advaced filter Shortcuts</t>
  </si>
  <si>
    <t>Alt + A+Q</t>
  </si>
  <si>
    <t>Alt - H+H+N - to remove color</t>
  </si>
  <si>
    <t>Alt - HBT - Outer Thik Boarders</t>
  </si>
  <si>
    <t>311587</t>
  </si>
  <si>
    <t>Alt - HOI - Column Height</t>
  </si>
  <si>
    <t>Short Cut - Alt - A+V+V</t>
  </si>
  <si>
    <t>Alt - HBN - No Boarders</t>
  </si>
  <si>
    <t>Ctrl + Alt + V</t>
  </si>
  <si>
    <t>Open Paste Special Dialogue Box</t>
  </si>
  <si>
    <t>Short Cut</t>
  </si>
  <si>
    <t>Alt + W+F+F</t>
  </si>
  <si>
    <t>Alt - A+V+V</t>
  </si>
  <si>
    <t>Sort Cuts</t>
  </si>
  <si>
    <t>Alt - A + G</t>
  </si>
  <si>
    <t>to Group</t>
  </si>
  <si>
    <t>Alt - A + U</t>
  </si>
  <si>
    <t>to ungroup</t>
  </si>
  <si>
    <t>Sr No</t>
  </si>
  <si>
    <t>Mobile No</t>
  </si>
  <si>
    <t>Vaccin Name</t>
  </si>
  <si>
    <t>Vaccine Status</t>
  </si>
  <si>
    <t>Vaccine Date</t>
  </si>
  <si>
    <t>fghgfh;lkh;lkgfh;lk</t>
  </si>
  <si>
    <t>;lfgkh;lgfh;lgfh;lkgf</t>
  </si>
  <si>
    <t>kdfngdskngkldfsgkldfsgdfslgj</t>
  </si>
  <si>
    <t>sdsklgmdfsk;lgldfgldflgdflg</t>
  </si>
  <si>
    <t>Femal</t>
  </si>
  <si>
    <t>Father</t>
  </si>
  <si>
    <t>Business</t>
  </si>
  <si>
    <t>House Wife</t>
  </si>
  <si>
    <t>COVID</t>
  </si>
  <si>
    <t>Toufique</t>
  </si>
  <si>
    <t xml:space="preserve"> </t>
  </si>
  <si>
    <t>645109</t>
  </si>
  <si>
    <t>548946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</si>
</sst>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quot;$&quot;#,##0"/>
    <numFmt numFmtId="166" formatCode="0.000000"/>
    <numFmt numFmtId="167" formatCode="[$-F800]dddd\,\ mmmm\ dd\,\ yyyy"/>
    <numFmt numFmtId="168" formatCode="[$-14009]yyyy/mm/dd;@"/>
    <numFmt numFmtId="169" formatCode="0.0%"/>
    <numFmt numFmtId="170" formatCode="[$-409]d\-mmm\-yy;@"/>
    <numFmt numFmtId="171" formatCode="[$-409]mmmm\ d\,\ yyyy;@"/>
    <numFmt numFmtId="172" formatCode="[$-14009]dd/mm/yyyy;@"/>
  </numFmts>
  <fonts count="44" x14ac:knownFonts="1">
    <font>
      <sz val="10"/>
      <color theme="1"/>
      <name val="Arial"/>
      <family val="2"/>
    </font>
    <font>
      <sz val="11"/>
      <color theme="1"/>
      <name val="Calibri"/>
      <family val="2"/>
      <scheme val="minor"/>
    </font>
    <font>
      <b/>
      <sz val="10"/>
      <color theme="1"/>
      <name val="Arial"/>
      <family val="2"/>
    </font>
    <font>
      <b/>
      <sz val="18"/>
      <color theme="1"/>
      <name val="Calibri"/>
      <family val="2"/>
      <scheme val="minor"/>
    </font>
    <font>
      <sz val="14"/>
      <color theme="1"/>
      <name val="Calibri"/>
      <family val="2"/>
      <scheme val="minor"/>
    </font>
    <font>
      <b/>
      <sz val="10"/>
      <color rgb="FF3F3F3F"/>
      <name val="Arial"/>
      <family val="2"/>
    </font>
    <font>
      <b/>
      <sz val="12"/>
      <color theme="1"/>
      <name val="Arial"/>
      <family val="2"/>
    </font>
    <font>
      <sz val="12"/>
      <color theme="1"/>
      <name val="Arial"/>
      <family val="2"/>
    </font>
    <font>
      <b/>
      <sz val="12"/>
      <color rgb="FF3F3F3F"/>
      <name val="Arial"/>
      <family val="2"/>
    </font>
    <font>
      <b/>
      <sz val="18"/>
      <color theme="1"/>
      <name val="Arial"/>
      <family val="2"/>
    </font>
    <font>
      <sz val="18"/>
      <color theme="1"/>
      <name val="Arial"/>
      <family val="2"/>
    </font>
    <font>
      <sz val="11"/>
      <color theme="1"/>
      <name val="Arial"/>
      <family val="2"/>
    </font>
    <font>
      <sz val="14"/>
      <color theme="1"/>
      <name val="Arial"/>
      <family val="2"/>
    </font>
    <font>
      <b/>
      <sz val="18"/>
      <color rgb="FF0070C0"/>
      <name val="Arial"/>
      <family val="2"/>
    </font>
    <font>
      <b/>
      <sz val="11"/>
      <color theme="1"/>
      <name val="Arial"/>
      <family val="2"/>
    </font>
    <font>
      <b/>
      <sz val="12"/>
      <color theme="1"/>
      <name val="Calibri"/>
      <family val="2"/>
      <scheme val="minor"/>
    </font>
    <font>
      <b/>
      <sz val="14"/>
      <color theme="1"/>
      <name val="Arial"/>
      <family val="2"/>
    </font>
    <font>
      <b/>
      <sz val="18"/>
      <color theme="4"/>
      <name val="Arial"/>
      <family val="2"/>
    </font>
    <font>
      <b/>
      <sz val="13.5"/>
      <color theme="1"/>
      <name val="Arial"/>
      <family val="2"/>
    </font>
    <font>
      <sz val="10"/>
      <color theme="1"/>
      <name val="Arial"/>
      <family val="2"/>
    </font>
    <font>
      <u/>
      <sz val="10"/>
      <color theme="10"/>
      <name val="Arial"/>
      <family val="2"/>
    </font>
    <font>
      <b/>
      <u/>
      <sz val="11"/>
      <color theme="10"/>
      <name val="Arial"/>
      <family val="2"/>
    </font>
    <font>
      <b/>
      <u/>
      <sz val="12"/>
      <color theme="10"/>
      <name val="Arial"/>
      <family val="2"/>
    </font>
    <font>
      <b/>
      <sz val="12"/>
      <color rgb="FFFF0000"/>
      <name val="Arial"/>
      <family val="2"/>
    </font>
    <font>
      <b/>
      <sz val="14"/>
      <color rgb="FFFF0000"/>
      <name val="Arial"/>
      <family val="2"/>
    </font>
    <font>
      <b/>
      <sz val="12"/>
      <color theme="0"/>
      <name val="Arial"/>
      <family val="2"/>
    </font>
    <font>
      <sz val="10"/>
      <name val="MS Sans Serif"/>
    </font>
    <font>
      <b/>
      <sz val="11"/>
      <color theme="0"/>
      <name val="MS Sans Serif"/>
      <family val="2"/>
    </font>
    <font>
      <b/>
      <sz val="11"/>
      <color theme="1"/>
      <name val="Calibri"/>
      <family val="2"/>
      <scheme val="minor"/>
    </font>
    <font>
      <b/>
      <sz val="13.5"/>
      <color theme="1"/>
      <name val="Calibri"/>
      <family val="2"/>
      <scheme val="minor"/>
    </font>
    <font>
      <sz val="13.5"/>
      <color theme="1"/>
      <name val="Arial"/>
      <family val="2"/>
    </font>
    <font>
      <sz val="13.5"/>
      <color theme="1"/>
      <name val="Calibri"/>
      <family val="2"/>
      <scheme val="minor"/>
    </font>
    <font>
      <b/>
      <sz val="16"/>
      <name val="Arial"/>
      <family val="2"/>
    </font>
    <font>
      <b/>
      <sz val="14"/>
      <color theme="1"/>
      <name val="Calibri"/>
      <family val="2"/>
      <scheme val="minor"/>
    </font>
    <font>
      <b/>
      <sz val="16"/>
      <color rgb="FFFF0000"/>
      <name val="Arial"/>
      <family val="2"/>
    </font>
    <font>
      <sz val="5"/>
      <color rgb="FF000000"/>
      <name val="Arial"/>
      <family val="2"/>
    </font>
    <font>
      <sz val="8"/>
      <name val="Arial"/>
      <family val="2"/>
    </font>
    <font>
      <b/>
      <sz val="12"/>
      <color rgb="FFFF0000"/>
      <name val="Calibri"/>
      <family val="2"/>
      <scheme val="minor"/>
    </font>
    <font>
      <sz val="11"/>
      <color rgb="FFFF0000"/>
      <name val="Arial"/>
      <family val="2"/>
    </font>
    <font>
      <sz val="10"/>
      <color theme="1"/>
      <name val="Calibri"/>
      <family val="2"/>
      <scheme val="minor"/>
    </font>
    <font>
      <sz val="12"/>
      <color theme="1"/>
      <name val="Calibri"/>
      <family val="2"/>
      <scheme val="minor"/>
    </font>
    <font>
      <b/>
      <sz val="18"/>
      <color theme="0"/>
      <name val="Calibri"/>
      <family val="2"/>
      <scheme val="minor"/>
    </font>
    <font>
      <i/>
      <sz val="10"/>
      <color theme="1"/>
      <name val="Arial"/>
      <family val="2"/>
    </font>
    <font>
      <sz val="12"/>
      <color rgb="FF3F3F3F"/>
      <name val="Arial"/>
      <family val="2"/>
    </font>
  </fonts>
  <fills count="17">
    <fill>
      <patternFill patternType="none"/>
    </fill>
    <fill>
      <patternFill patternType="gray125"/>
    </fill>
    <fill>
      <patternFill patternType="solid">
        <fgColor rgb="FFF2F2F2"/>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theme="9"/>
        <bgColor indexed="64"/>
      </patternFill>
    </fill>
    <fill>
      <patternFill patternType="solid">
        <fgColor theme="3" tint="0.79998168889431442"/>
        <bgColor indexed="64"/>
      </patternFill>
    </fill>
    <fill>
      <patternFill patternType="solid">
        <fgColor theme="0"/>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rgb="FF0070C0"/>
        <bgColor indexed="64"/>
      </patternFill>
    </fill>
    <fill>
      <patternFill patternType="solid">
        <fgColor rgb="FF7030A0"/>
        <bgColor indexed="64"/>
      </patternFill>
    </fill>
    <fill>
      <patternFill patternType="solid">
        <fgColor theme="9" tint="-0.249977111117893"/>
        <bgColor indexed="64"/>
      </patternFill>
    </fill>
    <fill>
      <patternFill patternType="solid">
        <fgColor theme="9" tint="0.39997558519241921"/>
        <bgColor indexed="64"/>
      </patternFill>
    </fill>
  </fills>
  <borders count="17">
    <border>
      <left/>
      <right/>
      <top/>
      <bottom/>
      <diagonal/>
    </border>
    <border>
      <left/>
      <right/>
      <top/>
      <bottom style="medium">
        <color indexed="64"/>
      </bottom>
      <diagonal/>
    </border>
    <border>
      <left/>
      <right/>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5" fillId="2" borderId="3" applyNumberFormat="0" applyAlignment="0" applyProtection="0"/>
    <xf numFmtId="9" fontId="19" fillId="0" borderId="0" applyFont="0" applyFill="0" applyBorder="0" applyAlignment="0" applyProtection="0"/>
    <xf numFmtId="0" fontId="20" fillId="0" borderId="0" applyNumberFormat="0" applyFill="0" applyBorder="0" applyAlignment="0" applyProtection="0"/>
    <xf numFmtId="0" fontId="26" fillId="0" borderId="0"/>
  </cellStyleXfs>
  <cellXfs count="198">
    <xf numFmtId="0" fontId="0" fillId="0" borderId="0" xfId="0"/>
    <xf numFmtId="0" fontId="3" fillId="0" borderId="1" xfId="0" applyFont="1" applyBorder="1"/>
    <xf numFmtId="0" fontId="0" fillId="0" borderId="1" xfId="0" applyBorder="1"/>
    <xf numFmtId="0" fontId="4" fillId="0" borderId="0" xfId="0" applyFont="1"/>
    <xf numFmtId="0" fontId="0" fillId="0" borderId="0" xfId="0" applyAlignment="1">
      <alignment horizontal="center"/>
    </xf>
    <xf numFmtId="0" fontId="6" fillId="0" borderId="0" xfId="0" applyFont="1"/>
    <xf numFmtId="0" fontId="7" fillId="0" borderId="0" xfId="0" applyFont="1"/>
    <xf numFmtId="0" fontId="6" fillId="0" borderId="2" xfId="0" applyFont="1" applyBorder="1" applyAlignment="1">
      <alignment horizontal="center"/>
    </xf>
    <xf numFmtId="165" fontId="7" fillId="0" borderId="0" xfId="0" applyNumberFormat="1" applyFont="1"/>
    <xf numFmtId="165" fontId="7" fillId="0" borderId="2" xfId="0" applyNumberFormat="1" applyFont="1" applyBorder="1"/>
    <xf numFmtId="165" fontId="8" fillId="2" borderId="3" xfId="1" applyNumberFormat="1" applyFont="1"/>
    <xf numFmtId="3" fontId="7" fillId="0" borderId="0" xfId="0" applyNumberFormat="1" applyFont="1"/>
    <xf numFmtId="3" fontId="7" fillId="0" borderId="2" xfId="0" applyNumberFormat="1" applyFont="1" applyBorder="1"/>
    <xf numFmtId="0" fontId="9" fillId="0" borderId="1" xfId="0" applyFont="1" applyBorder="1"/>
    <xf numFmtId="0" fontId="10" fillId="0" borderId="0" xfId="0" applyFont="1"/>
    <xf numFmtId="0" fontId="9" fillId="0" borderId="0" xfId="0" applyFont="1"/>
    <xf numFmtId="0" fontId="3" fillId="0" borderId="0" xfId="0" applyFont="1"/>
    <xf numFmtId="0" fontId="0" fillId="0" borderId="5" xfId="0" applyBorder="1"/>
    <xf numFmtId="0" fontId="12" fillId="0" borderId="0" xfId="0" applyFont="1"/>
    <xf numFmtId="0" fontId="13" fillId="0" borderId="0" xfId="0" applyFont="1"/>
    <xf numFmtId="0" fontId="0" fillId="0" borderId="4" xfId="0" applyBorder="1" applyAlignment="1">
      <alignment horizontal="center"/>
    </xf>
    <xf numFmtId="0" fontId="11" fillId="0" borderId="4" xfId="0" applyFont="1" applyBorder="1" applyAlignment="1">
      <alignment horizontal="center"/>
    </xf>
    <xf numFmtId="0" fontId="7" fillId="5" borderId="0" xfId="0" applyFont="1" applyFill="1" applyAlignment="1">
      <alignment horizontal="center"/>
    </xf>
    <xf numFmtId="0" fontId="7" fillId="0" borderId="4" xfId="0" applyFont="1" applyBorder="1" applyAlignment="1">
      <alignment horizontal="center"/>
    </xf>
    <xf numFmtId="0" fontId="7" fillId="0" borderId="6" xfId="0" applyFont="1" applyBorder="1" applyAlignment="1">
      <alignment horizontal="center"/>
    </xf>
    <xf numFmtId="0" fontId="0" fillId="0" borderId="4" xfId="0" applyBorder="1"/>
    <xf numFmtId="0" fontId="6" fillId="0" borderId="4" xfId="0" applyFont="1" applyBorder="1"/>
    <xf numFmtId="0" fontId="6" fillId="5" borderId="4" xfId="0" applyFont="1" applyFill="1" applyBorder="1"/>
    <xf numFmtId="0" fontId="6" fillId="8" borderId="4" xfId="0" applyFont="1" applyFill="1" applyBorder="1"/>
    <xf numFmtId="0" fontId="6" fillId="6" borderId="4" xfId="0" applyFont="1" applyFill="1" applyBorder="1"/>
    <xf numFmtId="0" fontId="7" fillId="3" borderId="5" xfId="0" applyFont="1" applyFill="1" applyBorder="1"/>
    <xf numFmtId="0" fontId="7" fillId="0" borderId="0" xfId="0" applyFont="1" applyAlignment="1">
      <alignment horizontal="center"/>
    </xf>
    <xf numFmtId="0" fontId="7" fillId="0" borderId="5" xfId="0" applyFont="1" applyBorder="1"/>
    <xf numFmtId="0" fontId="15" fillId="5" borderId="5" xfId="0" applyFont="1" applyFill="1" applyBorder="1"/>
    <xf numFmtId="0" fontId="15" fillId="3" borderId="0" xfId="0" applyFont="1" applyFill="1" applyAlignment="1">
      <alignment horizontal="center"/>
    </xf>
    <xf numFmtId="0" fontId="6" fillId="0" borderId="4" xfId="0" applyFont="1" applyBorder="1" applyAlignment="1">
      <alignment horizontal="center"/>
    </xf>
    <xf numFmtId="49" fontId="0" fillId="0" borderId="4" xfId="0" applyNumberFormat="1" applyBorder="1"/>
    <xf numFmtId="14" fontId="0" fillId="0" borderId="4" xfId="0" applyNumberFormat="1" applyBorder="1"/>
    <xf numFmtId="49" fontId="11" fillId="0" borderId="4" xfId="0" applyNumberFormat="1" applyFont="1" applyBorder="1"/>
    <xf numFmtId="0" fontId="11" fillId="0" borderId="4" xfId="0" applyFont="1" applyBorder="1"/>
    <xf numFmtId="3" fontId="11" fillId="0" borderId="4" xfId="0" applyNumberFormat="1" applyFont="1" applyBorder="1" applyAlignment="1">
      <alignment horizontal="right" vertical="center" wrapText="1"/>
    </xf>
    <xf numFmtId="166" fontId="11" fillId="0" borderId="4" xfId="0" applyNumberFormat="1" applyFont="1" applyBorder="1"/>
    <xf numFmtId="14" fontId="11" fillId="0" borderId="4" xfId="0" applyNumberFormat="1" applyFont="1" applyBorder="1"/>
    <xf numFmtId="2" fontId="0" fillId="0" borderId="0" xfId="0" applyNumberFormat="1"/>
    <xf numFmtId="167" fontId="0" fillId="0" borderId="4" xfId="0" applyNumberFormat="1" applyBorder="1"/>
    <xf numFmtId="168" fontId="0" fillId="0" borderId="4" xfId="0" applyNumberFormat="1" applyBorder="1"/>
    <xf numFmtId="0" fontId="2" fillId="0" borderId="4" xfId="0" applyFont="1" applyBorder="1" applyAlignment="1">
      <alignment horizontal="center"/>
    </xf>
    <xf numFmtId="14" fontId="0" fillId="0" borderId="4" xfId="0" applyNumberFormat="1" applyBorder="1" applyAlignment="1">
      <alignment horizontal="center"/>
    </xf>
    <xf numFmtId="0" fontId="16" fillId="0" borderId="0" xfId="0" applyFont="1"/>
    <xf numFmtId="14" fontId="0" fillId="0" borderId="0" xfId="0" applyNumberFormat="1" applyAlignment="1">
      <alignment horizontal="center"/>
    </xf>
    <xf numFmtId="0" fontId="16" fillId="0" borderId="0" xfId="0" applyFont="1" applyAlignment="1">
      <alignment horizontal="center"/>
    </xf>
    <xf numFmtId="0" fontId="17" fillId="0" borderId="0" xfId="0" applyFont="1"/>
    <xf numFmtId="0" fontId="18" fillId="0" borderId="0" xfId="0" applyFont="1" applyAlignment="1">
      <alignment vertical="center"/>
    </xf>
    <xf numFmtId="0" fontId="11" fillId="0" borderId="0" xfId="0" applyFont="1" applyAlignment="1">
      <alignment wrapText="1"/>
    </xf>
    <xf numFmtId="0" fontId="7" fillId="10" borderId="5" xfId="0" applyFont="1" applyFill="1" applyBorder="1"/>
    <xf numFmtId="0" fontId="7" fillId="10" borderId="0" xfId="0" applyFont="1" applyFill="1" applyAlignment="1">
      <alignment horizontal="center"/>
    </xf>
    <xf numFmtId="0" fontId="15" fillId="10" borderId="5" xfId="0" applyFont="1" applyFill="1" applyBorder="1"/>
    <xf numFmtId="0" fontId="15" fillId="10" borderId="0" xfId="0" applyFont="1" applyFill="1" applyAlignment="1">
      <alignment horizontal="center"/>
    </xf>
    <xf numFmtId="0" fontId="6" fillId="0" borderId="0" xfId="0" applyFont="1" applyAlignment="1">
      <alignment horizontal="center"/>
    </xf>
    <xf numFmtId="49" fontId="11" fillId="7" borderId="4" xfId="0" applyNumberFormat="1" applyFont="1" applyFill="1" applyBorder="1"/>
    <xf numFmtId="49" fontId="11" fillId="9" borderId="4" xfId="0" applyNumberFormat="1" applyFont="1" applyFill="1" applyBorder="1"/>
    <xf numFmtId="0" fontId="11" fillId="7" borderId="4" xfId="0" applyFont="1" applyFill="1" applyBorder="1"/>
    <xf numFmtId="3" fontId="11" fillId="7" borderId="4" xfId="0" applyNumberFormat="1" applyFont="1" applyFill="1" applyBorder="1" applyAlignment="1">
      <alignment horizontal="right" vertical="center" wrapText="1"/>
    </xf>
    <xf numFmtId="166" fontId="11" fillId="7" borderId="4" xfId="0" applyNumberFormat="1" applyFont="1" applyFill="1" applyBorder="1"/>
    <xf numFmtId="14" fontId="11" fillId="7" borderId="4" xfId="0" applyNumberFormat="1" applyFont="1" applyFill="1" applyBorder="1"/>
    <xf numFmtId="0" fontId="11" fillId="9" borderId="4" xfId="0" applyFont="1" applyFill="1" applyBorder="1"/>
    <xf numFmtId="3" fontId="11" fillId="9" borderId="4" xfId="0" applyNumberFormat="1" applyFont="1" applyFill="1" applyBorder="1" applyAlignment="1">
      <alignment horizontal="right" vertical="center" wrapText="1"/>
    </xf>
    <xf numFmtId="166" fontId="11" fillId="9" borderId="4" xfId="0" applyNumberFormat="1" applyFont="1" applyFill="1" applyBorder="1"/>
    <xf numFmtId="14" fontId="11" fillId="9" borderId="4" xfId="0" applyNumberFormat="1" applyFont="1" applyFill="1" applyBorder="1"/>
    <xf numFmtId="0" fontId="21" fillId="0" borderId="0" xfId="3" applyFont="1"/>
    <xf numFmtId="0" fontId="22" fillId="0" borderId="0" xfId="3" applyFont="1"/>
    <xf numFmtId="49" fontId="23" fillId="10" borderId="4" xfId="0" applyNumberFormat="1" applyFont="1" applyFill="1" applyBorder="1" applyAlignment="1">
      <alignment horizontal="center"/>
    </xf>
    <xf numFmtId="49" fontId="23" fillId="10" borderId="4" xfId="0" applyNumberFormat="1" applyFont="1" applyFill="1" applyBorder="1"/>
    <xf numFmtId="49" fontId="23" fillId="10" borderId="4" xfId="0" applyNumberFormat="1" applyFont="1" applyFill="1" applyBorder="1" applyAlignment="1">
      <alignment horizontal="left"/>
    </xf>
    <xf numFmtId="49" fontId="23" fillId="10" borderId="0" xfId="0" applyNumberFormat="1" applyFont="1" applyFill="1"/>
    <xf numFmtId="0" fontId="23" fillId="0" borderId="2" xfId="0" applyFont="1" applyBorder="1" applyAlignment="1">
      <alignment horizontal="center"/>
    </xf>
    <xf numFmtId="0" fontId="23" fillId="0" borderId="4" xfId="0" applyFont="1" applyBorder="1"/>
    <xf numFmtId="0" fontId="23" fillId="0" borderId="4" xfId="0" applyFont="1" applyBorder="1" applyAlignment="1">
      <alignment horizontal="left"/>
    </xf>
    <xf numFmtId="0" fontId="23" fillId="0" borderId="4" xfId="0" applyFont="1" applyBorder="1" applyAlignment="1">
      <alignment horizontal="center"/>
    </xf>
    <xf numFmtId="0" fontId="7" fillId="0" borderId="4" xfId="0" applyFont="1" applyBorder="1"/>
    <xf numFmtId="0" fontId="7" fillId="0" borderId="4" xfId="0" applyFont="1" applyBorder="1" applyAlignment="1">
      <alignment horizontal="left"/>
    </xf>
    <xf numFmtId="164" fontId="7" fillId="0" borderId="4" xfId="0" applyNumberFormat="1" applyFont="1" applyBorder="1" applyAlignment="1">
      <alignment horizontal="center"/>
    </xf>
    <xf numFmtId="169" fontId="7" fillId="0" borderId="4" xfId="2" applyNumberFormat="1" applyFont="1" applyBorder="1" applyAlignment="1">
      <alignment horizontal="center"/>
    </xf>
    <xf numFmtId="49" fontId="23" fillId="10" borderId="5" xfId="0" applyNumberFormat="1" applyFont="1" applyFill="1" applyBorder="1"/>
    <xf numFmtId="49" fontId="11" fillId="4" borderId="4" xfId="0" applyNumberFormat="1" applyFont="1" applyFill="1" applyBorder="1"/>
    <xf numFmtId="0" fontId="24" fillId="0" borderId="0" xfId="0" applyFont="1"/>
    <xf numFmtId="0" fontId="25" fillId="11" borderId="0" xfId="0" applyFont="1" applyFill="1"/>
    <xf numFmtId="0" fontId="25" fillId="11" borderId="0" xfId="0" applyFont="1" applyFill="1" applyAlignment="1">
      <alignment horizontal="center"/>
    </xf>
    <xf numFmtId="0" fontId="6" fillId="10" borderId="0" xfId="0" applyFont="1" applyFill="1" applyAlignment="1">
      <alignment horizontal="left"/>
    </xf>
    <xf numFmtId="14" fontId="11" fillId="0" borderId="4" xfId="0" applyNumberFormat="1" applyFont="1" applyBorder="1" applyAlignment="1">
      <alignment horizontal="center"/>
    </xf>
    <xf numFmtId="20" fontId="11" fillId="0" borderId="4" xfId="0" applyNumberFormat="1" applyFont="1" applyBorder="1" applyAlignment="1">
      <alignment horizontal="center"/>
    </xf>
    <xf numFmtId="0" fontId="26" fillId="0" borderId="0" xfId="4"/>
    <xf numFmtId="0" fontId="26" fillId="0" borderId="0" xfId="4" quotePrefix="1"/>
    <xf numFmtId="0" fontId="27" fillId="12" borderId="2" xfId="4" applyFont="1" applyFill="1" applyBorder="1" applyAlignment="1">
      <alignment horizontal="center" vertical="center"/>
    </xf>
    <xf numFmtId="0" fontId="27" fillId="12" borderId="2" xfId="4" applyFont="1" applyFill="1" applyBorder="1" applyAlignment="1">
      <alignment horizontal="left" vertical="center"/>
    </xf>
    <xf numFmtId="0" fontId="29" fillId="0" borderId="0" xfId="0" applyFont="1" applyAlignment="1">
      <alignment vertical="center"/>
    </xf>
    <xf numFmtId="0" fontId="29" fillId="0" borderId="0" xfId="0" applyFont="1"/>
    <xf numFmtId="0" fontId="28" fillId="0" borderId="0" xfId="0" applyFont="1"/>
    <xf numFmtId="14" fontId="0" fillId="0" borderId="0" xfId="0" applyNumberFormat="1" applyAlignment="1">
      <alignment horizontal="left"/>
    </xf>
    <xf numFmtId="0" fontId="31" fillId="0" borderId="4" xfId="0" applyFont="1" applyBorder="1" applyAlignment="1">
      <alignment horizontal="center"/>
    </xf>
    <xf numFmtId="0" fontId="30" fillId="0" borderId="4" xfId="0" applyFont="1" applyBorder="1" applyAlignment="1">
      <alignment horizontal="center"/>
    </xf>
    <xf numFmtId="0" fontId="32" fillId="0" borderId="0" xfId="0" applyFont="1"/>
    <xf numFmtId="22" fontId="28" fillId="0" borderId="4" xfId="0" applyNumberFormat="1" applyFont="1" applyBorder="1"/>
    <xf numFmtId="0" fontId="28" fillId="0" borderId="4" xfId="0" applyFont="1" applyBorder="1"/>
    <xf numFmtId="0" fontId="28" fillId="0" borderId="4" xfId="0" applyFont="1" applyBorder="1" applyAlignment="1">
      <alignment horizontal="center"/>
    </xf>
    <xf numFmtId="0" fontId="0" fillId="3" borderId="4" xfId="0" applyFill="1" applyBorder="1"/>
    <xf numFmtId="0" fontId="0" fillId="3" borderId="0" xfId="0" applyFill="1"/>
    <xf numFmtId="0" fontId="0" fillId="4" borderId="0" xfId="0" applyFill="1"/>
    <xf numFmtId="0" fontId="0" fillId="0" borderId="7" xfId="0" applyBorder="1"/>
    <xf numFmtId="0" fontId="28" fillId="5" borderId="4" xfId="0" applyFont="1" applyFill="1" applyBorder="1"/>
    <xf numFmtId="0" fontId="28" fillId="3" borderId="4" xfId="0" applyFont="1" applyFill="1" applyBorder="1" applyAlignment="1">
      <alignment horizontal="center"/>
    </xf>
    <xf numFmtId="0" fontId="28" fillId="3" borderId="0" xfId="0" applyFont="1" applyFill="1"/>
    <xf numFmtId="0" fontId="28" fillId="4" borderId="0" xfId="0" applyFont="1" applyFill="1" applyAlignment="1">
      <alignment horizontal="center"/>
    </xf>
    <xf numFmtId="0" fontId="28" fillId="4" borderId="0" xfId="0" applyFont="1" applyFill="1"/>
    <xf numFmtId="0" fontId="0" fillId="4" borderId="5" xfId="0" applyFill="1" applyBorder="1"/>
    <xf numFmtId="0" fontId="28" fillId="5" borderId="5" xfId="0" applyFont="1" applyFill="1" applyBorder="1"/>
    <xf numFmtId="0" fontId="28" fillId="3" borderId="0" xfId="0" applyFont="1" applyFill="1" applyAlignment="1">
      <alignment horizontal="center"/>
    </xf>
    <xf numFmtId="0" fontId="0" fillId="13" borderId="5" xfId="0" applyFill="1" applyBorder="1"/>
    <xf numFmtId="0" fontId="0" fillId="14" borderId="5" xfId="0" applyFill="1" applyBorder="1"/>
    <xf numFmtId="0" fontId="28" fillId="5" borderId="8" xfId="0" applyFont="1" applyFill="1" applyBorder="1"/>
    <xf numFmtId="0" fontId="28" fillId="3" borderId="2" xfId="0" applyFont="1" applyFill="1" applyBorder="1" applyAlignment="1">
      <alignment horizontal="center"/>
    </xf>
    <xf numFmtId="0" fontId="28" fillId="3" borderId="2" xfId="0" applyFont="1" applyFill="1" applyBorder="1"/>
    <xf numFmtId="0" fontId="28" fillId="4" borderId="2" xfId="0" applyFont="1" applyFill="1" applyBorder="1" applyAlignment="1">
      <alignment horizontal="center"/>
    </xf>
    <xf numFmtId="0" fontId="28" fillId="4" borderId="2" xfId="0" applyFont="1" applyFill="1" applyBorder="1"/>
    <xf numFmtId="0" fontId="0" fillId="0" borderId="2" xfId="0" applyBorder="1"/>
    <xf numFmtId="0" fontId="0" fillId="0" borderId="9" xfId="0" applyBorder="1"/>
    <xf numFmtId="0" fontId="33" fillId="3" borderId="4" xfId="0" applyFont="1" applyFill="1" applyBorder="1"/>
    <xf numFmtId="0" fontId="33" fillId="4" borderId="4" xfId="0" applyFont="1" applyFill="1" applyBorder="1"/>
    <xf numFmtId="170" fontId="7" fillId="0" borderId="4" xfId="0" applyNumberFormat="1" applyFont="1" applyBorder="1"/>
    <xf numFmtId="0" fontId="35" fillId="0" borderId="0" xfId="0" applyFont="1" applyAlignment="1">
      <alignment horizontal="left" vertical="center" wrapText="1"/>
    </xf>
    <xf numFmtId="14" fontId="0" fillId="0" borderId="0" xfId="0" applyNumberFormat="1"/>
    <xf numFmtId="171" fontId="0" fillId="0" borderId="4" xfId="0" applyNumberFormat="1" applyBorder="1"/>
    <xf numFmtId="22" fontId="0" fillId="0" borderId="0" xfId="0" applyNumberFormat="1"/>
    <xf numFmtId="165" fontId="8" fillId="10" borderId="0" xfId="1" applyNumberFormat="1" applyFont="1" applyFill="1" applyBorder="1"/>
    <xf numFmtId="0" fontId="0" fillId="10" borderId="0" xfId="0" applyFill="1"/>
    <xf numFmtId="1" fontId="0" fillId="0" borderId="0" xfId="0" applyNumberFormat="1"/>
    <xf numFmtId="49" fontId="11" fillId="10" borderId="4" xfId="0" applyNumberFormat="1" applyFont="1" applyFill="1" applyBorder="1" applyAlignment="1">
      <alignment horizontal="center"/>
    </xf>
    <xf numFmtId="49" fontId="11" fillId="10" borderId="4" xfId="0" applyNumberFormat="1" applyFont="1" applyFill="1" applyBorder="1"/>
    <xf numFmtId="0" fontId="11" fillId="10" borderId="4" xfId="0" applyFont="1" applyFill="1" applyBorder="1" applyAlignment="1">
      <alignment horizontal="left"/>
    </xf>
    <xf numFmtId="3" fontId="11" fillId="10" borderId="4" xfId="0" applyNumberFormat="1" applyFont="1" applyFill="1" applyBorder="1" applyAlignment="1">
      <alignment horizontal="center" vertical="center" wrapText="1"/>
    </xf>
    <xf numFmtId="166" fontId="11" fillId="10" borderId="4" xfId="0" applyNumberFormat="1" applyFont="1" applyFill="1" applyBorder="1" applyAlignment="1">
      <alignment horizontal="center"/>
    </xf>
    <xf numFmtId="14" fontId="11" fillId="10" borderId="4" xfId="0" applyNumberFormat="1" applyFont="1" applyFill="1" applyBorder="1" applyAlignment="1">
      <alignment horizontal="center"/>
    </xf>
    <xf numFmtId="0" fontId="14" fillId="0" borderId="0" xfId="0" applyFont="1"/>
    <xf numFmtId="0" fontId="14" fillId="0" borderId="0" xfId="0" applyFont="1" applyAlignment="1">
      <alignment horizontal="center"/>
    </xf>
    <xf numFmtId="0" fontId="15" fillId="0" borderId="4" xfId="0" applyFont="1" applyBorder="1" applyAlignment="1">
      <alignment horizontal="center" vertical="top"/>
    </xf>
    <xf numFmtId="172" fontId="15" fillId="0" borderId="4" xfId="0" applyNumberFormat="1" applyFont="1" applyBorder="1" applyAlignment="1">
      <alignment horizontal="center" vertical="top"/>
    </xf>
    <xf numFmtId="0" fontId="0" fillId="0" borderId="4" xfId="0" applyBorder="1" applyAlignment="1">
      <alignment horizontal="right"/>
    </xf>
    <xf numFmtId="0" fontId="0" fillId="0" borderId="1" xfId="0" applyBorder="1" applyAlignment="1">
      <alignment horizontal="center"/>
    </xf>
    <xf numFmtId="0" fontId="37" fillId="0" borderId="4" xfId="0" applyFont="1" applyBorder="1" applyAlignment="1">
      <alignment horizontal="center" vertical="top"/>
    </xf>
    <xf numFmtId="49" fontId="23" fillId="10" borderId="0" xfId="0" applyNumberFormat="1" applyFont="1" applyFill="1" applyAlignment="1">
      <alignment horizontal="center" vertical="center"/>
    </xf>
    <xf numFmtId="0" fontId="0" fillId="0" borderId="4" xfId="0" applyBorder="1" applyAlignment="1">
      <alignment vertical="center"/>
    </xf>
    <xf numFmtId="0" fontId="0" fillId="0" borderId="4" xfId="0" applyBorder="1" applyAlignment="1">
      <alignment wrapText="1"/>
    </xf>
    <xf numFmtId="0" fontId="2" fillId="0" borderId="0" xfId="0" applyFont="1"/>
    <xf numFmtId="0" fontId="2" fillId="0" borderId="1" xfId="0" applyFont="1" applyBorder="1"/>
    <xf numFmtId="49" fontId="23" fillId="10" borderId="0" xfId="0" applyNumberFormat="1" applyFont="1" applyFill="1" applyAlignment="1">
      <alignment horizontal="center"/>
    </xf>
    <xf numFmtId="0" fontId="39" fillId="0" borderId="4" xfId="0" applyFont="1" applyBorder="1"/>
    <xf numFmtId="0" fontId="40" fillId="0" borderId="0" xfId="0" applyFont="1"/>
    <xf numFmtId="0" fontId="39" fillId="0" borderId="4" xfId="0" applyFont="1" applyBorder="1" applyAlignment="1">
      <alignment horizontal="center"/>
    </xf>
    <xf numFmtId="1" fontId="39" fillId="0" borderId="4" xfId="0" applyNumberFormat="1" applyFont="1" applyBorder="1" applyAlignment="1">
      <alignment horizontal="center"/>
    </xf>
    <xf numFmtId="0" fontId="15" fillId="16" borderId="4" xfId="0" applyFont="1" applyFill="1" applyBorder="1" applyAlignment="1">
      <alignment horizontal="center" vertical="center"/>
    </xf>
    <xf numFmtId="0" fontId="15" fillId="16" borderId="4" xfId="0" applyFont="1" applyFill="1" applyBorder="1" applyAlignment="1">
      <alignment vertical="center"/>
    </xf>
    <xf numFmtId="0" fontId="0" fillId="0" borderId="13" xfId="0" applyBorder="1" applyAlignment="1">
      <alignment horizontal="center"/>
    </xf>
    <xf numFmtId="14" fontId="0" fillId="0" borderId="13" xfId="0" applyNumberFormat="1" applyBorder="1" applyAlignment="1">
      <alignment horizontal="center"/>
    </xf>
    <xf numFmtId="2" fontId="38" fillId="10" borderId="14" xfId="0" applyNumberFormat="1" applyFont="1" applyFill="1" applyBorder="1" applyAlignment="1">
      <alignment horizontal="left" vertical="center"/>
    </xf>
    <xf numFmtId="2" fontId="38" fillId="10" borderId="14" xfId="0" applyNumberFormat="1" applyFont="1" applyFill="1" applyBorder="1" applyAlignment="1">
      <alignment horizontal="center" vertical="center"/>
    </xf>
    <xf numFmtId="2" fontId="38" fillId="10" borderId="8" xfId="0" applyNumberFormat="1" applyFont="1" applyFill="1" applyBorder="1" applyAlignment="1">
      <alignment horizontal="center" vertical="center"/>
    </xf>
    <xf numFmtId="2" fontId="38" fillId="0" borderId="9" xfId="0" applyNumberFormat="1" applyFont="1" applyBorder="1" applyAlignment="1">
      <alignment horizontal="center" vertical="center"/>
    </xf>
    <xf numFmtId="2" fontId="1" fillId="0" borderId="6" xfId="0" applyNumberFormat="1" applyFont="1" applyBorder="1" applyAlignment="1">
      <alignment horizontal="center"/>
    </xf>
    <xf numFmtId="2" fontId="1" fillId="0" borderId="4" xfId="0" applyNumberFormat="1" applyFont="1" applyBorder="1" applyAlignment="1">
      <alignment horizontal="left"/>
    </xf>
    <xf numFmtId="2" fontId="1" fillId="0" borderId="4" xfId="0" applyNumberFormat="1" applyFont="1" applyBorder="1" applyAlignment="1">
      <alignment horizontal="center"/>
    </xf>
    <xf numFmtId="2" fontId="1" fillId="0" borderId="4" xfId="0" applyNumberFormat="1" applyFont="1" applyBorder="1" applyAlignment="1">
      <alignment horizontal="center" vertical="center" wrapText="1"/>
    </xf>
    <xf numFmtId="2" fontId="1" fillId="0" borderId="10" xfId="0" applyNumberFormat="1" applyFont="1" applyBorder="1" applyAlignment="1">
      <alignment horizontal="center"/>
    </xf>
    <xf numFmtId="2" fontId="1" fillId="0" borderId="15" xfId="0" applyNumberFormat="1" applyFont="1" applyBorder="1" applyAlignment="1">
      <alignment horizontal="center"/>
    </xf>
    <xf numFmtId="2" fontId="1" fillId="0" borderId="12" xfId="0" applyNumberFormat="1" applyFont="1" applyBorder="1" applyAlignment="1">
      <alignment horizontal="left"/>
    </xf>
    <xf numFmtId="2" fontId="1" fillId="0" borderId="12" xfId="0" applyNumberFormat="1" applyFont="1" applyBorder="1" applyAlignment="1">
      <alignment horizontal="center"/>
    </xf>
    <xf numFmtId="2" fontId="1" fillId="0" borderId="12" xfId="0" applyNumberFormat="1" applyFont="1" applyBorder="1" applyAlignment="1">
      <alignment horizontal="center" vertical="center" wrapText="1"/>
    </xf>
    <xf numFmtId="2" fontId="1" fillId="0" borderId="16" xfId="0" applyNumberFormat="1" applyFont="1" applyBorder="1" applyAlignment="1">
      <alignment horizontal="center"/>
    </xf>
    <xf numFmtId="0" fontId="42" fillId="0" borderId="0" xfId="0" applyFont="1"/>
    <xf numFmtId="49" fontId="23" fillId="10" borderId="4" xfId="0" applyNumberFormat="1" applyFont="1" applyFill="1" applyBorder="1" applyAlignment="1">
      <alignment horizontal="right"/>
    </xf>
    <xf numFmtId="49" fontId="11" fillId="0" borderId="4" xfId="0" applyNumberFormat="1" applyFont="1" applyBorder="1" applyAlignment="1">
      <alignment horizontal="right"/>
    </xf>
    <xf numFmtId="0" fontId="11" fillId="0" borderId="4" xfId="0" applyFont="1" applyBorder="1" applyAlignment="1">
      <alignment horizontal="right"/>
    </xf>
    <xf numFmtId="2" fontId="11" fillId="0" borderId="4" xfId="0" applyNumberFormat="1" applyFont="1" applyBorder="1" applyAlignment="1">
      <alignment horizontal="right"/>
    </xf>
    <xf numFmtId="14" fontId="11" fillId="0" borderId="4" xfId="0" applyNumberFormat="1" applyFont="1" applyBorder="1" applyAlignment="1">
      <alignment horizontal="right"/>
    </xf>
    <xf numFmtId="165" fontId="43" fillId="2" borderId="3" xfId="1" applyNumberFormat="1" applyFont="1"/>
    <xf numFmtId="0" fontId="6" fillId="0" borderId="0" xfId="0" applyFont="1" applyAlignment="1">
      <alignment horizontal="left" wrapText="1"/>
    </xf>
    <xf numFmtId="0" fontId="15" fillId="0" borderId="4" xfId="0" applyFont="1" applyBorder="1" applyAlignment="1">
      <alignment horizontal="center"/>
    </xf>
    <xf numFmtId="0" fontId="41" fillId="15" borderId="0" xfId="0" applyFont="1" applyFill="1" applyAlignment="1">
      <alignment horizontal="center"/>
    </xf>
    <xf numFmtId="0" fontId="34" fillId="7" borderId="0" xfId="0" applyFont="1" applyFill="1" applyAlignment="1">
      <alignment horizont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6"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25" fillId="11" borderId="0" xfId="0" applyFont="1" applyFill="1" applyAlignment="1">
      <alignment horizontal="center"/>
    </xf>
  </cellXfs>
  <cellStyles count="5">
    <cellStyle name="Hyperlink" xfId="3" builtinId="8"/>
    <cellStyle name="Normal" xfId="0" builtinId="0"/>
    <cellStyle name="Normal 2" xfId="4" xr:uid="{00000000-0005-0000-0000-000002000000}"/>
    <cellStyle name="Output" xfId="1" builtinId="21"/>
    <cellStyle name="Percent" xfId="2" builtinId="5"/>
  </cellStyles>
  <dxfs count="12">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top style="medium">
          <color indexed="64"/>
        </top>
        <bottom style="medium">
          <color indexed="64"/>
        </bottom>
      </border>
    </dxf>
    <dxf>
      <numFmt numFmtId="2" formatCode="0.00"/>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rgb="FFFF000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xdr:col>
      <xdr:colOff>304800</xdr:colOff>
      <xdr:row>6</xdr:row>
      <xdr:rowOff>142875</xdr:rowOff>
    </xdr:to>
    <xdr:sp macro="" textlink="">
      <xdr:nvSpPr>
        <xdr:cNvPr id="15361" name="AutoShape 1" descr="D:\LCF PROJECT\Excel Screen.webp">
          <a:extLst>
            <a:ext uri="{FF2B5EF4-FFF2-40B4-BE49-F238E27FC236}">
              <a16:creationId xmlns:a16="http://schemas.microsoft.com/office/drawing/2014/main" id="{00000000-0008-0000-0000-0000013C0000}"/>
            </a:ext>
          </a:extLst>
        </xdr:cNvPr>
        <xdr:cNvSpPr>
          <a:spLocks noChangeAspect="1" noChangeArrowheads="1"/>
        </xdr:cNvSpPr>
      </xdr:nvSpPr>
      <xdr:spPr bwMode="auto">
        <a:xfrm>
          <a:off x="60960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6</xdr:row>
      <xdr:rowOff>142875</xdr:rowOff>
    </xdr:to>
    <xdr:sp macro="" textlink="">
      <xdr:nvSpPr>
        <xdr:cNvPr id="15363" name="AutoShape 3" descr="D:\LCF PROJECT\Excel Screen.webp">
          <a:extLst>
            <a:ext uri="{FF2B5EF4-FFF2-40B4-BE49-F238E27FC236}">
              <a16:creationId xmlns:a16="http://schemas.microsoft.com/office/drawing/2014/main" id="{00000000-0008-0000-0000-0000033C0000}"/>
            </a:ext>
          </a:extLst>
        </xdr:cNvPr>
        <xdr:cNvSpPr>
          <a:spLocks noChangeAspect="1" noChangeArrowheads="1"/>
        </xdr:cNvSpPr>
      </xdr:nvSpPr>
      <xdr:spPr bwMode="auto">
        <a:xfrm>
          <a:off x="60960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161924</xdr:rowOff>
    </xdr:from>
    <xdr:to>
      <xdr:col>13</xdr:col>
      <xdr:colOff>352425</xdr:colOff>
      <xdr:row>43</xdr:row>
      <xdr:rowOff>28574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09600" y="1419224"/>
          <a:ext cx="13011150" cy="6181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361950</xdr:colOff>
      <xdr:row>13</xdr:row>
      <xdr:rowOff>57150</xdr:rowOff>
    </xdr:from>
    <xdr:to>
      <xdr:col>0</xdr:col>
      <xdr:colOff>885825</xdr:colOff>
      <xdr:row>13</xdr:row>
      <xdr:rowOff>219075</xdr:rowOff>
    </xdr:to>
    <xdr:sp macro="" textlink="">
      <xdr:nvSpPr>
        <xdr:cNvPr id="2" name="Right Arrow 1">
          <a:extLst>
            <a:ext uri="{FF2B5EF4-FFF2-40B4-BE49-F238E27FC236}">
              <a16:creationId xmlns:a16="http://schemas.microsoft.com/office/drawing/2014/main" id="{00000000-0008-0000-0600-000002000000}"/>
            </a:ext>
          </a:extLst>
        </xdr:cNvPr>
        <xdr:cNvSpPr/>
      </xdr:nvSpPr>
      <xdr:spPr>
        <a:xfrm>
          <a:off x="361950" y="2524125"/>
          <a:ext cx="523875" cy="1619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180975</xdr:colOff>
      <xdr:row>7</xdr:row>
      <xdr:rowOff>133350</xdr:rowOff>
    </xdr:from>
    <xdr:to>
      <xdr:col>5</xdr:col>
      <xdr:colOff>523875</xdr:colOff>
      <xdr:row>8</xdr:row>
      <xdr:rowOff>76200</xdr:rowOff>
    </xdr:to>
    <xdr:sp macro="" textlink="">
      <xdr:nvSpPr>
        <xdr:cNvPr id="3" name="Left Arrow 2">
          <a:extLst>
            <a:ext uri="{FF2B5EF4-FFF2-40B4-BE49-F238E27FC236}">
              <a16:creationId xmlns:a16="http://schemas.microsoft.com/office/drawing/2014/main" id="{00000000-0008-0000-0600-000003000000}"/>
            </a:ext>
          </a:extLst>
        </xdr:cNvPr>
        <xdr:cNvSpPr/>
      </xdr:nvSpPr>
      <xdr:spPr>
        <a:xfrm>
          <a:off x="4343400" y="1219200"/>
          <a:ext cx="342900" cy="104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47625</xdr:colOff>
      <xdr:row>18</xdr:row>
      <xdr:rowOff>209550</xdr:rowOff>
    </xdr:from>
    <xdr:to>
      <xdr:col>5</xdr:col>
      <xdr:colOff>390525</xdr:colOff>
      <xdr:row>19</xdr:row>
      <xdr:rowOff>66675</xdr:rowOff>
    </xdr:to>
    <xdr:sp macro="" textlink="">
      <xdr:nvSpPr>
        <xdr:cNvPr id="4" name="Left Arrow 3">
          <a:extLst>
            <a:ext uri="{FF2B5EF4-FFF2-40B4-BE49-F238E27FC236}">
              <a16:creationId xmlns:a16="http://schemas.microsoft.com/office/drawing/2014/main" id="{00000000-0008-0000-0600-000004000000}"/>
            </a:ext>
          </a:extLst>
        </xdr:cNvPr>
        <xdr:cNvSpPr/>
      </xdr:nvSpPr>
      <xdr:spPr>
        <a:xfrm>
          <a:off x="4210050" y="3914775"/>
          <a:ext cx="342900" cy="104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17</xdr:row>
      <xdr:rowOff>0</xdr:rowOff>
    </xdr:from>
    <xdr:to>
      <xdr:col>7</xdr:col>
      <xdr:colOff>5753100</xdr:colOff>
      <xdr:row>38</xdr:row>
      <xdr:rowOff>1905</xdr:rowOff>
    </xdr:to>
    <xdr:pic>
      <xdr:nvPicPr>
        <xdr:cNvPr id="4" name="Picture 3" descr="Right Click Copy">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50" y="3924300"/>
          <a:ext cx="5753100" cy="387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41</xdr:row>
      <xdr:rowOff>0</xdr:rowOff>
    </xdr:from>
    <xdr:to>
      <xdr:col>7</xdr:col>
      <xdr:colOff>3790950</xdr:colOff>
      <xdr:row>59</xdr:row>
      <xdr:rowOff>112395</xdr:rowOff>
    </xdr:to>
    <xdr:pic>
      <xdr:nvPicPr>
        <xdr:cNvPr id="5" name="Picture 4" descr="Check Transpose">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53150" y="8277225"/>
          <a:ext cx="379095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63</xdr:row>
      <xdr:rowOff>0</xdr:rowOff>
    </xdr:from>
    <xdr:to>
      <xdr:col>7</xdr:col>
      <xdr:colOff>5753100</xdr:colOff>
      <xdr:row>74</xdr:row>
      <xdr:rowOff>0</xdr:rowOff>
    </xdr:to>
    <xdr:pic>
      <xdr:nvPicPr>
        <xdr:cNvPr id="6" name="Picture 5" descr="Paste Special Transpose Result">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53150" y="11839575"/>
          <a:ext cx="575310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81</xdr:row>
      <xdr:rowOff>0</xdr:rowOff>
    </xdr:from>
    <xdr:to>
      <xdr:col>7</xdr:col>
      <xdr:colOff>5753100</xdr:colOff>
      <xdr:row>90</xdr:row>
      <xdr:rowOff>133350</xdr:rowOff>
    </xdr:to>
    <xdr:pic>
      <xdr:nvPicPr>
        <xdr:cNvPr id="7" name="Picture 6" descr="Select the New Range">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53150" y="14811375"/>
          <a:ext cx="575310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95</xdr:row>
      <xdr:rowOff>0</xdr:rowOff>
    </xdr:from>
    <xdr:to>
      <xdr:col>7</xdr:col>
      <xdr:colOff>5753100</xdr:colOff>
      <xdr:row>104</xdr:row>
      <xdr:rowOff>133350</xdr:rowOff>
    </xdr:to>
    <xdr:pic>
      <xdr:nvPicPr>
        <xdr:cNvPr id="8" name="Picture 7" descr="Transpose Function">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153150" y="17078325"/>
          <a:ext cx="575310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15</xdr:row>
      <xdr:rowOff>57150</xdr:rowOff>
    </xdr:from>
    <xdr:to>
      <xdr:col>2</xdr:col>
      <xdr:colOff>342900</xdr:colOff>
      <xdr:row>16</xdr:row>
      <xdr:rowOff>171450</xdr:rowOff>
    </xdr:to>
    <xdr:sp macro="" textlink="">
      <xdr:nvSpPr>
        <xdr:cNvPr id="10" name="Down Arrow 9">
          <a:extLst>
            <a:ext uri="{FF2B5EF4-FFF2-40B4-BE49-F238E27FC236}">
              <a16:creationId xmlns:a16="http://schemas.microsoft.com/office/drawing/2014/main" id="{00000000-0008-0000-0900-00000A000000}"/>
            </a:ext>
          </a:extLst>
        </xdr:cNvPr>
        <xdr:cNvSpPr/>
      </xdr:nvSpPr>
      <xdr:spPr>
        <a:xfrm>
          <a:off x="1581150" y="3238500"/>
          <a:ext cx="247650" cy="3048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241300</xdr:colOff>
      <xdr:row>2</xdr:row>
      <xdr:rowOff>180975</xdr:rowOff>
    </xdr:from>
    <xdr:to>
      <xdr:col>12</xdr:col>
      <xdr:colOff>498475</xdr:colOff>
      <xdr:row>13</xdr:row>
      <xdr:rowOff>9525</xdr:rowOff>
    </xdr:to>
    <xdr:pic>
      <xdr:nvPicPr>
        <xdr:cNvPr id="3" name="Picture 2" descr="Move a Range">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3800" y="644525"/>
          <a:ext cx="3305175" cy="208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14</xdr:row>
      <xdr:rowOff>0</xdr:rowOff>
    </xdr:from>
    <xdr:to>
      <xdr:col>12</xdr:col>
      <xdr:colOff>209550</xdr:colOff>
      <xdr:row>19</xdr:row>
      <xdr:rowOff>9525</xdr:rowOff>
    </xdr:to>
    <xdr:pic>
      <xdr:nvPicPr>
        <xdr:cNvPr id="2" name="Picture 1" descr="Filter Example">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2667000"/>
          <a:ext cx="20383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12</xdr:col>
      <xdr:colOff>209550</xdr:colOff>
      <xdr:row>28</xdr:row>
      <xdr:rowOff>9525</xdr:rowOff>
    </xdr:to>
    <xdr:pic>
      <xdr:nvPicPr>
        <xdr:cNvPr id="3" name="Picture 2" descr="Clear Filter">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7250" y="4295775"/>
          <a:ext cx="20383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dvance%20Excel%20Assignment/Course%20Excel-%20Basic%20to%20Advance/E%20-VLookUP%20-HLookUp.xlsx" TargetMode="External"/><Relationship Id="rId1" Type="http://schemas.openxmlformats.org/officeDocument/2006/relationships/externalLinkPath" Target="/Advance%20Excel%20Assignment/Course%20Excel-%20Basic%20to%20Advance/E%20-VLookUP%20-HLoo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LookUP -Find item"/>
      <sheetName val="VLookUP -Find Grade"/>
      <sheetName val="VLooUP -WildCard Character"/>
      <sheetName val="HLookUp"/>
    </sheetNames>
    <sheetDataSet>
      <sheetData sheetId="0" refreshError="1"/>
      <sheetData sheetId="1" refreshError="1"/>
      <sheetData sheetId="2" refreshError="1"/>
      <sheetData sheetId="3" refreshError="1">
        <row r="6">
          <cell r="C6">
            <v>2099</v>
          </cell>
          <cell r="D6">
            <v>2088</v>
          </cell>
          <cell r="E6">
            <v>2077</v>
          </cell>
          <cell r="F6">
            <v>2066</v>
          </cell>
        </row>
        <row r="7">
          <cell r="C7">
            <v>4055</v>
          </cell>
          <cell r="D7">
            <v>2355</v>
          </cell>
          <cell r="E7">
            <v>4233</v>
          </cell>
          <cell r="F7">
            <v>2566</v>
          </cell>
        </row>
        <row r="8">
          <cell r="C8">
            <v>3022</v>
          </cell>
          <cell r="D8">
            <v>5523</v>
          </cell>
          <cell r="E8">
            <v>8024</v>
          </cell>
          <cell r="F8">
            <v>10525</v>
          </cell>
        </row>
        <row r="9">
          <cell r="C9">
            <v>1990</v>
          </cell>
          <cell r="D9">
            <v>8824</v>
          </cell>
          <cell r="E9">
            <v>15658</v>
          </cell>
          <cell r="F9">
            <v>22492</v>
          </cell>
        </row>
        <row r="10">
          <cell r="C10">
            <v>11166</v>
          </cell>
          <cell r="D10">
            <v>18790</v>
          </cell>
          <cell r="E10">
            <v>29992</v>
          </cell>
          <cell r="F10">
            <v>37649</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BD2E0D-05AC-485A-9BAF-1754BB7F18C0}" name="Table1" displayName="Table1" ref="B9:H29" totalsRowShown="0" headerRowDxfId="11" dataDxfId="9" headerRowBorderDxfId="10" tableBorderDxfId="8" totalsRowBorderDxfId="7">
  <autoFilter ref="B9:H29" xr:uid="{62BD2E0D-05AC-485A-9BAF-1754BB7F18C0}"/>
  <tableColumns count="7">
    <tableColumn id="1" xr3:uid="{E27580F2-6BBC-4204-B2C6-D7BAA2F64374}" name="ID" dataDxfId="6"/>
    <tableColumn id="2" xr3:uid="{F75E3FA1-69F7-4639-9036-56B81936DAD5}" name="Dealer Name" dataDxfId="5"/>
    <tableColumn id="3" xr3:uid="{4F9EB966-E4C2-447D-AD3C-306015E985B1}" name="Model No" dataDxfId="4"/>
    <tableColumn id="4" xr3:uid="{ACB399BF-DFB3-42B9-A14F-FAC636D79C99}" name="Price" dataDxfId="3"/>
    <tableColumn id="5" xr3:uid="{BED662FD-D1B1-4124-B837-F908D37856F7}" name="Quantity" dataDxfId="2"/>
    <tableColumn id="6" xr3:uid="{FE5D1F17-28E6-4700-B0B8-C1F581954BDD}" name="Rpt Dt" dataDxfId="1"/>
    <tableColumn id="7" xr3:uid="{A8911134-BB9E-41F0-99BB-B5D3DC710E13}" name="DAY"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48576"/>
  <sheetViews>
    <sheetView showGridLines="0" zoomScale="60" zoomScaleNormal="60" workbookViewId="0"/>
  </sheetViews>
  <sheetFormatPr defaultRowHeight="13.2" x14ac:dyDescent="0.25"/>
  <cols>
    <col min="2" max="2" width="89.33203125" bestFit="1" customWidth="1"/>
  </cols>
  <sheetData>
    <row r="1" spans="1:4" ht="13.8" x14ac:dyDescent="0.25">
      <c r="A1" s="69"/>
    </row>
    <row r="2" spans="1:4" ht="22.8" x14ac:dyDescent="0.4">
      <c r="B2" s="51" t="s">
        <v>174</v>
      </c>
    </row>
    <row r="4" spans="1:4" ht="48" customHeight="1" x14ac:dyDescent="0.3">
      <c r="B4" s="184" t="s">
        <v>185</v>
      </c>
      <c r="C4" s="184"/>
      <c r="D4" s="184"/>
    </row>
    <row r="1048575" spans="1:1" x14ac:dyDescent="0.25">
      <c r="A1048575" t="s">
        <v>800</v>
      </c>
    </row>
    <row r="1048576" spans="1:1" x14ac:dyDescent="0.25">
      <c r="A1048576" t="s">
        <v>799</v>
      </c>
    </row>
  </sheetData>
  <mergeCells count="1">
    <mergeCell ref="B4:D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8"/>
  <sheetViews>
    <sheetView showGridLines="0" workbookViewId="0">
      <selection activeCell="I20" sqref="I20"/>
    </sheetView>
  </sheetViews>
  <sheetFormatPr defaultRowHeight="13.2" x14ac:dyDescent="0.25"/>
  <cols>
    <col min="2" max="2" width="7.5546875" customWidth="1"/>
    <col min="3" max="3" width="19" bestFit="1" customWidth="1"/>
    <col min="4" max="4" width="6.33203125" customWidth="1"/>
    <col min="5" max="5" width="24" bestFit="1" customWidth="1"/>
    <col min="6" max="6" width="7.44140625" bestFit="1" customWidth="1"/>
    <col min="7" max="7" width="20.21875" bestFit="1" customWidth="1"/>
    <col min="8" max="8" width="8.77734375" bestFit="1" customWidth="1"/>
    <col min="9" max="9" width="11.6640625" bestFit="1" customWidth="1"/>
    <col min="10" max="10" width="13.21875" bestFit="1" customWidth="1"/>
    <col min="11" max="11" width="13.109375" bestFit="1" customWidth="1"/>
    <col min="12" max="12" width="11.6640625" customWidth="1"/>
  </cols>
  <sheetData>
    <row r="1" spans="1:13" ht="13.8" x14ac:dyDescent="0.25">
      <c r="A1" s="69"/>
    </row>
    <row r="2" spans="1:13" ht="18" x14ac:dyDescent="0.35">
      <c r="A2" s="3"/>
    </row>
    <row r="5" spans="1:13" ht="29.4" customHeight="1" x14ac:dyDescent="0.45">
      <c r="B5" s="186" t="s">
        <v>808</v>
      </c>
      <c r="C5" s="186"/>
      <c r="D5" s="186"/>
      <c r="E5" s="186"/>
      <c r="F5" s="186"/>
      <c r="G5" s="186"/>
      <c r="H5" s="186"/>
      <c r="I5" s="186"/>
      <c r="J5" s="186"/>
      <c r="K5" s="186"/>
      <c r="L5" s="186"/>
      <c r="M5" s="186"/>
    </row>
    <row r="7" spans="1:13" ht="15.6" x14ac:dyDescent="0.3">
      <c r="B7" s="156"/>
      <c r="C7" s="156"/>
      <c r="D7" s="156"/>
      <c r="E7" s="156"/>
      <c r="F7" s="156"/>
      <c r="G7" s="156"/>
      <c r="H7" s="156"/>
      <c r="I7" s="156"/>
      <c r="J7" s="156"/>
      <c r="K7" s="156"/>
      <c r="L7" s="185" t="s">
        <v>1008</v>
      </c>
      <c r="M7" s="185"/>
    </row>
    <row r="8" spans="1:13" ht="30.6" customHeight="1" x14ac:dyDescent="0.25">
      <c r="B8" s="159" t="s">
        <v>1005</v>
      </c>
      <c r="C8" s="160" t="s">
        <v>809</v>
      </c>
      <c r="D8" s="159" t="s">
        <v>134</v>
      </c>
      <c r="E8" s="160" t="s">
        <v>813</v>
      </c>
      <c r="F8" s="159" t="s">
        <v>810</v>
      </c>
      <c r="G8" s="159" t="s">
        <v>1006</v>
      </c>
      <c r="H8" s="159" t="s">
        <v>812</v>
      </c>
      <c r="I8" s="159" t="s">
        <v>811</v>
      </c>
      <c r="J8" s="159" t="s">
        <v>1009</v>
      </c>
      <c r="K8" s="159" t="s">
        <v>1007</v>
      </c>
      <c r="L8" s="159" t="s">
        <v>814</v>
      </c>
      <c r="M8" s="159" t="s">
        <v>815</v>
      </c>
    </row>
    <row r="9" spans="1:13" ht="13.8" x14ac:dyDescent="0.3">
      <c r="B9" s="157">
        <v>1</v>
      </c>
      <c r="C9" s="155" t="s">
        <v>1010</v>
      </c>
      <c r="D9" s="157">
        <v>55</v>
      </c>
      <c r="E9" s="155" t="s">
        <v>1012</v>
      </c>
      <c r="F9" s="157" t="s">
        <v>816</v>
      </c>
      <c r="G9" s="158">
        <v>2.3987589342758902E+18</v>
      </c>
      <c r="H9" s="157" t="s">
        <v>1015</v>
      </c>
      <c r="I9" s="157" t="s">
        <v>1016</v>
      </c>
      <c r="J9" s="157">
        <v>6554</v>
      </c>
      <c r="K9" s="157" t="s">
        <v>1018</v>
      </c>
      <c r="L9" s="157" t="s">
        <v>818</v>
      </c>
      <c r="M9" s="157" t="s">
        <v>818</v>
      </c>
    </row>
    <row r="10" spans="1:13" ht="13.8" x14ac:dyDescent="0.3">
      <c r="B10" s="157">
        <v>2</v>
      </c>
      <c r="C10" s="155" t="s">
        <v>1011</v>
      </c>
      <c r="D10" s="157">
        <v>35</v>
      </c>
      <c r="E10" s="155" t="s">
        <v>1013</v>
      </c>
      <c r="F10" s="157" t="s">
        <v>1014</v>
      </c>
      <c r="G10" s="158">
        <v>328753489593458</v>
      </c>
      <c r="H10" s="157" t="s">
        <v>817</v>
      </c>
      <c r="I10" s="157" t="s">
        <v>1017</v>
      </c>
      <c r="J10" s="157">
        <v>545</v>
      </c>
      <c r="K10" s="157" t="s">
        <v>1018</v>
      </c>
      <c r="L10" s="157" t="s">
        <v>818</v>
      </c>
      <c r="M10" s="157" t="s">
        <v>819</v>
      </c>
    </row>
    <row r="11" spans="1:13" ht="13.8" x14ac:dyDescent="0.3">
      <c r="B11" s="157">
        <v>3</v>
      </c>
      <c r="C11" s="155"/>
      <c r="D11" s="157"/>
      <c r="E11" s="155"/>
      <c r="F11" s="157"/>
      <c r="G11" s="157"/>
      <c r="H11" s="157"/>
      <c r="I11" s="157"/>
      <c r="J11" s="157"/>
      <c r="K11" s="157"/>
      <c r="L11" s="157"/>
      <c r="M11" s="157"/>
    </row>
    <row r="12" spans="1:13" ht="13.8" x14ac:dyDescent="0.3">
      <c r="B12" s="157">
        <v>4</v>
      </c>
      <c r="C12" s="155"/>
      <c r="D12" s="157"/>
      <c r="E12" s="155"/>
      <c r="F12" s="157"/>
      <c r="G12" s="157"/>
      <c r="H12" s="157"/>
      <c r="I12" s="157"/>
      <c r="J12" s="157"/>
      <c r="K12" s="157"/>
      <c r="L12" s="157"/>
      <c r="M12" s="157"/>
    </row>
    <row r="13" spans="1:13" ht="13.8" x14ac:dyDescent="0.3">
      <c r="B13" s="157">
        <v>5</v>
      </c>
      <c r="C13" s="155"/>
      <c r="D13" s="157"/>
      <c r="E13" s="155"/>
      <c r="F13" s="157"/>
      <c r="G13" s="157"/>
      <c r="H13" s="157"/>
      <c r="I13" s="157"/>
      <c r="J13" s="157"/>
      <c r="K13" s="157"/>
      <c r="L13" s="157"/>
      <c r="M13" s="157"/>
    </row>
    <row r="14" spans="1:13" ht="13.8" x14ac:dyDescent="0.3">
      <c r="B14" s="157">
        <v>6</v>
      </c>
      <c r="C14" s="155"/>
      <c r="D14" s="157"/>
      <c r="E14" s="155"/>
      <c r="F14" s="157"/>
      <c r="G14" s="157"/>
      <c r="H14" s="157"/>
      <c r="I14" s="157"/>
      <c r="J14" s="157"/>
      <c r="K14" s="157"/>
      <c r="L14" s="157"/>
      <c r="M14" s="157"/>
    </row>
    <row r="15" spans="1:13" ht="13.8" x14ac:dyDescent="0.3">
      <c r="B15" s="157">
        <v>7</v>
      </c>
      <c r="C15" s="155"/>
      <c r="D15" s="157"/>
      <c r="E15" s="155"/>
      <c r="F15" s="157"/>
      <c r="G15" s="157"/>
      <c r="H15" s="157"/>
      <c r="I15" s="157"/>
      <c r="J15" s="157"/>
      <c r="K15" s="157"/>
      <c r="L15" s="157"/>
      <c r="M15" s="157"/>
    </row>
    <row r="16" spans="1:13" ht="13.8" x14ac:dyDescent="0.3">
      <c r="B16" s="157">
        <v>8</v>
      </c>
      <c r="C16" s="155"/>
      <c r="D16" s="157"/>
      <c r="E16" s="155"/>
      <c r="F16" s="157"/>
      <c r="G16" s="157"/>
      <c r="H16" s="157"/>
      <c r="I16" s="157"/>
      <c r="J16" s="157"/>
      <c r="K16" s="157"/>
      <c r="L16" s="157"/>
      <c r="M16" s="157"/>
    </row>
    <row r="17" spans="2:13" ht="13.8" x14ac:dyDescent="0.3">
      <c r="B17" s="157">
        <v>9</v>
      </c>
      <c r="C17" s="155"/>
      <c r="D17" s="157"/>
      <c r="E17" s="155"/>
      <c r="F17" s="157"/>
      <c r="G17" s="157"/>
      <c r="H17" s="157"/>
      <c r="I17" s="157"/>
      <c r="J17" s="157"/>
      <c r="K17" s="157"/>
      <c r="L17" s="157"/>
      <c r="M17" s="157"/>
    </row>
    <row r="18" spans="2:13" ht="13.8" x14ac:dyDescent="0.3">
      <c r="B18" s="157">
        <v>10</v>
      </c>
      <c r="C18" s="155"/>
      <c r="D18" s="157"/>
      <c r="E18" s="155"/>
      <c r="F18" s="157"/>
      <c r="G18" s="157"/>
      <c r="H18" s="157"/>
      <c r="I18" s="157"/>
      <c r="J18" s="157"/>
      <c r="K18" s="157"/>
      <c r="L18" s="157"/>
      <c r="M18" s="157"/>
    </row>
  </sheetData>
  <mergeCells count="2">
    <mergeCell ref="L7:M7"/>
    <mergeCell ref="B5:M5"/>
  </mergeCells>
  <phoneticPr fontId="3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showGridLines="0" topLeftCell="A5" workbookViewId="0">
      <selection activeCell="J28" sqref="J28"/>
    </sheetView>
  </sheetViews>
  <sheetFormatPr defaultRowHeight="13.2" x14ac:dyDescent="0.25"/>
  <cols>
    <col min="2" max="2" width="9.5546875" bestFit="1" customWidth="1"/>
    <col min="3" max="3" width="16" bestFit="1" customWidth="1"/>
    <col min="4" max="4" width="22.21875" bestFit="1" customWidth="1"/>
    <col min="5" max="5" width="9.5546875" bestFit="1" customWidth="1"/>
    <col min="6" max="6" width="11.109375" customWidth="1"/>
    <col min="7" max="7" width="10.44140625" bestFit="1" customWidth="1"/>
    <col min="8" max="8" width="11.5546875" bestFit="1" customWidth="1"/>
    <col min="10" max="11" width="31.21875" bestFit="1" customWidth="1"/>
  </cols>
  <sheetData>
    <row r="1" spans="1:10" ht="13.8" x14ac:dyDescent="0.25">
      <c r="A1" s="69"/>
    </row>
    <row r="2" spans="1:10" ht="23.4" thickBot="1" x14ac:dyDescent="0.45">
      <c r="A2" s="13" t="s">
        <v>0</v>
      </c>
    </row>
    <row r="3" spans="1:10" ht="18" x14ac:dyDescent="0.35">
      <c r="A3" s="3"/>
    </row>
    <row r="4" spans="1:10" ht="22.8" x14ac:dyDescent="0.4">
      <c r="A4" s="19" t="s">
        <v>173</v>
      </c>
    </row>
    <row r="9" spans="1:10" ht="15.6" x14ac:dyDescent="0.25">
      <c r="B9" s="166" t="s">
        <v>38</v>
      </c>
      <c r="C9" s="163" t="s">
        <v>39</v>
      </c>
      <c r="D9" s="164" t="s">
        <v>40</v>
      </c>
      <c r="E9" s="164" t="s">
        <v>41</v>
      </c>
      <c r="F9" s="164" t="s">
        <v>42</v>
      </c>
      <c r="G9" s="164" t="s">
        <v>43</v>
      </c>
      <c r="H9" s="165" t="s">
        <v>44</v>
      </c>
      <c r="J9" s="149" t="s">
        <v>992</v>
      </c>
    </row>
    <row r="10" spans="1:10" ht="15.6" x14ac:dyDescent="0.3">
      <c r="B10" s="167" t="s">
        <v>991</v>
      </c>
      <c r="C10" s="168" t="s">
        <v>45</v>
      </c>
      <c r="D10" s="169" t="s">
        <v>46</v>
      </c>
      <c r="E10" s="170">
        <v>207868</v>
      </c>
      <c r="F10" s="169">
        <v>2</v>
      </c>
      <c r="G10" s="169">
        <v>40528</v>
      </c>
      <c r="H10" s="171" t="s">
        <v>47</v>
      </c>
      <c r="J10" s="149" t="s">
        <v>919</v>
      </c>
    </row>
    <row r="11" spans="1:10" ht="15.6" x14ac:dyDescent="0.3">
      <c r="B11" s="167">
        <v>645109</v>
      </c>
      <c r="C11" s="168" t="s">
        <v>48</v>
      </c>
      <c r="D11" s="169" t="s">
        <v>49</v>
      </c>
      <c r="E11" s="170">
        <v>171757</v>
      </c>
      <c r="F11" s="169">
        <v>8</v>
      </c>
      <c r="G11" s="169">
        <v>40527</v>
      </c>
      <c r="H11" s="171" t="s">
        <v>50</v>
      </c>
      <c r="J11" s="149" t="s">
        <v>920</v>
      </c>
    </row>
    <row r="12" spans="1:10" ht="15.6" x14ac:dyDescent="0.3">
      <c r="B12" s="167">
        <v>645109</v>
      </c>
      <c r="C12" s="168" t="s">
        <v>48</v>
      </c>
      <c r="D12" s="169" t="s">
        <v>51</v>
      </c>
      <c r="E12" s="170">
        <v>155455</v>
      </c>
      <c r="F12" s="169">
        <v>8</v>
      </c>
      <c r="G12" s="169">
        <v>40528</v>
      </c>
      <c r="H12" s="171" t="s">
        <v>47</v>
      </c>
      <c r="J12" s="149" t="s">
        <v>990</v>
      </c>
    </row>
    <row r="13" spans="1:10" ht="15.6" x14ac:dyDescent="0.3">
      <c r="B13" s="167">
        <v>835119</v>
      </c>
      <c r="C13" s="168" t="s">
        <v>52</v>
      </c>
      <c r="D13" s="169" t="s">
        <v>53</v>
      </c>
      <c r="E13" s="170">
        <v>166837</v>
      </c>
      <c r="F13" s="169">
        <v>5</v>
      </c>
      <c r="G13" s="169">
        <v>40527</v>
      </c>
      <c r="H13" s="171" t="s">
        <v>50</v>
      </c>
      <c r="J13" s="149" t="s">
        <v>921</v>
      </c>
    </row>
    <row r="14" spans="1:10" ht="15.6" x14ac:dyDescent="0.3">
      <c r="B14" s="167">
        <v>921565</v>
      </c>
      <c r="C14" s="168" t="s">
        <v>54</v>
      </c>
      <c r="D14" s="169" t="s">
        <v>55</v>
      </c>
      <c r="E14" s="170">
        <v>131389</v>
      </c>
      <c r="F14" s="169">
        <v>8</v>
      </c>
      <c r="G14" s="169">
        <v>40528</v>
      </c>
      <c r="H14" s="171" t="s">
        <v>47</v>
      </c>
      <c r="J14" s="149" t="s">
        <v>922</v>
      </c>
    </row>
    <row r="15" spans="1:10" ht="15.6" x14ac:dyDescent="0.3">
      <c r="B15" s="167">
        <v>904174</v>
      </c>
      <c r="C15" s="168" t="s">
        <v>56</v>
      </c>
      <c r="D15" s="169" t="s">
        <v>57</v>
      </c>
      <c r="E15" s="170">
        <v>141279</v>
      </c>
      <c r="F15" s="169">
        <v>4</v>
      </c>
      <c r="G15" s="169">
        <v>40528</v>
      </c>
      <c r="H15" s="171" t="s">
        <v>47</v>
      </c>
      <c r="J15" s="149" t="s">
        <v>923</v>
      </c>
    </row>
    <row r="16" spans="1:10" ht="15.6" x14ac:dyDescent="0.3">
      <c r="B16" s="167">
        <v>108501</v>
      </c>
      <c r="C16" s="168" t="s">
        <v>58</v>
      </c>
      <c r="D16" s="169" t="s">
        <v>59</v>
      </c>
      <c r="E16" s="170">
        <v>129038</v>
      </c>
      <c r="F16" s="169">
        <v>3.5</v>
      </c>
      <c r="G16" s="169">
        <v>40527</v>
      </c>
      <c r="H16" s="171" t="s">
        <v>50</v>
      </c>
      <c r="J16" s="149" t="s">
        <v>989</v>
      </c>
    </row>
    <row r="17" spans="2:11" ht="14.4" x14ac:dyDescent="0.3">
      <c r="B17" s="167">
        <v>806984</v>
      </c>
      <c r="C17" s="168" t="s">
        <v>60</v>
      </c>
      <c r="D17" s="169" t="s">
        <v>61</v>
      </c>
      <c r="E17" s="170">
        <v>152403</v>
      </c>
      <c r="F17" s="169">
        <v>8</v>
      </c>
      <c r="G17" s="169">
        <v>40528</v>
      </c>
      <c r="H17" s="171" t="s">
        <v>47</v>
      </c>
    </row>
    <row r="18" spans="2:11" ht="15.6" x14ac:dyDescent="0.3">
      <c r="B18" s="167">
        <v>605544</v>
      </c>
      <c r="C18" s="168" t="s">
        <v>62</v>
      </c>
      <c r="D18" s="169" t="s">
        <v>63</v>
      </c>
      <c r="E18" s="170">
        <v>170899</v>
      </c>
      <c r="F18" s="169">
        <v>8</v>
      </c>
      <c r="G18" s="169">
        <v>40527</v>
      </c>
      <c r="H18" s="171" t="s">
        <v>50</v>
      </c>
      <c r="J18" s="79" t="s">
        <v>924</v>
      </c>
      <c r="K18" s="79" t="s">
        <v>925</v>
      </c>
    </row>
    <row r="19" spans="2:11" ht="14.4" x14ac:dyDescent="0.3">
      <c r="B19" s="167">
        <v>261528</v>
      </c>
      <c r="C19" s="168" t="s">
        <v>64</v>
      </c>
      <c r="D19" s="169" t="s">
        <v>65</v>
      </c>
      <c r="E19" s="170">
        <v>140093</v>
      </c>
      <c r="F19" s="169">
        <v>8</v>
      </c>
      <c r="G19" s="169">
        <v>40527</v>
      </c>
      <c r="H19" s="171" t="s">
        <v>50</v>
      </c>
      <c r="J19" s="25" t="s">
        <v>926</v>
      </c>
      <c r="K19" s="25" t="s">
        <v>927</v>
      </c>
    </row>
    <row r="20" spans="2:11" ht="14.4" x14ac:dyDescent="0.3">
      <c r="B20" s="167">
        <v>261528</v>
      </c>
      <c r="C20" s="168" t="s">
        <v>64</v>
      </c>
      <c r="D20" s="169" t="s">
        <v>66</v>
      </c>
      <c r="E20" s="170">
        <v>68033</v>
      </c>
      <c r="F20" s="169">
        <v>8</v>
      </c>
      <c r="G20" s="169">
        <v>40528</v>
      </c>
      <c r="H20" s="171" t="s">
        <v>47</v>
      </c>
      <c r="J20" s="25" t="s">
        <v>928</v>
      </c>
      <c r="K20" s="25" t="s">
        <v>929</v>
      </c>
    </row>
    <row r="21" spans="2:11" ht="14.4" x14ac:dyDescent="0.3">
      <c r="B21" s="167">
        <v>682726</v>
      </c>
      <c r="C21" s="168" t="s">
        <v>67</v>
      </c>
      <c r="D21" s="169" t="s">
        <v>68</v>
      </c>
      <c r="E21" s="170">
        <v>87477</v>
      </c>
      <c r="F21" s="169">
        <v>1</v>
      </c>
      <c r="G21" s="169">
        <v>40527</v>
      </c>
      <c r="H21" s="171" t="s">
        <v>50</v>
      </c>
      <c r="J21" s="25" t="s">
        <v>930</v>
      </c>
      <c r="K21" s="25" t="s">
        <v>931</v>
      </c>
    </row>
    <row r="22" spans="2:11" ht="14.4" x14ac:dyDescent="0.3">
      <c r="B22" s="167">
        <v>682726</v>
      </c>
      <c r="C22" s="168" t="s">
        <v>67</v>
      </c>
      <c r="D22" s="169" t="s">
        <v>69</v>
      </c>
      <c r="E22" s="170">
        <v>87477</v>
      </c>
      <c r="F22" s="169">
        <v>1.5</v>
      </c>
      <c r="G22" s="169">
        <v>40528</v>
      </c>
      <c r="H22" s="171" t="s">
        <v>47</v>
      </c>
      <c r="J22" s="25" t="s">
        <v>932</v>
      </c>
      <c r="K22" s="25" t="s">
        <v>933</v>
      </c>
    </row>
    <row r="23" spans="2:11" ht="14.4" x14ac:dyDescent="0.3">
      <c r="B23" s="167">
        <v>268234</v>
      </c>
      <c r="C23" s="168" t="s">
        <v>70</v>
      </c>
      <c r="D23" s="169" t="s">
        <v>71</v>
      </c>
      <c r="E23" s="170">
        <v>267850</v>
      </c>
      <c r="F23" s="169">
        <v>1.5</v>
      </c>
      <c r="G23" s="169">
        <v>40527</v>
      </c>
      <c r="H23" s="171" t="s">
        <v>50</v>
      </c>
      <c r="J23" s="25" t="s">
        <v>934</v>
      </c>
      <c r="K23" s="25" t="s">
        <v>935</v>
      </c>
    </row>
    <row r="24" spans="2:11" ht="14.4" x14ac:dyDescent="0.3">
      <c r="B24" s="167">
        <v>537900</v>
      </c>
      <c r="C24" s="168" t="s">
        <v>72</v>
      </c>
      <c r="D24" s="169" t="s">
        <v>73</v>
      </c>
      <c r="E24" s="170">
        <v>64438</v>
      </c>
      <c r="F24" s="169">
        <v>2</v>
      </c>
      <c r="G24" s="169">
        <v>40527</v>
      </c>
      <c r="H24" s="171" t="s">
        <v>50</v>
      </c>
    </row>
    <row r="25" spans="2:11" ht="14.4" x14ac:dyDescent="0.3">
      <c r="B25" s="167">
        <v>935382</v>
      </c>
      <c r="C25" s="168" t="s">
        <v>74</v>
      </c>
      <c r="D25" s="169" t="s">
        <v>75</v>
      </c>
      <c r="E25" s="170">
        <v>58889</v>
      </c>
      <c r="F25" s="169">
        <v>3.5</v>
      </c>
      <c r="G25" s="169">
        <v>40527</v>
      </c>
      <c r="H25" s="171" t="s">
        <v>50</v>
      </c>
    </row>
    <row r="26" spans="2:11" ht="14.4" x14ac:dyDescent="0.3">
      <c r="B26" s="167">
        <v>682726</v>
      </c>
      <c r="C26" s="168" t="s">
        <v>67</v>
      </c>
      <c r="D26" s="169" t="s">
        <v>69</v>
      </c>
      <c r="E26" s="170">
        <v>87477</v>
      </c>
      <c r="F26" s="169">
        <v>1.5</v>
      </c>
      <c r="G26" s="169">
        <v>40528</v>
      </c>
      <c r="H26" s="171" t="s">
        <v>47</v>
      </c>
    </row>
    <row r="27" spans="2:11" ht="14.4" x14ac:dyDescent="0.3">
      <c r="B27" s="167">
        <v>268234</v>
      </c>
      <c r="C27" s="168" t="s">
        <v>70</v>
      </c>
      <c r="D27" s="169" t="s">
        <v>71</v>
      </c>
      <c r="E27" s="170">
        <v>267850</v>
      </c>
      <c r="F27" s="169">
        <v>1.5</v>
      </c>
      <c r="G27" s="169">
        <v>40527</v>
      </c>
      <c r="H27" s="171" t="s">
        <v>50</v>
      </c>
    </row>
    <row r="28" spans="2:11" ht="14.4" x14ac:dyDescent="0.3">
      <c r="B28" s="167">
        <v>537900</v>
      </c>
      <c r="C28" s="168" t="s">
        <v>72</v>
      </c>
      <c r="D28" s="169" t="s">
        <v>73</v>
      </c>
      <c r="E28" s="170">
        <v>64438</v>
      </c>
      <c r="F28" s="169">
        <v>2</v>
      </c>
      <c r="G28" s="169">
        <v>40527</v>
      </c>
      <c r="H28" s="171" t="s">
        <v>50</v>
      </c>
      <c r="J28" s="177"/>
    </row>
    <row r="29" spans="2:11" ht="14.4" x14ac:dyDescent="0.3">
      <c r="B29" s="172">
        <v>935382</v>
      </c>
      <c r="C29" s="173" t="s">
        <v>74</v>
      </c>
      <c r="D29" s="174" t="s">
        <v>75</v>
      </c>
      <c r="E29" s="175">
        <v>58889</v>
      </c>
      <c r="F29" s="174">
        <v>3.5</v>
      </c>
      <c r="G29" s="174">
        <v>40527</v>
      </c>
      <c r="H29" s="176" t="s">
        <v>50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
  <sheetViews>
    <sheetView showGridLines="0" topLeftCell="A8" workbookViewId="0">
      <selection activeCell="D37" sqref="D37"/>
    </sheetView>
  </sheetViews>
  <sheetFormatPr defaultRowHeight="13.2" x14ac:dyDescent="0.25"/>
  <cols>
    <col min="3" max="3" width="28.6640625" customWidth="1"/>
    <col min="4" max="4" width="33.44140625" customWidth="1"/>
    <col min="5" max="5" width="19.6640625" customWidth="1"/>
    <col min="6" max="6" width="22.88671875" bestFit="1" customWidth="1"/>
    <col min="7" max="7" width="34.33203125" bestFit="1" customWidth="1"/>
    <col min="8" max="8" width="22.109375" customWidth="1"/>
    <col min="12" max="12" width="22.88671875" bestFit="1" customWidth="1"/>
    <col min="13" max="13" width="46.109375" customWidth="1"/>
  </cols>
  <sheetData>
    <row r="1" spans="1:9" x14ac:dyDescent="0.25">
      <c r="F1" s="25" t="s">
        <v>936</v>
      </c>
      <c r="G1" s="25" t="s">
        <v>937</v>
      </c>
    </row>
    <row r="2" spans="1:9" ht="23.4" thickBot="1" x14ac:dyDescent="0.45">
      <c r="A2" s="13" t="s">
        <v>1</v>
      </c>
      <c r="B2" s="2"/>
      <c r="C2" s="2"/>
      <c r="D2" s="2"/>
      <c r="E2" s="2"/>
      <c r="F2" s="25" t="s">
        <v>938</v>
      </c>
      <c r="G2" s="25" t="s">
        <v>939</v>
      </c>
      <c r="H2" s="2"/>
    </row>
    <row r="3" spans="1:9" ht="18" x14ac:dyDescent="0.35">
      <c r="A3" s="3"/>
      <c r="F3" s="25" t="s">
        <v>940</v>
      </c>
      <c r="G3" s="25" t="s">
        <v>941</v>
      </c>
    </row>
    <row r="4" spans="1:9" ht="22.8" x14ac:dyDescent="0.4">
      <c r="A4" s="19" t="s">
        <v>154</v>
      </c>
      <c r="F4" s="25" t="s">
        <v>942</v>
      </c>
      <c r="G4" s="25" t="s">
        <v>951</v>
      </c>
    </row>
    <row r="5" spans="1:9" ht="28.2" x14ac:dyDescent="0.4">
      <c r="A5" s="19"/>
      <c r="F5" s="150" t="s">
        <v>943</v>
      </c>
      <c r="G5" s="151" t="s">
        <v>944</v>
      </c>
    </row>
    <row r="6" spans="1:9" ht="28.2" x14ac:dyDescent="0.4">
      <c r="A6" s="19"/>
      <c r="F6" s="25" t="s">
        <v>947</v>
      </c>
      <c r="G6" s="151" t="s">
        <v>948</v>
      </c>
    </row>
    <row r="7" spans="1:9" ht="26.4" x14ac:dyDescent="0.25">
      <c r="F7" s="25" t="s">
        <v>945</v>
      </c>
      <c r="G7" s="151" t="s">
        <v>946</v>
      </c>
    </row>
    <row r="8" spans="1:9" ht="26.4" x14ac:dyDescent="0.25">
      <c r="F8" s="25" t="s">
        <v>949</v>
      </c>
      <c r="G8" s="151" t="s">
        <v>950</v>
      </c>
    </row>
    <row r="9" spans="1:9" x14ac:dyDescent="0.25">
      <c r="E9" t="s">
        <v>178</v>
      </c>
      <c r="H9" t="s">
        <v>177</v>
      </c>
    </row>
    <row r="14" spans="1:9" ht="15.6" x14ac:dyDescent="0.3">
      <c r="B14" s="71" t="s">
        <v>38</v>
      </c>
      <c r="C14" s="72" t="s">
        <v>39</v>
      </c>
      <c r="D14" s="72" t="s">
        <v>40</v>
      </c>
      <c r="E14" s="72" t="s">
        <v>41</v>
      </c>
      <c r="F14" s="71" t="s">
        <v>42</v>
      </c>
      <c r="G14" s="71" t="s">
        <v>43</v>
      </c>
      <c r="H14" s="71" t="s">
        <v>44</v>
      </c>
    </row>
    <row r="15" spans="1:9" ht="13.8" x14ac:dyDescent="0.25">
      <c r="B15" s="38" t="s">
        <v>1022</v>
      </c>
      <c r="C15" s="38" t="s">
        <v>45</v>
      </c>
      <c r="D15" s="39" t="s">
        <v>46</v>
      </c>
      <c r="E15" s="40">
        <v>207868</v>
      </c>
      <c r="F15" s="41">
        <v>2</v>
      </c>
      <c r="G15" s="42">
        <v>40528</v>
      </c>
      <c r="H15" s="38" t="s">
        <v>47</v>
      </c>
    </row>
    <row r="16" spans="1:9" ht="13.8" x14ac:dyDescent="0.25">
      <c r="B16" s="38">
        <v>645109</v>
      </c>
      <c r="C16" s="59" t="s">
        <v>48</v>
      </c>
      <c r="D16" s="61" t="s">
        <v>49</v>
      </c>
      <c r="E16" s="62">
        <v>171757</v>
      </c>
      <c r="F16" s="63">
        <v>8</v>
      </c>
      <c r="G16" s="64">
        <v>40527</v>
      </c>
      <c r="H16" s="59" t="s">
        <v>50</v>
      </c>
      <c r="I16" t="s">
        <v>176</v>
      </c>
    </row>
    <row r="17" spans="2:9" ht="13.8" x14ac:dyDescent="0.25">
      <c r="B17" s="38" t="s">
        <v>1021</v>
      </c>
      <c r="C17" s="59" t="s">
        <v>48</v>
      </c>
      <c r="D17" s="39" t="s">
        <v>51</v>
      </c>
      <c r="E17" s="40">
        <v>155455</v>
      </c>
      <c r="F17" s="41">
        <v>8</v>
      </c>
      <c r="G17" s="42">
        <v>40528</v>
      </c>
      <c r="H17" s="38" t="s">
        <v>47</v>
      </c>
    </row>
    <row r="18" spans="2:9" ht="13.8" x14ac:dyDescent="0.25">
      <c r="B18" s="38">
        <v>835119</v>
      </c>
      <c r="C18" s="38" t="s">
        <v>52</v>
      </c>
      <c r="D18" s="39" t="s">
        <v>53</v>
      </c>
      <c r="E18" s="40">
        <v>166837</v>
      </c>
      <c r="F18" s="41">
        <v>5</v>
      </c>
      <c r="G18" s="42">
        <v>40527</v>
      </c>
      <c r="H18" s="38" t="s">
        <v>50</v>
      </c>
    </row>
    <row r="19" spans="2:9" ht="13.8" x14ac:dyDescent="0.25">
      <c r="B19" s="38">
        <v>921565</v>
      </c>
      <c r="C19" s="38" t="s">
        <v>54</v>
      </c>
      <c r="D19" s="39" t="s">
        <v>55</v>
      </c>
      <c r="E19" s="40">
        <v>131389</v>
      </c>
      <c r="F19" s="41">
        <v>8</v>
      </c>
      <c r="G19" s="42">
        <v>40528</v>
      </c>
      <c r="H19" s="38" t="s">
        <v>47</v>
      </c>
      <c r="I19" t="s">
        <v>179</v>
      </c>
    </row>
    <row r="20" spans="2:9" ht="13.8" x14ac:dyDescent="0.25">
      <c r="B20" s="38">
        <v>904174</v>
      </c>
      <c r="C20" s="38" t="s">
        <v>56</v>
      </c>
      <c r="D20" s="39" t="s">
        <v>57</v>
      </c>
      <c r="E20" s="40">
        <v>141279</v>
      </c>
      <c r="F20" s="41">
        <v>4</v>
      </c>
      <c r="G20" s="42">
        <v>40528</v>
      </c>
      <c r="H20" s="38" t="s">
        <v>47</v>
      </c>
      <c r="I20" t="s">
        <v>179</v>
      </c>
    </row>
    <row r="21" spans="2:9" ht="13.8" x14ac:dyDescent="0.25">
      <c r="B21" s="38">
        <v>108501</v>
      </c>
      <c r="C21" s="38" t="s">
        <v>58</v>
      </c>
      <c r="D21" s="39" t="s">
        <v>59</v>
      </c>
      <c r="E21" s="40">
        <v>129038</v>
      </c>
      <c r="F21" s="41">
        <v>3.5</v>
      </c>
      <c r="G21" s="42">
        <v>40527</v>
      </c>
      <c r="H21" s="38" t="s">
        <v>50</v>
      </c>
    </row>
    <row r="22" spans="2:9" ht="13.8" x14ac:dyDescent="0.25">
      <c r="B22" s="38">
        <v>806984</v>
      </c>
      <c r="C22" s="38" t="s">
        <v>60</v>
      </c>
      <c r="D22" s="39" t="s">
        <v>61</v>
      </c>
      <c r="E22" s="40">
        <v>152403</v>
      </c>
      <c r="F22" s="41">
        <v>8</v>
      </c>
      <c r="G22" s="42">
        <v>40528</v>
      </c>
      <c r="H22" s="38" t="s">
        <v>47</v>
      </c>
    </row>
    <row r="23" spans="2:9" ht="13.8" x14ac:dyDescent="0.25">
      <c r="B23" s="38">
        <v>605544</v>
      </c>
      <c r="C23" s="38" t="s">
        <v>62</v>
      </c>
      <c r="D23" s="39" t="s">
        <v>63</v>
      </c>
      <c r="E23" s="40">
        <v>170899</v>
      </c>
      <c r="F23" s="41">
        <v>8</v>
      </c>
      <c r="G23" s="42">
        <v>40527</v>
      </c>
      <c r="H23" s="38" t="s">
        <v>50</v>
      </c>
    </row>
    <row r="24" spans="2:9" ht="13.8" x14ac:dyDescent="0.25">
      <c r="B24" s="38">
        <v>261528</v>
      </c>
      <c r="C24" s="59" t="s">
        <v>64</v>
      </c>
      <c r="D24" s="61" t="s">
        <v>65</v>
      </c>
      <c r="E24" s="62">
        <v>140093</v>
      </c>
      <c r="F24" s="63">
        <v>8</v>
      </c>
      <c r="G24" s="64">
        <v>40527</v>
      </c>
      <c r="H24" s="59" t="s">
        <v>50</v>
      </c>
      <c r="I24" t="s">
        <v>176</v>
      </c>
    </row>
    <row r="25" spans="2:9" ht="13.8" x14ac:dyDescent="0.25">
      <c r="B25" s="38">
        <v>261528</v>
      </c>
      <c r="C25" s="59" t="s">
        <v>64</v>
      </c>
      <c r="D25" s="39" t="s">
        <v>66</v>
      </c>
      <c r="E25" s="40">
        <v>68033</v>
      </c>
      <c r="F25" s="41">
        <v>8</v>
      </c>
      <c r="G25" s="42">
        <v>40528</v>
      </c>
      <c r="H25" s="38" t="s">
        <v>47</v>
      </c>
    </row>
    <row r="26" spans="2:9" ht="13.8" x14ac:dyDescent="0.25">
      <c r="B26" s="38">
        <v>682726</v>
      </c>
      <c r="C26" s="60" t="s">
        <v>67</v>
      </c>
      <c r="D26" s="65" t="s">
        <v>68</v>
      </c>
      <c r="E26" s="66">
        <v>87477</v>
      </c>
      <c r="F26" s="67">
        <v>1</v>
      </c>
      <c r="G26" s="68">
        <v>40527</v>
      </c>
      <c r="H26" s="60" t="s">
        <v>50</v>
      </c>
      <c r="I26" t="s">
        <v>176</v>
      </c>
    </row>
    <row r="27" spans="2:9" ht="13.8" x14ac:dyDescent="0.25">
      <c r="B27" s="38">
        <v>682726</v>
      </c>
      <c r="C27" s="60" t="s">
        <v>67</v>
      </c>
      <c r="D27" s="39" t="s">
        <v>69</v>
      </c>
      <c r="E27" s="40">
        <v>87477</v>
      </c>
      <c r="F27" s="41">
        <v>1.5</v>
      </c>
      <c r="G27" s="42">
        <v>40528</v>
      </c>
      <c r="H27" s="38" t="s">
        <v>47</v>
      </c>
    </row>
    <row r="28" spans="2:9" ht="13.8" x14ac:dyDescent="0.25">
      <c r="B28" s="38">
        <v>268234</v>
      </c>
      <c r="C28" s="38" t="s">
        <v>70</v>
      </c>
      <c r="D28" s="39" t="s">
        <v>71</v>
      </c>
      <c r="E28" s="40">
        <v>267850</v>
      </c>
      <c r="F28" s="41">
        <v>1.5</v>
      </c>
      <c r="G28" s="42">
        <v>40527</v>
      </c>
      <c r="H28" s="38" t="s">
        <v>50</v>
      </c>
    </row>
    <row r="29" spans="2:9" ht="13.8" x14ac:dyDescent="0.25">
      <c r="B29" s="38">
        <v>537900</v>
      </c>
      <c r="C29" s="38" t="s">
        <v>72</v>
      </c>
      <c r="D29" s="39" t="s">
        <v>73</v>
      </c>
      <c r="E29" s="40">
        <v>64438</v>
      </c>
      <c r="F29" s="41">
        <v>2</v>
      </c>
      <c r="G29" s="42">
        <v>40527</v>
      </c>
      <c r="H29" s="38" t="s">
        <v>50</v>
      </c>
    </row>
    <row r="30" spans="2:9" ht="13.8" x14ac:dyDescent="0.25">
      <c r="B30" s="38">
        <v>935382</v>
      </c>
      <c r="C30" s="38" t="s">
        <v>74</v>
      </c>
      <c r="D30" s="39" t="s">
        <v>75</v>
      </c>
      <c r="E30" s="40">
        <v>58889</v>
      </c>
      <c r="F30" s="41">
        <v>3.5</v>
      </c>
      <c r="G30" s="42">
        <v>40527</v>
      </c>
      <c r="H30" s="38"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25"/>
  <sheetViews>
    <sheetView showGridLines="0" workbookViewId="0">
      <selection activeCell="D6" sqref="D6"/>
    </sheetView>
  </sheetViews>
  <sheetFormatPr defaultRowHeight="13.2" x14ac:dyDescent="0.25"/>
  <cols>
    <col min="2" max="2" width="12.88671875" customWidth="1"/>
    <col min="3" max="3" width="23.44140625" customWidth="1"/>
    <col min="4" max="4" width="35.88671875" customWidth="1"/>
    <col min="5" max="5" width="12.88671875" customWidth="1"/>
    <col min="6" max="6" width="20.109375" bestFit="1" customWidth="1"/>
    <col min="7" max="7" width="17.33203125" customWidth="1"/>
    <col min="8" max="8" width="18.6640625" customWidth="1"/>
  </cols>
  <sheetData>
    <row r="2" spans="1:8" ht="23.4" thickBot="1" x14ac:dyDescent="0.45">
      <c r="A2" s="13" t="s">
        <v>2</v>
      </c>
      <c r="E2" s="152" t="s">
        <v>952</v>
      </c>
    </row>
    <row r="3" spans="1:8" ht="18" x14ac:dyDescent="0.35">
      <c r="A3" s="3"/>
      <c r="E3" s="149" t="s">
        <v>921</v>
      </c>
    </row>
    <row r="4" spans="1:8" ht="22.8" x14ac:dyDescent="0.4">
      <c r="A4" s="19" t="s">
        <v>148</v>
      </c>
      <c r="E4" s="149" t="s">
        <v>922</v>
      </c>
    </row>
    <row r="5" spans="1:8" ht="15.6" x14ac:dyDescent="0.25">
      <c r="E5" s="149" t="s">
        <v>953</v>
      </c>
    </row>
    <row r="9" spans="1:8" ht="33.75" customHeight="1" x14ac:dyDescent="0.3">
      <c r="B9" s="178" t="s">
        <v>38</v>
      </c>
      <c r="C9" s="178" t="s">
        <v>39</v>
      </c>
      <c r="D9" s="178" t="s">
        <v>40</v>
      </c>
      <c r="E9" s="178" t="s">
        <v>41</v>
      </c>
      <c r="F9" s="178" t="s">
        <v>42</v>
      </c>
      <c r="G9" s="178" t="s">
        <v>43</v>
      </c>
      <c r="H9" s="178" t="s">
        <v>44</v>
      </c>
    </row>
    <row r="10" spans="1:8" ht="13.8" x14ac:dyDescent="0.25">
      <c r="B10" s="179">
        <v>311587</v>
      </c>
      <c r="C10" s="179" t="s">
        <v>45</v>
      </c>
      <c r="D10" s="180" t="s">
        <v>46</v>
      </c>
      <c r="E10" s="40">
        <v>207868</v>
      </c>
      <c r="F10" s="181">
        <v>2</v>
      </c>
      <c r="G10" s="182">
        <v>40528</v>
      </c>
      <c r="H10" s="179" t="s">
        <v>47</v>
      </c>
    </row>
    <row r="11" spans="1:8" ht="13.8" x14ac:dyDescent="0.25">
      <c r="B11" s="179">
        <v>645109</v>
      </c>
      <c r="C11" s="179" t="s">
        <v>48</v>
      </c>
      <c r="D11" s="180" t="s">
        <v>49</v>
      </c>
      <c r="E11" s="40">
        <v>171757</v>
      </c>
      <c r="F11" s="181">
        <v>8</v>
      </c>
      <c r="G11" s="182">
        <v>40527</v>
      </c>
      <c r="H11" s="179" t="s">
        <v>50</v>
      </c>
    </row>
    <row r="12" spans="1:8" ht="13.8" x14ac:dyDescent="0.25">
      <c r="B12" s="179">
        <v>645109</v>
      </c>
      <c r="C12" s="179" t="s">
        <v>48</v>
      </c>
      <c r="D12" s="180" t="s">
        <v>51</v>
      </c>
      <c r="E12" s="40">
        <v>155455</v>
      </c>
      <c r="F12" s="181">
        <v>8</v>
      </c>
      <c r="G12" s="182">
        <v>40528</v>
      </c>
      <c r="H12" s="179" t="s">
        <v>47</v>
      </c>
    </row>
    <row r="13" spans="1:8" ht="13.8" x14ac:dyDescent="0.25">
      <c r="B13" s="179">
        <v>835119</v>
      </c>
      <c r="C13" s="179" t="s">
        <v>52</v>
      </c>
      <c r="D13" s="180" t="s">
        <v>53</v>
      </c>
      <c r="E13" s="40">
        <v>166837</v>
      </c>
      <c r="F13" s="181">
        <v>5</v>
      </c>
      <c r="G13" s="182">
        <v>40527</v>
      </c>
      <c r="H13" s="179" t="s">
        <v>50</v>
      </c>
    </row>
    <row r="14" spans="1:8" ht="13.8" x14ac:dyDescent="0.25">
      <c r="B14" s="179">
        <v>921565</v>
      </c>
      <c r="C14" s="179" t="s">
        <v>54</v>
      </c>
      <c r="D14" s="180" t="s">
        <v>55</v>
      </c>
      <c r="E14" s="40">
        <v>131389</v>
      </c>
      <c r="F14" s="181">
        <v>8</v>
      </c>
      <c r="G14" s="182">
        <v>40528</v>
      </c>
      <c r="H14" s="179" t="s">
        <v>47</v>
      </c>
    </row>
    <row r="15" spans="1:8" ht="13.8" x14ac:dyDescent="0.25">
      <c r="B15" s="179">
        <v>904174</v>
      </c>
      <c r="C15" s="179" t="s">
        <v>56</v>
      </c>
      <c r="D15" s="180" t="s">
        <v>57</v>
      </c>
      <c r="E15" s="40">
        <v>141279</v>
      </c>
      <c r="F15" s="181">
        <v>4</v>
      </c>
      <c r="G15" s="182">
        <v>40528</v>
      </c>
      <c r="H15" s="179" t="s">
        <v>47</v>
      </c>
    </row>
    <row r="16" spans="1:8" ht="13.8" x14ac:dyDescent="0.25">
      <c r="B16" s="179">
        <v>108501</v>
      </c>
      <c r="C16" s="179" t="s">
        <v>58</v>
      </c>
      <c r="D16" s="180" t="s">
        <v>59</v>
      </c>
      <c r="E16" s="40">
        <v>129038</v>
      </c>
      <c r="F16" s="181">
        <v>3.5</v>
      </c>
      <c r="G16" s="182">
        <v>40527</v>
      </c>
      <c r="H16" s="179" t="s">
        <v>50</v>
      </c>
    </row>
    <row r="17" spans="2:8" ht="13.8" x14ac:dyDescent="0.25">
      <c r="B17" s="179">
        <v>806984</v>
      </c>
      <c r="C17" s="179" t="s">
        <v>60</v>
      </c>
      <c r="D17" s="180" t="s">
        <v>61</v>
      </c>
      <c r="E17" s="40">
        <v>152403</v>
      </c>
      <c r="F17" s="181">
        <v>8</v>
      </c>
      <c r="G17" s="182">
        <v>40528</v>
      </c>
      <c r="H17" s="179" t="s">
        <v>47</v>
      </c>
    </row>
    <row r="18" spans="2:8" ht="13.8" x14ac:dyDescent="0.25">
      <c r="B18" s="179">
        <v>605544</v>
      </c>
      <c r="C18" s="179" t="s">
        <v>62</v>
      </c>
      <c r="D18" s="180" t="s">
        <v>63</v>
      </c>
      <c r="E18" s="40">
        <v>170899</v>
      </c>
      <c r="F18" s="181">
        <v>8</v>
      </c>
      <c r="G18" s="182">
        <v>40527</v>
      </c>
      <c r="H18" s="179" t="s">
        <v>50</v>
      </c>
    </row>
    <row r="19" spans="2:8" ht="13.8" x14ac:dyDescent="0.25">
      <c r="B19" s="179">
        <v>261528</v>
      </c>
      <c r="C19" s="179" t="s">
        <v>64</v>
      </c>
      <c r="D19" s="180" t="s">
        <v>65</v>
      </c>
      <c r="E19" s="40">
        <v>140093</v>
      </c>
      <c r="F19" s="181">
        <v>8</v>
      </c>
      <c r="G19" s="182">
        <v>40527</v>
      </c>
      <c r="H19" s="179" t="s">
        <v>50</v>
      </c>
    </row>
    <row r="20" spans="2:8" ht="13.8" x14ac:dyDescent="0.25">
      <c r="B20" s="179">
        <v>261528</v>
      </c>
      <c r="C20" s="179" t="s">
        <v>64</v>
      </c>
      <c r="D20" s="180" t="s">
        <v>66</v>
      </c>
      <c r="E20" s="40">
        <v>68033</v>
      </c>
      <c r="F20" s="181">
        <v>8</v>
      </c>
      <c r="G20" s="182">
        <v>40528</v>
      </c>
      <c r="H20" s="179" t="s">
        <v>47</v>
      </c>
    </row>
    <row r="21" spans="2:8" ht="13.8" x14ac:dyDescent="0.25">
      <c r="B21" s="179">
        <v>682726</v>
      </c>
      <c r="C21" s="179" t="s">
        <v>67</v>
      </c>
      <c r="D21" s="180" t="s">
        <v>68</v>
      </c>
      <c r="E21" s="40">
        <v>87477</v>
      </c>
      <c r="F21" s="181">
        <v>1</v>
      </c>
      <c r="G21" s="182">
        <v>40527</v>
      </c>
      <c r="H21" s="179" t="s">
        <v>50</v>
      </c>
    </row>
    <row r="22" spans="2:8" ht="13.8" x14ac:dyDescent="0.25">
      <c r="B22" s="179">
        <v>682726</v>
      </c>
      <c r="C22" s="179" t="s">
        <v>67</v>
      </c>
      <c r="D22" s="180" t="s">
        <v>69</v>
      </c>
      <c r="E22" s="40">
        <v>87477</v>
      </c>
      <c r="F22" s="181">
        <v>1.5</v>
      </c>
      <c r="G22" s="182">
        <v>40528</v>
      </c>
      <c r="H22" s="179" t="s">
        <v>47</v>
      </c>
    </row>
    <row r="23" spans="2:8" ht="13.8" x14ac:dyDescent="0.25">
      <c r="B23" s="179">
        <v>268234</v>
      </c>
      <c r="C23" s="179" t="s">
        <v>70</v>
      </c>
      <c r="D23" s="180" t="s">
        <v>71</v>
      </c>
      <c r="E23" s="40">
        <v>267850</v>
      </c>
      <c r="F23" s="181">
        <v>1.5</v>
      </c>
      <c r="G23" s="182">
        <v>40527</v>
      </c>
      <c r="H23" s="179" t="s">
        <v>50</v>
      </c>
    </row>
    <row r="24" spans="2:8" ht="13.8" x14ac:dyDescent="0.25">
      <c r="B24" s="179">
        <v>537900</v>
      </c>
      <c r="C24" s="179" t="s">
        <v>72</v>
      </c>
      <c r="D24" s="180" t="s">
        <v>73</v>
      </c>
      <c r="E24" s="40">
        <v>64438</v>
      </c>
      <c r="F24" s="181">
        <v>2</v>
      </c>
      <c r="G24" s="182">
        <v>40527</v>
      </c>
      <c r="H24" s="179" t="s">
        <v>50</v>
      </c>
    </row>
    <row r="25" spans="2:8" ht="13.8" x14ac:dyDescent="0.25">
      <c r="B25" s="179">
        <v>935382</v>
      </c>
      <c r="C25" s="179" t="s">
        <v>74</v>
      </c>
      <c r="D25" s="180" t="s">
        <v>75</v>
      </c>
      <c r="E25" s="40">
        <v>58889</v>
      </c>
      <c r="F25" s="181">
        <v>3.5</v>
      </c>
      <c r="G25" s="182">
        <v>40527</v>
      </c>
      <c r="H25" s="179" t="s">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25"/>
  <sheetViews>
    <sheetView showGridLines="0" workbookViewId="0">
      <selection activeCell="B7" sqref="B7:H7"/>
    </sheetView>
  </sheetViews>
  <sheetFormatPr defaultRowHeight="13.2" x14ac:dyDescent="0.25"/>
  <cols>
    <col min="3" max="3" width="18.6640625" bestFit="1" customWidth="1"/>
    <col min="4" max="4" width="26.5546875" bestFit="1" customWidth="1"/>
    <col min="6" max="6" width="10.44140625" bestFit="1" customWidth="1"/>
    <col min="7" max="7" width="11.5546875" bestFit="1" customWidth="1"/>
    <col min="8" max="8" width="14.6640625" bestFit="1" customWidth="1"/>
  </cols>
  <sheetData>
    <row r="2" spans="1:8" ht="23.4" thickBot="1" x14ac:dyDescent="0.45">
      <c r="A2" s="13" t="s">
        <v>23</v>
      </c>
      <c r="E2" s="152" t="s">
        <v>952</v>
      </c>
    </row>
    <row r="3" spans="1:8" ht="18" x14ac:dyDescent="0.35">
      <c r="A3" s="3"/>
      <c r="E3" s="149" t="s">
        <v>920</v>
      </c>
    </row>
    <row r="4" spans="1:8" ht="22.8" x14ac:dyDescent="0.4">
      <c r="A4" s="19" t="s">
        <v>149</v>
      </c>
      <c r="E4" s="149" t="s">
        <v>994</v>
      </c>
    </row>
    <row r="7" spans="1:8" ht="21" x14ac:dyDescent="0.4">
      <c r="B7" s="187" t="s">
        <v>801</v>
      </c>
      <c r="C7" s="187"/>
      <c r="D7" s="187"/>
      <c r="E7" s="187"/>
      <c r="F7" s="187"/>
      <c r="G7" s="187"/>
      <c r="H7" s="187"/>
    </row>
    <row r="9" spans="1:8" ht="15.6" x14ac:dyDescent="0.3">
      <c r="B9" s="71" t="s">
        <v>38</v>
      </c>
      <c r="C9" s="73" t="s">
        <v>39</v>
      </c>
      <c r="D9" s="73" t="s">
        <v>40</v>
      </c>
      <c r="E9" s="71" t="s">
        <v>41</v>
      </c>
      <c r="F9" s="71" t="s">
        <v>42</v>
      </c>
      <c r="G9" s="71" t="s">
        <v>43</v>
      </c>
      <c r="H9" s="73" t="s">
        <v>44</v>
      </c>
    </row>
    <row r="10" spans="1:8" ht="13.8" x14ac:dyDescent="0.25">
      <c r="B10" s="136">
        <v>311587</v>
      </c>
      <c r="C10" s="137" t="s">
        <v>45</v>
      </c>
      <c r="D10" s="138" t="s">
        <v>46</v>
      </c>
      <c r="E10" s="139">
        <v>207868</v>
      </c>
      <c r="F10" s="140">
        <v>2</v>
      </c>
      <c r="G10" s="141">
        <v>40528</v>
      </c>
      <c r="H10" s="137" t="s">
        <v>47</v>
      </c>
    </row>
    <row r="11" spans="1:8" ht="13.8" x14ac:dyDescent="0.25">
      <c r="B11" s="136">
        <v>645109</v>
      </c>
      <c r="C11" s="137" t="s">
        <v>48</v>
      </c>
      <c r="D11" s="138" t="s">
        <v>49</v>
      </c>
      <c r="E11" s="139">
        <v>171757</v>
      </c>
      <c r="F11" s="140">
        <v>8</v>
      </c>
      <c r="G11" s="141">
        <v>40527</v>
      </c>
      <c r="H11" s="137" t="s">
        <v>50</v>
      </c>
    </row>
    <row r="12" spans="1:8" ht="13.8" x14ac:dyDescent="0.25">
      <c r="B12" s="136">
        <v>645109</v>
      </c>
      <c r="C12" s="137" t="s">
        <v>48</v>
      </c>
      <c r="D12" s="138" t="s">
        <v>51</v>
      </c>
      <c r="E12" s="139">
        <v>155455</v>
      </c>
      <c r="F12" s="140">
        <v>8</v>
      </c>
      <c r="G12" s="141">
        <v>40528</v>
      </c>
      <c r="H12" s="137" t="s">
        <v>47</v>
      </c>
    </row>
    <row r="13" spans="1:8" ht="13.8" x14ac:dyDescent="0.25">
      <c r="B13" s="136">
        <v>835119</v>
      </c>
      <c r="C13" s="137" t="s">
        <v>52</v>
      </c>
      <c r="D13" s="138" t="s">
        <v>53</v>
      </c>
      <c r="E13" s="139">
        <v>166837</v>
      </c>
      <c r="F13" s="140">
        <v>5</v>
      </c>
      <c r="G13" s="141">
        <v>40527</v>
      </c>
      <c r="H13" s="137" t="s">
        <v>50</v>
      </c>
    </row>
    <row r="14" spans="1:8" ht="13.8" x14ac:dyDescent="0.25">
      <c r="B14" s="136">
        <v>921565</v>
      </c>
      <c r="C14" s="137" t="s">
        <v>54</v>
      </c>
      <c r="D14" s="138" t="s">
        <v>55</v>
      </c>
      <c r="E14" s="139">
        <v>131389</v>
      </c>
      <c r="F14" s="140">
        <v>8</v>
      </c>
      <c r="G14" s="141">
        <v>40528</v>
      </c>
      <c r="H14" s="137" t="s">
        <v>47</v>
      </c>
    </row>
    <row r="15" spans="1:8" ht="13.8" x14ac:dyDescent="0.25">
      <c r="B15" s="136">
        <v>904174</v>
      </c>
      <c r="C15" s="137" t="s">
        <v>56</v>
      </c>
      <c r="D15" s="138" t="s">
        <v>57</v>
      </c>
      <c r="E15" s="139">
        <v>141279</v>
      </c>
      <c r="F15" s="140">
        <v>4</v>
      </c>
      <c r="G15" s="141">
        <v>40528</v>
      </c>
      <c r="H15" s="137" t="s">
        <v>47</v>
      </c>
    </row>
    <row r="16" spans="1:8" ht="13.8" x14ac:dyDescent="0.25">
      <c r="B16" s="136">
        <v>108501</v>
      </c>
      <c r="C16" s="137" t="s">
        <v>58</v>
      </c>
      <c r="D16" s="138" t="s">
        <v>59</v>
      </c>
      <c r="E16" s="139">
        <v>129038</v>
      </c>
      <c r="F16" s="140">
        <v>3.5</v>
      </c>
      <c r="G16" s="141">
        <v>40527</v>
      </c>
      <c r="H16" s="137" t="s">
        <v>50</v>
      </c>
    </row>
    <row r="17" spans="2:8" ht="13.8" x14ac:dyDescent="0.25">
      <c r="B17" s="136">
        <v>806984</v>
      </c>
      <c r="C17" s="137" t="s">
        <v>60</v>
      </c>
      <c r="D17" s="138" t="s">
        <v>61</v>
      </c>
      <c r="E17" s="139">
        <v>152403</v>
      </c>
      <c r="F17" s="140">
        <v>8</v>
      </c>
      <c r="G17" s="141">
        <v>40528</v>
      </c>
      <c r="H17" s="137" t="s">
        <v>47</v>
      </c>
    </row>
    <row r="18" spans="2:8" ht="13.8" x14ac:dyDescent="0.25">
      <c r="B18" s="136">
        <v>605544</v>
      </c>
      <c r="C18" s="137" t="s">
        <v>62</v>
      </c>
      <c r="D18" s="138" t="s">
        <v>63</v>
      </c>
      <c r="E18" s="139">
        <v>170899</v>
      </c>
      <c r="F18" s="140">
        <v>8</v>
      </c>
      <c r="G18" s="141">
        <v>40527</v>
      </c>
      <c r="H18" s="137" t="s">
        <v>50</v>
      </c>
    </row>
    <row r="19" spans="2:8" ht="13.8" x14ac:dyDescent="0.25">
      <c r="B19" s="136">
        <v>261528</v>
      </c>
      <c r="C19" s="137" t="s">
        <v>64</v>
      </c>
      <c r="D19" s="138" t="s">
        <v>65</v>
      </c>
      <c r="E19" s="139">
        <v>140093</v>
      </c>
      <c r="F19" s="140">
        <v>8</v>
      </c>
      <c r="G19" s="141">
        <v>40527</v>
      </c>
      <c r="H19" s="137" t="s">
        <v>50</v>
      </c>
    </row>
    <row r="20" spans="2:8" ht="13.8" x14ac:dyDescent="0.25">
      <c r="B20" s="136">
        <v>261528</v>
      </c>
      <c r="C20" s="137" t="s">
        <v>64</v>
      </c>
      <c r="D20" s="138" t="s">
        <v>66</v>
      </c>
      <c r="E20" s="139">
        <v>68033</v>
      </c>
      <c r="F20" s="140">
        <v>8</v>
      </c>
      <c r="G20" s="141">
        <v>40528</v>
      </c>
      <c r="H20" s="137" t="s">
        <v>47</v>
      </c>
    </row>
    <row r="21" spans="2:8" ht="13.8" x14ac:dyDescent="0.25">
      <c r="B21" s="136">
        <v>682726</v>
      </c>
      <c r="C21" s="137" t="s">
        <v>67</v>
      </c>
      <c r="D21" s="138" t="s">
        <v>68</v>
      </c>
      <c r="E21" s="139">
        <v>87477</v>
      </c>
      <c r="F21" s="140">
        <v>1</v>
      </c>
      <c r="G21" s="141">
        <v>40527</v>
      </c>
      <c r="H21" s="137" t="s">
        <v>50</v>
      </c>
    </row>
    <row r="22" spans="2:8" ht="13.8" x14ac:dyDescent="0.25">
      <c r="B22" s="136">
        <v>682726</v>
      </c>
      <c r="C22" s="137" t="s">
        <v>67</v>
      </c>
      <c r="D22" s="138" t="s">
        <v>69</v>
      </c>
      <c r="E22" s="139">
        <v>87477</v>
      </c>
      <c r="F22" s="140">
        <v>1.5</v>
      </c>
      <c r="G22" s="141">
        <v>40528</v>
      </c>
      <c r="H22" s="137" t="s">
        <v>47</v>
      </c>
    </row>
    <row r="23" spans="2:8" ht="13.8" x14ac:dyDescent="0.25">
      <c r="B23" s="136">
        <v>268234</v>
      </c>
      <c r="C23" s="137" t="s">
        <v>70</v>
      </c>
      <c r="D23" s="138" t="s">
        <v>71</v>
      </c>
      <c r="E23" s="139">
        <v>267850</v>
      </c>
      <c r="F23" s="140">
        <v>1.5</v>
      </c>
      <c r="G23" s="141">
        <v>40527</v>
      </c>
      <c r="H23" s="137" t="s">
        <v>50</v>
      </c>
    </row>
    <row r="24" spans="2:8" ht="13.8" x14ac:dyDescent="0.25">
      <c r="B24" s="136">
        <v>537900</v>
      </c>
      <c r="C24" s="137" t="s">
        <v>72</v>
      </c>
      <c r="D24" s="138" t="s">
        <v>73</v>
      </c>
      <c r="E24" s="139">
        <v>64438</v>
      </c>
      <c r="F24" s="140">
        <v>2</v>
      </c>
      <c r="G24" s="141">
        <v>40527</v>
      </c>
      <c r="H24" s="137" t="s">
        <v>50</v>
      </c>
    </row>
    <row r="25" spans="2:8" ht="13.8" x14ac:dyDescent="0.25">
      <c r="B25" s="136">
        <v>935382</v>
      </c>
      <c r="C25" s="137" t="s">
        <v>74</v>
      </c>
      <c r="D25" s="138" t="s">
        <v>75</v>
      </c>
      <c r="E25" s="139">
        <v>58889</v>
      </c>
      <c r="F25" s="140">
        <v>3.5</v>
      </c>
      <c r="G25" s="141">
        <v>40527</v>
      </c>
      <c r="H25" s="137" t="s">
        <v>50</v>
      </c>
    </row>
  </sheetData>
  <mergeCells count="1">
    <mergeCell ref="B7:H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21"/>
  <sheetViews>
    <sheetView showGridLines="0" topLeftCell="A2" workbookViewId="0">
      <selection activeCell="I11" sqref="I11"/>
    </sheetView>
  </sheetViews>
  <sheetFormatPr defaultRowHeight="13.2" x14ac:dyDescent="0.25"/>
  <cols>
    <col min="1" max="1" width="14.44140625" customWidth="1"/>
    <col min="2" max="2" width="19.109375" customWidth="1"/>
    <col min="3" max="3" width="10.5546875" customWidth="1"/>
  </cols>
  <sheetData>
    <row r="2" spans="1:7" ht="24" thickBot="1" x14ac:dyDescent="0.5">
      <c r="A2" s="1" t="s">
        <v>141</v>
      </c>
      <c r="B2" s="2"/>
      <c r="C2" s="2"/>
      <c r="D2" s="2"/>
      <c r="E2" s="2"/>
      <c r="F2" s="2"/>
      <c r="G2" s="2"/>
    </row>
    <row r="5" spans="1:7" ht="22.8" x14ac:dyDescent="0.4">
      <c r="A5" s="19" t="s">
        <v>700</v>
      </c>
    </row>
    <row r="6" spans="1:7" ht="21" x14ac:dyDescent="0.4">
      <c r="A6" s="101" t="s">
        <v>724</v>
      </c>
    </row>
    <row r="9" spans="1:7" ht="27.45" customHeight="1" x14ac:dyDescent="0.25">
      <c r="B9" s="188" t="s">
        <v>32</v>
      </c>
      <c r="C9" s="189"/>
      <c r="D9" s="189"/>
      <c r="E9" s="190"/>
      <c r="F9" t="s">
        <v>181</v>
      </c>
    </row>
    <row r="10" spans="1:7" ht="20.100000000000001" customHeight="1" x14ac:dyDescent="0.25">
      <c r="B10" s="191" t="s">
        <v>33</v>
      </c>
      <c r="C10" s="22" t="s">
        <v>17</v>
      </c>
      <c r="D10" s="22" t="s">
        <v>18</v>
      </c>
      <c r="E10" s="22" t="s">
        <v>19</v>
      </c>
    </row>
    <row r="11" spans="1:7" ht="20.100000000000001" customHeight="1" x14ac:dyDescent="0.25">
      <c r="B11" s="192"/>
      <c r="C11" s="24">
        <v>3950</v>
      </c>
      <c r="D11" s="23">
        <v>2456</v>
      </c>
      <c r="E11" s="23">
        <v>7895</v>
      </c>
    </row>
    <row r="12" spans="1:7" ht="20.100000000000001" customHeight="1" x14ac:dyDescent="0.25">
      <c r="B12" s="192"/>
      <c r="C12" s="24">
        <v>2377</v>
      </c>
      <c r="D12" s="23">
        <v>2377</v>
      </c>
      <c r="E12" s="23">
        <v>25678</v>
      </c>
    </row>
    <row r="13" spans="1:7" ht="20.100000000000001" customHeight="1" x14ac:dyDescent="0.25">
      <c r="A13" t="s">
        <v>181</v>
      </c>
      <c r="B13" s="192"/>
      <c r="C13" s="24">
        <v>2354</v>
      </c>
      <c r="D13" s="23">
        <v>2298</v>
      </c>
      <c r="E13" s="23">
        <v>43461</v>
      </c>
    </row>
    <row r="14" spans="1:7" ht="20.100000000000001" customHeight="1" x14ac:dyDescent="0.25">
      <c r="B14" s="192"/>
      <c r="C14" s="24">
        <v>7895</v>
      </c>
      <c r="D14" s="23">
        <v>2219</v>
      </c>
      <c r="E14" s="23">
        <v>61244</v>
      </c>
    </row>
    <row r="15" spans="1:7" ht="20.100000000000001" customHeight="1" x14ac:dyDescent="0.25">
      <c r="B15" s="192"/>
      <c r="C15" s="24">
        <v>13436</v>
      </c>
      <c r="D15" s="23">
        <v>2140</v>
      </c>
      <c r="E15" s="23">
        <v>79027</v>
      </c>
    </row>
    <row r="16" spans="1:7" ht="20.100000000000001" customHeight="1" x14ac:dyDescent="0.25">
      <c r="B16" s="192"/>
      <c r="C16" s="24">
        <v>18977</v>
      </c>
      <c r="D16" s="23">
        <v>2061</v>
      </c>
      <c r="E16" s="23">
        <v>96810</v>
      </c>
    </row>
    <row r="17" spans="2:6" ht="20.100000000000001" customHeight="1" x14ac:dyDescent="0.25">
      <c r="B17" s="192"/>
      <c r="C17" s="24">
        <v>24518</v>
      </c>
      <c r="D17" s="23">
        <v>1982</v>
      </c>
      <c r="E17" s="23">
        <v>114593</v>
      </c>
    </row>
    <row r="18" spans="2:6" ht="20.100000000000001" customHeight="1" x14ac:dyDescent="0.25">
      <c r="B18" s="193"/>
      <c r="C18" s="24">
        <v>30059</v>
      </c>
      <c r="D18" s="23">
        <v>1903</v>
      </c>
      <c r="E18" s="23">
        <v>132376</v>
      </c>
    </row>
    <row r="19" spans="2:6" ht="20.100000000000001" customHeight="1" x14ac:dyDescent="0.3">
      <c r="B19" s="27" t="s">
        <v>34</v>
      </c>
      <c r="C19" s="194"/>
      <c r="D19" s="195"/>
      <c r="E19" s="196"/>
    </row>
    <row r="20" spans="2:6" ht="20.100000000000001" customHeight="1" x14ac:dyDescent="0.3">
      <c r="B20" s="28" t="s">
        <v>35</v>
      </c>
      <c r="C20" s="194"/>
      <c r="D20" s="195"/>
      <c r="E20" s="196"/>
      <c r="F20" t="s">
        <v>180</v>
      </c>
    </row>
    <row r="21" spans="2:6" ht="20.100000000000001" customHeight="1" x14ac:dyDescent="0.3">
      <c r="B21" s="29" t="s">
        <v>36</v>
      </c>
      <c r="C21" s="194"/>
      <c r="D21" s="195"/>
      <c r="E21" s="196"/>
    </row>
  </sheetData>
  <mergeCells count="5">
    <mergeCell ref="B9:E9"/>
    <mergeCell ref="B10:B18"/>
    <mergeCell ref="C19:E19"/>
    <mergeCell ref="C20:E20"/>
    <mergeCell ref="C21:E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K20"/>
  <sheetViews>
    <sheetView showGridLines="0" workbookViewId="0">
      <selection activeCell="B12" sqref="B12:H20"/>
    </sheetView>
  </sheetViews>
  <sheetFormatPr defaultRowHeight="13.2" x14ac:dyDescent="0.25"/>
  <cols>
    <col min="3" max="3" width="18.6640625" customWidth="1"/>
    <col min="4" max="4" width="24.109375" bestFit="1" customWidth="1"/>
    <col min="5" max="5" width="9" bestFit="1" customWidth="1"/>
    <col min="6" max="6" width="9.44140625" bestFit="1" customWidth="1"/>
    <col min="7" max="7" width="11.5546875" bestFit="1" customWidth="1"/>
    <col min="8" max="8" width="14.6640625" bestFit="1" customWidth="1"/>
    <col min="9" max="9" width="10.44140625" bestFit="1" customWidth="1"/>
    <col min="10" max="10" width="31.33203125" customWidth="1"/>
    <col min="11" max="11" width="14.109375" bestFit="1" customWidth="1"/>
  </cols>
  <sheetData>
    <row r="2" spans="1:11" ht="23.4" thickBot="1" x14ac:dyDescent="0.45">
      <c r="A2" s="13" t="s">
        <v>142</v>
      </c>
      <c r="B2" s="2"/>
      <c r="C2" s="2"/>
      <c r="D2" s="2"/>
      <c r="E2" s="2"/>
      <c r="F2" s="2"/>
      <c r="G2" s="2"/>
      <c r="H2" s="2"/>
    </row>
    <row r="3" spans="1:11" ht="18" x14ac:dyDescent="0.35">
      <c r="A3" s="3"/>
      <c r="J3" s="152" t="s">
        <v>952</v>
      </c>
    </row>
    <row r="4" spans="1:11" ht="22.8" x14ac:dyDescent="0.4">
      <c r="A4" s="19" t="s">
        <v>184</v>
      </c>
      <c r="J4" s="25" t="s">
        <v>954</v>
      </c>
      <c r="K4" s="25" t="s">
        <v>955</v>
      </c>
    </row>
    <row r="5" spans="1:11" x14ac:dyDescent="0.25">
      <c r="J5" s="25" t="s">
        <v>956</v>
      </c>
      <c r="K5" s="25" t="s">
        <v>957</v>
      </c>
    </row>
    <row r="6" spans="1:11" x14ac:dyDescent="0.25">
      <c r="J6" s="25" t="s">
        <v>958</v>
      </c>
      <c r="K6" s="25" t="s">
        <v>959</v>
      </c>
    </row>
    <row r="7" spans="1:11" x14ac:dyDescent="0.25">
      <c r="J7" s="25" t="s">
        <v>960</v>
      </c>
      <c r="K7" s="25" t="s">
        <v>961</v>
      </c>
    </row>
    <row r="8" spans="1:11" x14ac:dyDescent="0.25">
      <c r="J8" s="25" t="s">
        <v>962</v>
      </c>
      <c r="K8" s="25" t="s">
        <v>963</v>
      </c>
    </row>
    <row r="9" spans="1:11" x14ac:dyDescent="0.25">
      <c r="J9" s="25" t="s">
        <v>964</v>
      </c>
      <c r="K9" s="25" t="s">
        <v>965</v>
      </c>
    </row>
    <row r="10" spans="1:11" x14ac:dyDescent="0.25">
      <c r="J10" s="25" t="s">
        <v>966</v>
      </c>
      <c r="K10" s="25" t="s">
        <v>967</v>
      </c>
    </row>
    <row r="11" spans="1:11" x14ac:dyDescent="0.25">
      <c r="J11" s="25" t="s">
        <v>968</v>
      </c>
      <c r="K11" s="25" t="s">
        <v>969</v>
      </c>
    </row>
    <row r="12" spans="1:11" ht="15.6" x14ac:dyDescent="0.3">
      <c r="B12" s="71" t="s">
        <v>38</v>
      </c>
      <c r="C12" s="72" t="s">
        <v>39</v>
      </c>
      <c r="D12" s="72" t="s">
        <v>40</v>
      </c>
      <c r="E12" s="72" t="s">
        <v>41</v>
      </c>
      <c r="F12" s="71" t="s">
        <v>42</v>
      </c>
      <c r="G12" s="71" t="s">
        <v>43</v>
      </c>
      <c r="H12" s="71" t="s">
        <v>44</v>
      </c>
      <c r="J12" s="25" t="s">
        <v>970</v>
      </c>
      <c r="K12" s="25" t="s">
        <v>971</v>
      </c>
    </row>
    <row r="13" spans="1:11" ht="13.8" x14ac:dyDescent="0.25">
      <c r="B13" s="38">
        <v>311587</v>
      </c>
      <c r="C13" s="38" t="s">
        <v>45</v>
      </c>
      <c r="D13" s="39" t="s">
        <v>46</v>
      </c>
      <c r="E13" s="40">
        <v>207868</v>
      </c>
      <c r="F13" s="41">
        <v>2</v>
      </c>
      <c r="G13" s="42">
        <v>40528</v>
      </c>
      <c r="H13" s="38" t="s">
        <v>47</v>
      </c>
      <c r="J13" s="25" t="s">
        <v>972</v>
      </c>
      <c r="K13" s="25" t="s">
        <v>973</v>
      </c>
    </row>
    <row r="14" spans="1:11" ht="13.8" x14ac:dyDescent="0.25">
      <c r="B14" s="38">
        <v>645109</v>
      </c>
      <c r="C14" s="38" t="s">
        <v>48</v>
      </c>
      <c r="D14" s="39" t="s">
        <v>49</v>
      </c>
      <c r="E14" s="40">
        <v>171757</v>
      </c>
      <c r="F14" s="41">
        <v>8</v>
      </c>
      <c r="G14" s="42">
        <v>40527</v>
      </c>
      <c r="H14" s="38" t="s">
        <v>50</v>
      </c>
    </row>
    <row r="15" spans="1:11" ht="13.8" x14ac:dyDescent="0.25">
      <c r="B15" s="38">
        <v>645109</v>
      </c>
      <c r="C15" s="38" t="s">
        <v>48</v>
      </c>
      <c r="D15" s="39" t="s">
        <v>51</v>
      </c>
      <c r="E15" s="40">
        <v>155455</v>
      </c>
      <c r="F15" s="41">
        <v>8</v>
      </c>
      <c r="G15" s="42">
        <v>40528</v>
      </c>
      <c r="H15" s="38" t="s">
        <v>47</v>
      </c>
    </row>
    <row r="16" spans="1:11" ht="13.8" x14ac:dyDescent="0.25">
      <c r="B16" s="38">
        <v>835119</v>
      </c>
      <c r="C16" s="38" t="s">
        <v>52</v>
      </c>
      <c r="D16" s="39" t="s">
        <v>53</v>
      </c>
      <c r="E16" s="40">
        <v>166837</v>
      </c>
      <c r="F16" s="41">
        <v>5</v>
      </c>
      <c r="G16" s="42">
        <v>40527</v>
      </c>
      <c r="H16" s="38" t="s">
        <v>50</v>
      </c>
    </row>
    <row r="17" spans="2:8" ht="13.8" x14ac:dyDescent="0.25">
      <c r="B17" s="38">
        <v>921565</v>
      </c>
      <c r="C17" s="38" t="s">
        <v>54</v>
      </c>
      <c r="D17" s="39" t="s">
        <v>55</v>
      </c>
      <c r="E17" s="40">
        <v>131389</v>
      </c>
      <c r="F17" s="41">
        <v>8</v>
      </c>
      <c r="G17" s="42">
        <v>40528</v>
      </c>
      <c r="H17" s="38" t="s">
        <v>47</v>
      </c>
    </row>
    <row r="18" spans="2:8" ht="13.8" x14ac:dyDescent="0.25">
      <c r="B18" s="38">
        <v>904174</v>
      </c>
      <c r="C18" s="38" t="s">
        <v>56</v>
      </c>
      <c r="D18" s="39" t="s">
        <v>57</v>
      </c>
      <c r="E18" s="40">
        <v>141279</v>
      </c>
      <c r="F18" s="41">
        <v>4</v>
      </c>
      <c r="G18" s="42">
        <v>40528</v>
      </c>
      <c r="H18" s="38" t="s">
        <v>47</v>
      </c>
    </row>
    <row r="19" spans="2:8" ht="13.8" x14ac:dyDescent="0.25">
      <c r="B19" s="38">
        <v>108501</v>
      </c>
      <c r="C19" s="38" t="s">
        <v>58</v>
      </c>
      <c r="D19" s="39" t="s">
        <v>59</v>
      </c>
      <c r="E19" s="40">
        <v>129038</v>
      </c>
      <c r="F19" s="41">
        <v>3.5</v>
      </c>
      <c r="G19" s="42">
        <v>40527</v>
      </c>
      <c r="H19" s="38" t="s">
        <v>50</v>
      </c>
    </row>
    <row r="20" spans="2:8" ht="13.8" x14ac:dyDescent="0.25">
      <c r="B20" s="38">
        <v>806984</v>
      </c>
      <c r="C20" s="38" t="s">
        <v>60</v>
      </c>
      <c r="D20" s="39" t="s">
        <v>61</v>
      </c>
      <c r="E20" s="40">
        <v>152403</v>
      </c>
      <c r="F20" s="41">
        <v>8</v>
      </c>
      <c r="G20" s="42">
        <v>40528</v>
      </c>
      <c r="H20" s="38"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28"/>
  <sheetViews>
    <sheetView showGridLines="0" topLeftCell="A10" workbookViewId="0">
      <selection activeCell="H15" sqref="H15"/>
    </sheetView>
  </sheetViews>
  <sheetFormatPr defaultRowHeight="13.2" x14ac:dyDescent="0.25"/>
  <cols>
    <col min="2" max="2" width="9.33203125" bestFit="1" customWidth="1"/>
    <col min="3" max="3" width="17.33203125" bestFit="1" customWidth="1"/>
    <col min="4" max="5" width="12.109375" bestFit="1" customWidth="1"/>
    <col min="6" max="6" width="12.6640625" bestFit="1" customWidth="1"/>
    <col min="7" max="7" width="12.109375" bestFit="1" customWidth="1"/>
    <col min="9" max="10" width="12.109375" bestFit="1" customWidth="1"/>
    <col min="11" max="11" width="14.33203125" customWidth="1"/>
    <col min="12" max="12" width="12.109375" customWidth="1"/>
    <col min="15" max="15" width="28.6640625" bestFit="1" customWidth="1"/>
    <col min="16" max="16" width="11.44140625" bestFit="1" customWidth="1"/>
  </cols>
  <sheetData>
    <row r="2" spans="1:16" ht="23.4" thickBot="1" x14ac:dyDescent="0.45">
      <c r="A2" s="13" t="s">
        <v>143</v>
      </c>
      <c r="B2" s="2"/>
      <c r="C2" s="2"/>
      <c r="D2" s="2"/>
      <c r="E2" s="2"/>
      <c r="F2" s="2"/>
      <c r="G2" s="2"/>
      <c r="H2" s="2"/>
    </row>
    <row r="3" spans="1:16" ht="18" x14ac:dyDescent="0.35">
      <c r="A3" s="3"/>
    </row>
    <row r="4" spans="1:16" ht="22.8" x14ac:dyDescent="0.4">
      <c r="A4" s="19" t="s">
        <v>31</v>
      </c>
    </row>
    <row r="6" spans="1:16" ht="15.6" x14ac:dyDescent="0.3">
      <c r="A6" s="5" t="s">
        <v>3</v>
      </c>
      <c r="B6" s="6"/>
      <c r="C6" s="6"/>
      <c r="D6" s="6"/>
      <c r="E6" s="6"/>
      <c r="F6" s="6"/>
      <c r="G6" s="6"/>
    </row>
    <row r="7" spans="1:16" ht="15" x14ac:dyDescent="0.25">
      <c r="A7" s="6"/>
      <c r="B7" s="6"/>
      <c r="C7" s="6"/>
      <c r="D7" s="6"/>
      <c r="E7" s="6"/>
      <c r="F7" s="6"/>
      <c r="G7" s="6"/>
      <c r="O7" s="152" t="s">
        <v>952</v>
      </c>
    </row>
    <row r="8" spans="1:16" ht="15.6" x14ac:dyDescent="0.3">
      <c r="A8" s="6"/>
      <c r="B8" s="7" t="s">
        <v>15</v>
      </c>
      <c r="C8" s="7" t="s">
        <v>16</v>
      </c>
      <c r="D8" s="7" t="s">
        <v>17</v>
      </c>
      <c r="E8" s="7" t="s">
        <v>18</v>
      </c>
      <c r="F8" s="7" t="s">
        <v>19</v>
      </c>
      <c r="G8" s="7" t="s">
        <v>20</v>
      </c>
      <c r="K8" s="58" t="s">
        <v>175</v>
      </c>
      <c r="O8" s="25" t="s">
        <v>974</v>
      </c>
      <c r="P8" s="25" t="s">
        <v>975</v>
      </c>
    </row>
    <row r="9" spans="1:16" ht="15" x14ac:dyDescent="0.25">
      <c r="A9" s="6"/>
      <c r="B9" s="6">
        <v>100</v>
      </c>
      <c r="C9" s="6" t="s">
        <v>4</v>
      </c>
      <c r="D9" s="11">
        <v>149617</v>
      </c>
      <c r="E9" s="11">
        <v>255652</v>
      </c>
      <c r="F9" s="11">
        <v>219500</v>
      </c>
      <c r="G9" s="11">
        <v>349062</v>
      </c>
    </row>
    <row r="10" spans="1:16" ht="15" x14ac:dyDescent="0.25">
      <c r="A10" s="6"/>
      <c r="B10" s="6">
        <v>101</v>
      </c>
      <c r="C10" s="6" t="s">
        <v>5</v>
      </c>
      <c r="D10" s="11">
        <v>359334</v>
      </c>
      <c r="E10" s="11">
        <v>194638</v>
      </c>
      <c r="F10" s="11">
        <v>456301</v>
      </c>
      <c r="G10" s="11">
        <v>205269</v>
      </c>
      <c r="O10" s="25" t="s">
        <v>996</v>
      </c>
      <c r="P10" s="25" t="s">
        <v>995</v>
      </c>
    </row>
    <row r="11" spans="1:16" ht="15" x14ac:dyDescent="0.25">
      <c r="A11" s="6"/>
      <c r="B11" s="6">
        <v>102</v>
      </c>
      <c r="C11" s="6" t="s">
        <v>6</v>
      </c>
      <c r="D11" s="12">
        <v>491038</v>
      </c>
      <c r="E11" s="12">
        <v>468210</v>
      </c>
      <c r="F11" s="12">
        <v>367590</v>
      </c>
      <c r="G11" s="12">
        <v>169858</v>
      </c>
    </row>
    <row r="12" spans="1:16" ht="15.6" x14ac:dyDescent="0.3">
      <c r="A12" s="6"/>
      <c r="B12" s="6"/>
      <c r="C12" s="6" t="s">
        <v>21</v>
      </c>
      <c r="D12" s="10">
        <f>SUM(D9:D11)</f>
        <v>999989</v>
      </c>
      <c r="E12" s="10">
        <f>SUM(E9:E11)</f>
        <v>918500</v>
      </c>
      <c r="F12" s="10">
        <f>SUM(F9:F11)</f>
        <v>1043391</v>
      </c>
      <c r="G12" s="10">
        <f>SUM(G9:G11)</f>
        <v>724189</v>
      </c>
      <c r="I12" s="10">
        <v>999989</v>
      </c>
      <c r="J12" s="10">
        <v>918500</v>
      </c>
      <c r="K12" s="10">
        <v>1043391</v>
      </c>
      <c r="L12" s="10">
        <v>724189</v>
      </c>
      <c r="N12" s="129"/>
    </row>
    <row r="13" spans="1:16" ht="15.6" x14ac:dyDescent="0.3">
      <c r="A13" s="6"/>
      <c r="B13" s="6"/>
      <c r="C13" s="6"/>
      <c r="D13" s="8"/>
      <c r="E13" s="8"/>
      <c r="F13" s="8"/>
      <c r="G13" s="8"/>
      <c r="I13" s="133"/>
      <c r="J13" s="133"/>
      <c r="K13" s="133"/>
      <c r="L13" s="133"/>
      <c r="M13" s="134"/>
    </row>
    <row r="14" spans="1:16" ht="15" x14ac:dyDescent="0.25">
      <c r="A14" s="6"/>
      <c r="B14" s="6">
        <v>200</v>
      </c>
      <c r="C14" s="6" t="s">
        <v>7</v>
      </c>
      <c r="D14" s="11">
        <v>239752</v>
      </c>
      <c r="E14" s="11">
        <v>392538</v>
      </c>
      <c r="F14" s="11">
        <v>283061</v>
      </c>
      <c r="G14" s="11">
        <v>336198</v>
      </c>
    </row>
    <row r="15" spans="1:16" ht="15" x14ac:dyDescent="0.25">
      <c r="A15" s="6"/>
      <c r="B15" s="6">
        <v>202</v>
      </c>
      <c r="C15" s="6" t="s">
        <v>8</v>
      </c>
      <c r="D15" s="11">
        <v>101058</v>
      </c>
      <c r="E15" s="11">
        <v>399246</v>
      </c>
      <c r="F15" s="11">
        <v>367008</v>
      </c>
      <c r="G15" s="11">
        <v>188655</v>
      </c>
    </row>
    <row r="16" spans="1:16" ht="15" x14ac:dyDescent="0.25">
      <c r="A16" s="6"/>
      <c r="B16" s="6">
        <v>206</v>
      </c>
      <c r="C16" s="6" t="s">
        <v>9</v>
      </c>
      <c r="D16" s="12">
        <v>357508</v>
      </c>
      <c r="E16" s="12">
        <v>192768</v>
      </c>
      <c r="F16" s="12">
        <v>106349</v>
      </c>
      <c r="G16" s="12">
        <v>237665</v>
      </c>
    </row>
    <row r="17" spans="1:12" ht="15.6" x14ac:dyDescent="0.3">
      <c r="A17" s="6"/>
      <c r="B17" s="6"/>
      <c r="C17" s="6" t="s">
        <v>21</v>
      </c>
      <c r="D17" s="10">
        <f>SUM(D14:D16)</f>
        <v>698318</v>
      </c>
      <c r="E17" s="10">
        <f>SUM(E14:E16)</f>
        <v>984552</v>
      </c>
      <c r="F17" s="10">
        <f>SUM(F14:F16)</f>
        <v>756418</v>
      </c>
      <c r="G17" s="10">
        <f>SUM(G14:G16)</f>
        <v>762518</v>
      </c>
      <c r="I17" s="10">
        <v>698318</v>
      </c>
      <c r="J17" s="10">
        <v>984552</v>
      </c>
      <c r="K17" s="10">
        <v>756418</v>
      </c>
      <c r="L17" s="10">
        <v>762518</v>
      </c>
    </row>
    <row r="18" spans="1:12" ht="15" x14ac:dyDescent="0.25">
      <c r="A18" s="6"/>
      <c r="B18" s="6"/>
      <c r="C18" s="6"/>
      <c r="D18" s="8"/>
      <c r="E18" s="8"/>
      <c r="F18" s="8"/>
      <c r="G18" s="8"/>
    </row>
    <row r="19" spans="1:12" ht="15" x14ac:dyDescent="0.25">
      <c r="A19" s="6"/>
      <c r="B19" s="6">
        <v>301</v>
      </c>
      <c r="C19" s="6" t="s">
        <v>10</v>
      </c>
      <c r="D19" s="11">
        <v>298198</v>
      </c>
      <c r="E19" s="11">
        <v>471041</v>
      </c>
      <c r="F19" s="11">
        <v>167329</v>
      </c>
      <c r="G19" s="11">
        <v>137880</v>
      </c>
    </row>
    <row r="20" spans="1:12" ht="15" x14ac:dyDescent="0.25">
      <c r="A20" s="6"/>
      <c r="B20" s="6">
        <v>305</v>
      </c>
      <c r="C20" s="6" t="s">
        <v>11</v>
      </c>
      <c r="D20" s="12">
        <v>397510</v>
      </c>
      <c r="E20" s="12">
        <v>256609</v>
      </c>
      <c r="F20" s="12">
        <v>356504</v>
      </c>
      <c r="G20" s="12">
        <v>499822</v>
      </c>
    </row>
    <row r="21" spans="1:12" ht="15.6" x14ac:dyDescent="0.3">
      <c r="A21" s="6"/>
      <c r="B21" s="6"/>
      <c r="C21" s="6" t="s">
        <v>21</v>
      </c>
      <c r="D21" s="10">
        <v>695708</v>
      </c>
      <c r="E21" s="10">
        <v>727650</v>
      </c>
      <c r="F21" s="10">
        <v>523833</v>
      </c>
      <c r="G21" s="10">
        <v>637702</v>
      </c>
      <c r="I21" s="10">
        <v>695708</v>
      </c>
      <c r="J21" s="10">
        <v>727650</v>
      </c>
      <c r="K21" s="10">
        <v>523833</v>
      </c>
      <c r="L21" s="10">
        <v>637702</v>
      </c>
    </row>
    <row r="22" spans="1:12" ht="15" x14ac:dyDescent="0.25">
      <c r="A22" s="6"/>
      <c r="B22" s="6"/>
      <c r="C22" s="6"/>
      <c r="D22" s="8"/>
      <c r="E22" s="8"/>
      <c r="F22" s="8"/>
      <c r="G22" s="8"/>
    </row>
    <row r="23" spans="1:12" ht="15" x14ac:dyDescent="0.25">
      <c r="A23" s="6"/>
      <c r="B23" s="6">
        <v>400</v>
      </c>
      <c r="C23" s="6" t="s">
        <v>12</v>
      </c>
      <c r="D23" s="11">
        <v>457376</v>
      </c>
      <c r="E23" s="11">
        <v>320175</v>
      </c>
      <c r="F23" s="11">
        <v>289996</v>
      </c>
      <c r="G23" s="11">
        <v>163913</v>
      </c>
    </row>
    <row r="24" spans="1:12" ht="15" x14ac:dyDescent="0.25">
      <c r="A24" s="6"/>
      <c r="B24" s="6">
        <v>410</v>
      </c>
      <c r="C24" s="6" t="s">
        <v>13</v>
      </c>
      <c r="D24" s="11">
        <v>276611</v>
      </c>
      <c r="E24" s="11">
        <v>105785</v>
      </c>
      <c r="F24" s="11">
        <v>365720</v>
      </c>
      <c r="G24" s="11">
        <v>483014</v>
      </c>
    </row>
    <row r="25" spans="1:12" ht="15" x14ac:dyDescent="0.25">
      <c r="A25" s="6"/>
      <c r="B25" s="6">
        <v>420</v>
      </c>
      <c r="C25" s="6" t="s">
        <v>14</v>
      </c>
      <c r="D25" s="12">
        <v>398523</v>
      </c>
      <c r="E25" s="12">
        <v>291788</v>
      </c>
      <c r="F25" s="12">
        <v>266605</v>
      </c>
      <c r="G25" s="12">
        <v>167764</v>
      </c>
    </row>
    <row r="26" spans="1:12" ht="15.6" x14ac:dyDescent="0.3">
      <c r="A26" s="6"/>
      <c r="B26" s="6"/>
      <c r="C26" s="6" t="s">
        <v>21</v>
      </c>
      <c r="D26" s="10">
        <f>SUM(D23:D25)</f>
        <v>1132510</v>
      </c>
      <c r="E26" s="10">
        <f>SUM(E23:E25)</f>
        <v>717748</v>
      </c>
      <c r="F26" s="10">
        <f>SUM(F23:F25)</f>
        <v>922321</v>
      </c>
      <c r="G26" s="10">
        <f>SUM(G23:G25)</f>
        <v>814691</v>
      </c>
      <c r="I26" s="10">
        <v>1132510</v>
      </c>
      <c r="J26" s="10">
        <v>717748</v>
      </c>
      <c r="K26" s="10">
        <v>922321</v>
      </c>
      <c r="L26" s="10">
        <v>814691</v>
      </c>
    </row>
    <row r="27" spans="1:12" ht="15" x14ac:dyDescent="0.25">
      <c r="A27" s="6"/>
      <c r="B27" s="6"/>
      <c r="C27" s="6"/>
      <c r="D27" s="9"/>
      <c r="E27" s="9"/>
      <c r="F27" s="9"/>
      <c r="G27" s="9"/>
    </row>
    <row r="28" spans="1:12" ht="15.6" x14ac:dyDescent="0.3">
      <c r="A28" s="6"/>
      <c r="B28" s="6"/>
      <c r="C28" s="6" t="s">
        <v>22</v>
      </c>
      <c r="D28" s="10">
        <v>3526525</v>
      </c>
      <c r="E28" s="10">
        <v>3348450</v>
      </c>
      <c r="F28" s="10">
        <v>3245963</v>
      </c>
      <c r="G28" s="10">
        <v>2939100</v>
      </c>
      <c r="I28" s="10">
        <f>SUM(I12:I27)</f>
        <v>3526525</v>
      </c>
      <c r="J28" s="10">
        <f>SUM(J12:J27)</f>
        <v>3348450</v>
      </c>
      <c r="K28" s="10">
        <f>SUM(K12:K27)</f>
        <v>3245963</v>
      </c>
      <c r="L28" s="10">
        <f>SUM(L12:L27)</f>
        <v>2939100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H94"/>
  <sheetViews>
    <sheetView showGridLines="0" topLeftCell="A25" zoomScaleNormal="100" workbookViewId="0">
      <selection activeCell="G38" sqref="G38"/>
    </sheetView>
  </sheetViews>
  <sheetFormatPr defaultRowHeight="13.2" x14ac:dyDescent="0.25"/>
  <cols>
    <col min="1" max="1" width="11.109375" bestFit="1" customWidth="1"/>
    <col min="2" max="4" width="11.109375" customWidth="1"/>
    <col min="5" max="6" width="11.44140625" bestFit="1" customWidth="1"/>
    <col min="8" max="8" width="87.33203125" customWidth="1"/>
  </cols>
  <sheetData>
    <row r="2" spans="1:8" ht="23.4" thickBot="1" x14ac:dyDescent="0.45">
      <c r="A2" s="13" t="s">
        <v>144</v>
      </c>
      <c r="B2" s="2"/>
      <c r="C2" s="2"/>
      <c r="D2" s="2"/>
      <c r="E2" s="2"/>
      <c r="F2" s="2"/>
    </row>
    <row r="4" spans="1:8" ht="22.8" x14ac:dyDescent="0.4">
      <c r="A4" s="19" t="s">
        <v>30</v>
      </c>
    </row>
    <row r="6" spans="1:8" ht="23.4" x14ac:dyDescent="0.45">
      <c r="A6" s="16" t="s">
        <v>24</v>
      </c>
    </row>
    <row r="8" spans="1:8" s="6" customFormat="1" ht="33.75" customHeight="1" x14ac:dyDescent="0.3">
      <c r="A8" s="26" t="s">
        <v>10</v>
      </c>
      <c r="B8" s="35" t="s">
        <v>25</v>
      </c>
      <c r="C8" s="35" t="s">
        <v>26</v>
      </c>
      <c r="D8" s="35" t="s">
        <v>27</v>
      </c>
      <c r="E8" s="35" t="s">
        <v>28</v>
      </c>
      <c r="H8" s="53" t="s">
        <v>159</v>
      </c>
    </row>
    <row r="9" spans="1:8" s="6" customFormat="1" ht="15" x14ac:dyDescent="0.25">
      <c r="A9" s="30" t="s">
        <v>29</v>
      </c>
      <c r="B9" s="31">
        <v>2099</v>
      </c>
      <c r="C9" s="31">
        <v>2088</v>
      </c>
      <c r="D9" s="31">
        <v>2077</v>
      </c>
      <c r="E9" s="31">
        <v>2066</v>
      </c>
      <c r="H9"/>
    </row>
    <row r="10" spans="1:8" s="6" customFormat="1" ht="17.399999999999999" x14ac:dyDescent="0.25">
      <c r="A10" s="32" t="s">
        <v>29</v>
      </c>
      <c r="B10" s="31">
        <v>4055</v>
      </c>
      <c r="C10" s="31">
        <v>2355</v>
      </c>
      <c r="D10" s="31">
        <v>4233</v>
      </c>
      <c r="E10" s="31">
        <v>2566</v>
      </c>
      <c r="H10" s="52" t="s">
        <v>155</v>
      </c>
    </row>
    <row r="11" spans="1:8" s="6" customFormat="1" ht="15" x14ac:dyDescent="0.25">
      <c r="A11" s="32" t="s">
        <v>29</v>
      </c>
      <c r="B11" s="31">
        <v>3022</v>
      </c>
      <c r="C11" s="31">
        <v>5523</v>
      </c>
      <c r="D11" s="31">
        <v>8024</v>
      </c>
      <c r="E11" s="31">
        <v>10525</v>
      </c>
      <c r="H11"/>
    </row>
    <row r="12" spans="1:8" s="6" customFormat="1" ht="15" x14ac:dyDescent="0.25">
      <c r="A12" s="32" t="s">
        <v>29</v>
      </c>
      <c r="B12" s="31">
        <v>1990</v>
      </c>
      <c r="C12" s="31">
        <v>8824</v>
      </c>
      <c r="D12" s="31">
        <v>15658</v>
      </c>
      <c r="E12" s="31">
        <v>22492</v>
      </c>
      <c r="H12" t="s">
        <v>156</v>
      </c>
    </row>
    <row r="13" spans="1:8" s="6" customFormat="1" ht="15.6" x14ac:dyDescent="0.3">
      <c r="A13" s="33" t="s">
        <v>21</v>
      </c>
      <c r="B13" s="34">
        <f>SUM(B9:B12)</f>
        <v>11166</v>
      </c>
      <c r="C13" s="34">
        <f>SUM(C9:C12)</f>
        <v>18790</v>
      </c>
      <c r="D13" s="34">
        <f>SUM(D9:D12)</f>
        <v>29992</v>
      </c>
      <c r="E13" s="34">
        <f>SUM(E9:E12)</f>
        <v>37649</v>
      </c>
      <c r="H13"/>
    </row>
    <row r="14" spans="1:8" s="6" customFormat="1" ht="15" x14ac:dyDescent="0.25">
      <c r="A14" s="54"/>
      <c r="B14" s="55"/>
      <c r="C14" s="55"/>
      <c r="D14" s="55"/>
      <c r="E14" s="55"/>
      <c r="H14" t="s">
        <v>157</v>
      </c>
    </row>
    <row r="15" spans="1:8" s="6" customFormat="1" ht="15" x14ac:dyDescent="0.25">
      <c r="A15" s="54"/>
      <c r="B15" s="55"/>
      <c r="C15" s="55" t="s">
        <v>183</v>
      </c>
      <c r="D15" s="55"/>
      <c r="E15" s="55"/>
      <c r="H15"/>
    </row>
    <row r="16" spans="1:8" s="6" customFormat="1" ht="15" x14ac:dyDescent="0.25">
      <c r="A16" s="54"/>
      <c r="B16" s="55"/>
      <c r="C16" s="55"/>
      <c r="D16" s="55"/>
      <c r="E16" s="55"/>
      <c r="H16" t="s">
        <v>158</v>
      </c>
    </row>
    <row r="17" spans="1:8" s="6" customFormat="1" ht="15" x14ac:dyDescent="0.25">
      <c r="A17" s="54"/>
      <c r="B17" s="55"/>
      <c r="C17" s="55"/>
      <c r="D17" s="55"/>
      <c r="E17" s="55"/>
      <c r="H17"/>
    </row>
    <row r="18" spans="1:8" s="6" customFormat="1" ht="15.6" x14ac:dyDescent="0.3">
      <c r="A18" s="56"/>
      <c r="B18" s="57"/>
      <c r="C18" s="57"/>
      <c r="D18" s="57"/>
      <c r="E18" s="57"/>
      <c r="H18"/>
    </row>
    <row r="19" spans="1:8" s="6" customFormat="1" ht="15" x14ac:dyDescent="0.25">
      <c r="A19" s="54"/>
      <c r="B19" s="55"/>
      <c r="C19" s="55"/>
      <c r="D19" s="55"/>
      <c r="E19" s="55"/>
      <c r="H19"/>
    </row>
    <row r="20" spans="1:8" s="6" customFormat="1" ht="15" x14ac:dyDescent="0.25">
      <c r="A20" s="55"/>
      <c r="B20" s="55"/>
      <c r="C20" s="55"/>
      <c r="D20" s="55"/>
      <c r="E20" s="55"/>
      <c r="H20"/>
    </row>
    <row r="21" spans="1:8" s="6" customFormat="1" ht="15" x14ac:dyDescent="0.25">
      <c r="A21" s="54"/>
      <c r="B21" s="55"/>
      <c r="C21" s="55"/>
      <c r="D21" s="55"/>
      <c r="E21" s="55"/>
      <c r="H21"/>
    </row>
    <row r="22" spans="1:8" s="6" customFormat="1" ht="15" x14ac:dyDescent="0.25">
      <c r="A22" s="17"/>
      <c r="B22"/>
      <c r="C22"/>
      <c r="D22"/>
      <c r="E22"/>
      <c r="F22"/>
      <c r="H22"/>
    </row>
    <row r="23" spans="1:8" s="6" customFormat="1" ht="15" x14ac:dyDescent="0.25">
      <c r="A23" s="17"/>
      <c r="B23"/>
      <c r="C23"/>
      <c r="D23"/>
      <c r="E23"/>
      <c r="F23"/>
      <c r="H23"/>
    </row>
    <row r="24" spans="1:8" s="6" customFormat="1" ht="15" x14ac:dyDescent="0.25">
      <c r="A24"/>
      <c r="B24"/>
      <c r="C24"/>
      <c r="D24"/>
      <c r="E24"/>
      <c r="F24"/>
      <c r="H24"/>
    </row>
    <row r="25" spans="1:8" s="6" customFormat="1" ht="15" x14ac:dyDescent="0.25">
      <c r="A25"/>
      <c r="B25"/>
      <c r="C25"/>
      <c r="D25"/>
      <c r="E25"/>
      <c r="F25"/>
      <c r="H25"/>
    </row>
    <row r="26" spans="1:8" s="6" customFormat="1" ht="15" x14ac:dyDescent="0.25">
      <c r="A26"/>
      <c r="B26"/>
      <c r="C26"/>
      <c r="D26"/>
      <c r="E26"/>
      <c r="F26"/>
      <c r="H26"/>
    </row>
    <row r="29" spans="1:8" ht="15.6" x14ac:dyDescent="0.3">
      <c r="A29" s="26" t="s">
        <v>10</v>
      </c>
      <c r="B29" s="35" t="s">
        <v>25</v>
      </c>
      <c r="C29" s="35" t="s">
        <v>26</v>
      </c>
      <c r="D29" s="35" t="s">
        <v>27</v>
      </c>
      <c r="E29" s="35" t="s">
        <v>28</v>
      </c>
    </row>
    <row r="30" spans="1:8" ht="15" x14ac:dyDescent="0.25">
      <c r="A30" s="30" t="s">
        <v>29</v>
      </c>
      <c r="B30" s="31">
        <v>2099</v>
      </c>
      <c r="C30" s="31">
        <v>2088</v>
      </c>
      <c r="D30" s="31">
        <v>2077</v>
      </c>
      <c r="E30" s="31">
        <v>2066</v>
      </c>
    </row>
    <row r="31" spans="1:8" ht="15" x14ac:dyDescent="0.25">
      <c r="A31" s="32" t="s">
        <v>29</v>
      </c>
      <c r="B31" s="31">
        <v>4055</v>
      </c>
      <c r="C31" s="31">
        <v>2355</v>
      </c>
      <c r="D31" s="31">
        <v>4233</v>
      </c>
      <c r="E31" s="31">
        <v>2566</v>
      </c>
    </row>
    <row r="32" spans="1:8" ht="15" x14ac:dyDescent="0.25">
      <c r="A32" s="32" t="s">
        <v>29</v>
      </c>
      <c r="B32" s="31">
        <v>3022</v>
      </c>
      <c r="C32" s="31">
        <v>5523</v>
      </c>
      <c r="D32" s="31">
        <v>8024</v>
      </c>
      <c r="E32" s="31">
        <v>10525</v>
      </c>
    </row>
    <row r="33" spans="1:8" ht="15" x14ac:dyDescent="0.25">
      <c r="A33" s="32" t="s">
        <v>29</v>
      </c>
      <c r="B33" s="31">
        <v>1990</v>
      </c>
      <c r="C33" s="31">
        <v>8824</v>
      </c>
      <c r="D33" s="31">
        <v>15658</v>
      </c>
      <c r="E33" s="31">
        <v>22492</v>
      </c>
    </row>
    <row r="36" spans="1:8" ht="15.6" x14ac:dyDescent="0.3">
      <c r="A36" s="26" t="s">
        <v>10</v>
      </c>
      <c r="B36" s="30" t="s">
        <v>29</v>
      </c>
      <c r="C36" s="32" t="s">
        <v>29</v>
      </c>
      <c r="D36" s="32" t="s">
        <v>29</v>
      </c>
      <c r="E36" s="32" t="s">
        <v>29</v>
      </c>
    </row>
    <row r="37" spans="1:8" ht="15.6" x14ac:dyDescent="0.3">
      <c r="A37" s="35" t="s">
        <v>25</v>
      </c>
      <c r="B37" s="31">
        <v>2099</v>
      </c>
      <c r="C37" s="31">
        <v>4055</v>
      </c>
      <c r="D37" s="31">
        <v>3022</v>
      </c>
      <c r="E37" s="31">
        <v>1990</v>
      </c>
    </row>
    <row r="38" spans="1:8" ht="15.6" x14ac:dyDescent="0.3">
      <c r="A38" s="35" t="s">
        <v>26</v>
      </c>
      <c r="B38" s="31">
        <v>2088</v>
      </c>
      <c r="C38" s="31">
        <v>2355</v>
      </c>
      <c r="D38" s="31">
        <v>5523</v>
      </c>
      <c r="E38" s="31">
        <v>8824</v>
      </c>
      <c r="H38" t="s">
        <v>160</v>
      </c>
    </row>
    <row r="39" spans="1:8" ht="15.6" x14ac:dyDescent="0.3">
      <c r="A39" s="35" t="s">
        <v>27</v>
      </c>
      <c r="B39" s="31">
        <v>2077</v>
      </c>
      <c r="C39" s="31">
        <v>4233</v>
      </c>
      <c r="D39" s="31">
        <v>8024</v>
      </c>
      <c r="E39" s="31">
        <v>15658</v>
      </c>
    </row>
    <row r="40" spans="1:8" ht="15.6" x14ac:dyDescent="0.3">
      <c r="A40" s="35" t="s">
        <v>28</v>
      </c>
      <c r="B40" s="31">
        <v>2066</v>
      </c>
      <c r="C40" s="31">
        <v>2566</v>
      </c>
      <c r="D40" s="31">
        <v>10525</v>
      </c>
      <c r="E40" s="31">
        <v>22492</v>
      </c>
      <c r="H40" t="s">
        <v>167</v>
      </c>
    </row>
    <row r="43" spans="1:8" ht="15.6" x14ac:dyDescent="0.3">
      <c r="A43" s="6"/>
      <c r="B43" s="5" t="str" cm="1">
        <f t="array" ref="B43:F47">TRANSPOSE(A29:E33)</f>
        <v>Sales</v>
      </c>
      <c r="C43" s="5" t="str">
        <v>EAST</v>
      </c>
      <c r="D43" s="5" t="str">
        <v>EAST</v>
      </c>
      <c r="E43" s="5" t="str">
        <v>EAST</v>
      </c>
      <c r="F43" s="5" t="str">
        <v>EAST</v>
      </c>
    </row>
    <row r="44" spans="1:8" ht="15" x14ac:dyDescent="0.25">
      <c r="A44" s="6"/>
      <c r="B44" s="6" t="str">
        <v>Qtr -1</v>
      </c>
      <c r="C44" s="6">
        <v>2099</v>
      </c>
      <c r="D44" s="6">
        <v>4055</v>
      </c>
      <c r="E44" s="6">
        <v>3022</v>
      </c>
      <c r="F44" s="6">
        <v>1990</v>
      </c>
    </row>
    <row r="45" spans="1:8" ht="15" x14ac:dyDescent="0.25">
      <c r="A45" s="6"/>
      <c r="B45" s="6" t="str">
        <v>Qtr -2</v>
      </c>
      <c r="C45" s="6">
        <v>2088</v>
      </c>
      <c r="D45" s="6">
        <v>2355</v>
      </c>
      <c r="E45" s="6">
        <v>5523</v>
      </c>
      <c r="F45" s="6">
        <v>8824</v>
      </c>
    </row>
    <row r="46" spans="1:8" ht="15" x14ac:dyDescent="0.25">
      <c r="A46" s="6"/>
      <c r="B46" s="6" t="str">
        <v>Qtr -3</v>
      </c>
      <c r="C46" s="6">
        <v>2077</v>
      </c>
      <c r="D46" s="6">
        <v>4233</v>
      </c>
      <c r="E46" s="6">
        <v>8024</v>
      </c>
      <c r="F46" s="6">
        <v>15658</v>
      </c>
    </row>
    <row r="47" spans="1:8" ht="15" x14ac:dyDescent="0.25">
      <c r="A47" s="6"/>
      <c r="B47" s="6" t="str">
        <v>Qtr -4</v>
      </c>
      <c r="C47" s="6">
        <v>2066</v>
      </c>
      <c r="D47" s="6">
        <v>2566</v>
      </c>
      <c r="E47" s="6">
        <v>10525</v>
      </c>
      <c r="F47" s="6">
        <v>22492</v>
      </c>
    </row>
    <row r="62" spans="8:8" x14ac:dyDescent="0.25">
      <c r="H62" t="s">
        <v>161</v>
      </c>
    </row>
    <row r="76" spans="8:8" ht="17.399999999999999" x14ac:dyDescent="0.25">
      <c r="H76" s="52" t="s">
        <v>162</v>
      </c>
    </row>
    <row r="78" spans="8:8" x14ac:dyDescent="0.25">
      <c r="H78" t="s">
        <v>163</v>
      </c>
    </row>
    <row r="80" spans="8:8" x14ac:dyDescent="0.25">
      <c r="H80" t="s">
        <v>164</v>
      </c>
    </row>
    <row r="92" spans="8:8" x14ac:dyDescent="0.25">
      <c r="H92" t="s">
        <v>165</v>
      </c>
    </row>
    <row r="94" spans="8:8" x14ac:dyDescent="0.25">
      <c r="H94" t="s">
        <v>166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J22"/>
  <sheetViews>
    <sheetView showGridLines="0" zoomScale="120" zoomScaleNormal="120" workbookViewId="0">
      <selection activeCell="L18" sqref="L18"/>
    </sheetView>
  </sheetViews>
  <sheetFormatPr defaultRowHeight="13.2" x14ac:dyDescent="0.25"/>
  <cols>
    <col min="1" max="1" width="9.33203125" customWidth="1"/>
    <col min="2" max="2" width="15.33203125" bestFit="1" customWidth="1"/>
    <col min="3" max="3" width="17.33203125" bestFit="1" customWidth="1"/>
    <col min="4" max="7" width="11.44140625" bestFit="1" customWidth="1"/>
  </cols>
  <sheetData>
    <row r="2" spans="1:8" ht="23.4" thickBot="1" x14ac:dyDescent="0.45">
      <c r="A2" s="13" t="s">
        <v>145</v>
      </c>
      <c r="B2" s="2"/>
      <c r="C2" s="2"/>
      <c r="D2" s="2"/>
      <c r="E2" s="2"/>
      <c r="F2" s="2"/>
      <c r="G2" s="2"/>
      <c r="H2" s="2"/>
    </row>
    <row r="3" spans="1:8" ht="18" x14ac:dyDescent="0.35">
      <c r="A3" s="3"/>
    </row>
    <row r="4" spans="1:8" ht="22.8" x14ac:dyDescent="0.4">
      <c r="A4" s="19" t="s">
        <v>140</v>
      </c>
    </row>
    <row r="6" spans="1:8" ht="17.399999999999999" x14ac:dyDescent="0.3">
      <c r="A6" s="18" t="s">
        <v>182</v>
      </c>
    </row>
    <row r="8" spans="1:8" ht="17.399999999999999" x14ac:dyDescent="0.25">
      <c r="A8" s="52"/>
    </row>
    <row r="9" spans="1:8" ht="15.6" x14ac:dyDescent="0.3">
      <c r="A9" s="5" t="s">
        <v>3</v>
      </c>
      <c r="B9" s="6"/>
      <c r="C9" s="6"/>
      <c r="D9" s="6"/>
      <c r="E9" s="6"/>
      <c r="F9" s="6"/>
    </row>
    <row r="10" spans="1:8" ht="15" x14ac:dyDescent="0.25">
      <c r="A10" s="6"/>
      <c r="B10" s="6"/>
      <c r="C10" s="6"/>
      <c r="D10" s="6"/>
      <c r="E10" s="6"/>
      <c r="F10" s="6"/>
    </row>
    <row r="11" spans="1:8" ht="15.6" x14ac:dyDescent="0.3">
      <c r="A11" s="75" t="s">
        <v>15</v>
      </c>
      <c r="B11" s="75" t="s">
        <v>16</v>
      </c>
      <c r="C11" s="75" t="s">
        <v>17</v>
      </c>
      <c r="D11" s="75" t="s">
        <v>18</v>
      </c>
      <c r="E11" s="75" t="s">
        <v>19</v>
      </c>
      <c r="F11" s="75" t="s">
        <v>20</v>
      </c>
    </row>
    <row r="12" spans="1:8" ht="15" x14ac:dyDescent="0.25">
      <c r="A12" s="6">
        <v>200</v>
      </c>
      <c r="B12" s="6" t="s">
        <v>7</v>
      </c>
      <c r="C12" s="11">
        <v>239752</v>
      </c>
      <c r="D12" s="11">
        <v>392538</v>
      </c>
      <c r="E12" s="11">
        <v>283061</v>
      </c>
      <c r="F12" s="11">
        <v>336198</v>
      </c>
    </row>
    <row r="13" spans="1:8" ht="15" x14ac:dyDescent="0.25">
      <c r="A13" s="6">
        <v>202</v>
      </c>
      <c r="B13" s="6" t="s">
        <v>8</v>
      </c>
      <c r="C13" s="11">
        <v>101058</v>
      </c>
      <c r="D13" s="11">
        <v>399246</v>
      </c>
      <c r="E13" s="11">
        <v>367008</v>
      </c>
      <c r="F13" s="11">
        <v>188655</v>
      </c>
    </row>
    <row r="14" spans="1:8" ht="15" x14ac:dyDescent="0.25">
      <c r="A14" s="6">
        <v>206</v>
      </c>
      <c r="B14" s="6" t="s">
        <v>9</v>
      </c>
      <c r="C14" s="12">
        <v>357508</v>
      </c>
      <c r="D14" s="12">
        <v>192768</v>
      </c>
      <c r="E14" s="12">
        <v>106349</v>
      </c>
      <c r="F14" s="12">
        <v>237665</v>
      </c>
      <c r="G14" s="6"/>
    </row>
    <row r="15" spans="1:8" ht="15.6" x14ac:dyDescent="0.3">
      <c r="A15" s="6"/>
      <c r="B15" s="6" t="s">
        <v>21</v>
      </c>
      <c r="C15" s="183">
        <f>SUM(C12:C14)</f>
        <v>698318</v>
      </c>
      <c r="D15" s="10"/>
      <c r="E15" s="10"/>
      <c r="F15" s="10"/>
      <c r="G15" s="6"/>
    </row>
    <row r="17" spans="10:10" ht="15" x14ac:dyDescent="0.25">
      <c r="J17" s="11"/>
    </row>
    <row r="18" spans="10:10" ht="15" x14ac:dyDescent="0.25">
      <c r="J18" s="11"/>
    </row>
    <row r="19" spans="10:10" ht="15" x14ac:dyDescent="0.25">
      <c r="J19" s="11"/>
    </row>
    <row r="20" spans="10:10" ht="15" x14ac:dyDescent="0.25">
      <c r="J20" s="11"/>
    </row>
    <row r="21" spans="10:10" ht="15" x14ac:dyDescent="0.25">
      <c r="J21" s="11"/>
    </row>
    <row r="22" spans="10:10" ht="15" x14ac:dyDescent="0.25">
      <c r="J22" s="1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95"/>
  <sheetViews>
    <sheetView showGridLines="0" zoomScale="95" zoomScaleNormal="95" workbookViewId="0">
      <selection activeCell="B11" sqref="B11"/>
    </sheetView>
  </sheetViews>
  <sheetFormatPr defaultRowHeight="13.2" x14ac:dyDescent="0.25"/>
  <cols>
    <col min="1" max="1" width="24.6640625" customWidth="1"/>
    <col min="2" max="2" width="38.77734375" customWidth="1"/>
    <col min="3" max="3" width="37.21875" customWidth="1"/>
    <col min="4" max="4" width="17.44140625" customWidth="1"/>
    <col min="5" max="5" width="17.6640625" customWidth="1"/>
    <col min="6" max="6" width="16.6640625" customWidth="1"/>
    <col min="7" max="7" width="16.109375" bestFit="1" customWidth="1"/>
  </cols>
  <sheetData>
    <row r="2" spans="1:8" ht="23.4" thickBot="1" x14ac:dyDescent="0.45">
      <c r="A2" s="13" t="s">
        <v>150</v>
      </c>
      <c r="B2" s="2"/>
      <c r="C2" s="2"/>
      <c r="D2" s="2"/>
      <c r="E2" s="2"/>
      <c r="F2" s="2"/>
      <c r="G2" s="2"/>
      <c r="H2" s="2"/>
    </row>
    <row r="4" spans="1:8" ht="22.8" x14ac:dyDescent="0.4">
      <c r="A4" s="19" t="s">
        <v>125</v>
      </c>
      <c r="E4" t="s">
        <v>997</v>
      </c>
    </row>
    <row r="5" spans="1:8" x14ac:dyDescent="0.25">
      <c r="E5" t="s">
        <v>998</v>
      </c>
    </row>
    <row r="7" spans="1:8" ht="22.8" x14ac:dyDescent="0.4">
      <c r="A7" s="14" t="s">
        <v>37</v>
      </c>
    </row>
    <row r="9" spans="1:8" ht="15.6" x14ac:dyDescent="0.3">
      <c r="A9" s="71" t="s">
        <v>38</v>
      </c>
      <c r="B9" s="72" t="s">
        <v>39</v>
      </c>
      <c r="C9" s="72" t="s">
        <v>40</v>
      </c>
      <c r="D9" s="72" t="s">
        <v>41</v>
      </c>
      <c r="E9" s="71" t="s">
        <v>42</v>
      </c>
      <c r="F9" s="71" t="s">
        <v>43</v>
      </c>
      <c r="G9" s="71" t="s">
        <v>44</v>
      </c>
    </row>
    <row r="10" spans="1:8" ht="13.8" x14ac:dyDescent="0.25">
      <c r="A10" s="38" t="s">
        <v>991</v>
      </c>
      <c r="B10" s="38" t="s">
        <v>45</v>
      </c>
      <c r="C10" s="39" t="s">
        <v>46</v>
      </c>
      <c r="D10" s="40">
        <v>207868</v>
      </c>
      <c r="E10" s="41">
        <v>2</v>
      </c>
      <c r="F10" s="42">
        <v>40528</v>
      </c>
      <c r="G10" s="38" t="s">
        <v>47</v>
      </c>
    </row>
    <row r="11" spans="1:8" ht="13.8" x14ac:dyDescent="0.25">
      <c r="A11" s="38">
        <v>645109</v>
      </c>
      <c r="B11" s="38" t="s">
        <v>48</v>
      </c>
      <c r="C11" s="39" t="s">
        <v>49</v>
      </c>
      <c r="D11" s="40">
        <v>171757</v>
      </c>
      <c r="E11" s="41">
        <v>8</v>
      </c>
      <c r="F11" s="42">
        <v>40527</v>
      </c>
      <c r="G11" s="38" t="s">
        <v>50</v>
      </c>
    </row>
    <row r="12" spans="1:8" ht="13.8" x14ac:dyDescent="0.25">
      <c r="A12" s="38">
        <v>645109</v>
      </c>
      <c r="B12" s="38" t="s">
        <v>48</v>
      </c>
      <c r="C12" s="39" t="s">
        <v>51</v>
      </c>
      <c r="D12" s="40">
        <v>155455</v>
      </c>
      <c r="E12" s="41">
        <v>8</v>
      </c>
      <c r="F12" s="42">
        <v>40528</v>
      </c>
      <c r="G12" s="38" t="s">
        <v>47</v>
      </c>
    </row>
    <row r="13" spans="1:8" ht="13.8" x14ac:dyDescent="0.25">
      <c r="A13" s="38">
        <v>835119</v>
      </c>
      <c r="B13" s="38" t="s">
        <v>52</v>
      </c>
      <c r="C13" s="39" t="s">
        <v>53</v>
      </c>
      <c r="D13" s="40">
        <v>166837</v>
      </c>
      <c r="E13" s="41">
        <v>5</v>
      </c>
      <c r="F13" s="42">
        <v>40527</v>
      </c>
      <c r="G13" s="38" t="s">
        <v>50</v>
      </c>
    </row>
    <row r="14" spans="1:8" ht="13.8" x14ac:dyDescent="0.25">
      <c r="A14" s="38">
        <v>921565</v>
      </c>
      <c r="B14" s="38" t="s">
        <v>54</v>
      </c>
      <c r="C14" s="39" t="s">
        <v>55</v>
      </c>
      <c r="D14" s="40">
        <v>131389</v>
      </c>
      <c r="E14" s="41">
        <v>8</v>
      </c>
      <c r="F14" s="42">
        <v>40528</v>
      </c>
      <c r="G14" s="38" t="s">
        <v>47</v>
      </c>
    </row>
    <row r="15" spans="1:8" ht="13.8" x14ac:dyDescent="0.25">
      <c r="A15" s="38">
        <v>904174</v>
      </c>
      <c r="B15" s="38" t="s">
        <v>56</v>
      </c>
      <c r="C15" s="39" t="s">
        <v>57</v>
      </c>
      <c r="D15" s="40">
        <v>141279</v>
      </c>
      <c r="E15" s="41">
        <v>4</v>
      </c>
      <c r="F15" s="42">
        <v>40528</v>
      </c>
      <c r="G15" s="38" t="s">
        <v>47</v>
      </c>
    </row>
    <row r="16" spans="1:8" ht="13.8" x14ac:dyDescent="0.25">
      <c r="A16" s="38">
        <v>108501</v>
      </c>
      <c r="B16" s="38" t="s">
        <v>58</v>
      </c>
      <c r="C16" s="39" t="s">
        <v>59</v>
      </c>
      <c r="D16" s="40">
        <v>129038</v>
      </c>
      <c r="E16" s="41">
        <v>3.5</v>
      </c>
      <c r="F16" s="42">
        <v>40527</v>
      </c>
      <c r="G16" s="38" t="s">
        <v>50</v>
      </c>
    </row>
    <row r="17" spans="1:7" ht="13.8" x14ac:dyDescent="0.25">
      <c r="A17" s="38">
        <v>806984</v>
      </c>
      <c r="B17" s="38" t="s">
        <v>60</v>
      </c>
      <c r="C17" s="39" t="s">
        <v>61</v>
      </c>
      <c r="D17" s="40">
        <v>152403</v>
      </c>
      <c r="E17" s="41">
        <v>8</v>
      </c>
      <c r="F17" s="42">
        <v>40528</v>
      </c>
      <c r="G17" s="38" t="s">
        <v>47</v>
      </c>
    </row>
    <row r="18" spans="1:7" ht="13.8" x14ac:dyDescent="0.25">
      <c r="A18" s="38">
        <v>605544</v>
      </c>
      <c r="B18" s="38" t="s">
        <v>62</v>
      </c>
      <c r="C18" s="39" t="s">
        <v>63</v>
      </c>
      <c r="D18" s="40">
        <v>170899</v>
      </c>
      <c r="E18" s="41">
        <v>8</v>
      </c>
      <c r="F18" s="42">
        <v>40527</v>
      </c>
      <c r="G18" s="38" t="s">
        <v>50</v>
      </c>
    </row>
    <row r="19" spans="1:7" ht="13.8" x14ac:dyDescent="0.25">
      <c r="A19" s="38">
        <v>261528</v>
      </c>
      <c r="B19" s="38" t="s">
        <v>64</v>
      </c>
      <c r="C19" s="39" t="s">
        <v>65</v>
      </c>
      <c r="D19" s="40">
        <v>140093</v>
      </c>
      <c r="E19" s="41">
        <v>8</v>
      </c>
      <c r="F19" s="42">
        <v>40527</v>
      </c>
      <c r="G19" s="38" t="s">
        <v>50</v>
      </c>
    </row>
    <row r="20" spans="1:7" ht="13.8" x14ac:dyDescent="0.25">
      <c r="A20" s="38">
        <v>261528</v>
      </c>
      <c r="B20" s="38" t="s">
        <v>64</v>
      </c>
      <c r="C20" s="39" t="s">
        <v>66</v>
      </c>
      <c r="D20" s="40">
        <v>68033</v>
      </c>
      <c r="E20" s="41">
        <v>8</v>
      </c>
      <c r="F20" s="42">
        <v>40528</v>
      </c>
      <c r="G20" s="38" t="s">
        <v>47</v>
      </c>
    </row>
    <row r="21" spans="1:7" ht="13.8" x14ac:dyDescent="0.25">
      <c r="A21" s="38">
        <v>682726</v>
      </c>
      <c r="B21" s="38" t="s">
        <v>67</v>
      </c>
      <c r="C21" s="39" t="s">
        <v>68</v>
      </c>
      <c r="D21" s="40">
        <v>87477</v>
      </c>
      <c r="E21" s="41">
        <v>1</v>
      </c>
      <c r="F21" s="42">
        <v>40527</v>
      </c>
      <c r="G21" s="38" t="s">
        <v>50</v>
      </c>
    </row>
    <row r="22" spans="1:7" ht="13.8" x14ac:dyDescent="0.25">
      <c r="A22" s="38">
        <v>682726</v>
      </c>
      <c r="B22" s="38" t="s">
        <v>67</v>
      </c>
      <c r="C22" s="39" t="s">
        <v>69</v>
      </c>
      <c r="D22" s="40">
        <v>87477</v>
      </c>
      <c r="E22" s="41">
        <v>1.5</v>
      </c>
      <c r="F22" s="42">
        <v>40528</v>
      </c>
      <c r="G22" s="38" t="s">
        <v>47</v>
      </c>
    </row>
    <row r="23" spans="1:7" ht="13.8" x14ac:dyDescent="0.25">
      <c r="A23" s="38">
        <v>268234</v>
      </c>
      <c r="B23" s="38" t="s">
        <v>70</v>
      </c>
      <c r="C23" s="39" t="s">
        <v>71</v>
      </c>
      <c r="D23" s="40">
        <v>267850</v>
      </c>
      <c r="E23" s="41">
        <v>1.5</v>
      </c>
      <c r="F23" s="42">
        <v>40527</v>
      </c>
      <c r="G23" s="38" t="s">
        <v>50</v>
      </c>
    </row>
    <row r="24" spans="1:7" ht="13.8" x14ac:dyDescent="0.25">
      <c r="A24" s="38">
        <v>537900</v>
      </c>
      <c r="B24" s="38" t="s">
        <v>72</v>
      </c>
      <c r="C24" s="39" t="s">
        <v>73</v>
      </c>
      <c r="D24" s="40">
        <v>64438</v>
      </c>
      <c r="E24" s="41">
        <v>2</v>
      </c>
      <c r="F24" s="42">
        <v>40527</v>
      </c>
      <c r="G24" s="38" t="s">
        <v>50</v>
      </c>
    </row>
    <row r="25" spans="1:7" ht="13.8" x14ac:dyDescent="0.25">
      <c r="A25" s="38">
        <v>935382</v>
      </c>
      <c r="B25" s="38" t="s">
        <v>74</v>
      </c>
      <c r="C25" s="39" t="s">
        <v>75</v>
      </c>
      <c r="D25" s="40">
        <v>58889</v>
      </c>
      <c r="E25" s="41">
        <v>3.5</v>
      </c>
      <c r="F25" s="42">
        <v>40527</v>
      </c>
      <c r="G25" s="38" t="s">
        <v>50</v>
      </c>
    </row>
    <row r="26" spans="1:7" ht="13.8" x14ac:dyDescent="0.25">
      <c r="A26" s="38">
        <v>602526</v>
      </c>
      <c r="B26" s="38" t="s">
        <v>76</v>
      </c>
      <c r="C26" s="39" t="s">
        <v>46</v>
      </c>
      <c r="D26" s="40">
        <v>207868</v>
      </c>
      <c r="E26" s="41">
        <v>2</v>
      </c>
      <c r="F26" s="42">
        <v>40527</v>
      </c>
      <c r="G26" s="38" t="s">
        <v>50</v>
      </c>
    </row>
    <row r="27" spans="1:7" ht="13.8" x14ac:dyDescent="0.25">
      <c r="A27" s="38">
        <v>624084</v>
      </c>
      <c r="B27" s="38" t="s">
        <v>77</v>
      </c>
      <c r="C27" s="39" t="s">
        <v>49</v>
      </c>
      <c r="D27" s="40">
        <v>171757</v>
      </c>
      <c r="E27" s="41">
        <v>1.25</v>
      </c>
      <c r="F27" s="42">
        <v>40528</v>
      </c>
      <c r="G27" s="38" t="s">
        <v>47</v>
      </c>
    </row>
    <row r="28" spans="1:7" ht="13.8" x14ac:dyDescent="0.25">
      <c r="A28" s="38">
        <v>341458</v>
      </c>
      <c r="B28" s="38" t="s">
        <v>78</v>
      </c>
      <c r="C28" s="39" t="s">
        <v>51</v>
      </c>
      <c r="D28" s="40">
        <v>155455</v>
      </c>
      <c r="E28" s="41">
        <v>8</v>
      </c>
      <c r="F28" s="42">
        <v>40528</v>
      </c>
      <c r="G28" s="38" t="s">
        <v>47</v>
      </c>
    </row>
    <row r="29" spans="1:7" ht="13.8" x14ac:dyDescent="0.25">
      <c r="A29" s="38">
        <v>674630</v>
      </c>
      <c r="B29" s="38" t="s">
        <v>79</v>
      </c>
      <c r="C29" s="39" t="s">
        <v>53</v>
      </c>
      <c r="D29" s="40">
        <v>166837</v>
      </c>
      <c r="E29" s="41">
        <v>2.75</v>
      </c>
      <c r="F29" s="42">
        <v>40528</v>
      </c>
      <c r="G29" s="38" t="s">
        <v>47</v>
      </c>
    </row>
    <row r="30" spans="1:7" ht="13.8" x14ac:dyDescent="0.25">
      <c r="A30" s="38">
        <v>674630</v>
      </c>
      <c r="B30" s="38" t="s">
        <v>79</v>
      </c>
      <c r="C30" s="39" t="s">
        <v>55</v>
      </c>
      <c r="D30" s="40">
        <v>131389</v>
      </c>
      <c r="E30" s="41">
        <v>1</v>
      </c>
      <c r="F30" s="42">
        <v>40528</v>
      </c>
      <c r="G30" s="38" t="s">
        <v>47</v>
      </c>
    </row>
    <row r="31" spans="1:7" ht="13.8" x14ac:dyDescent="0.25">
      <c r="A31" s="38">
        <v>752850</v>
      </c>
      <c r="B31" s="38" t="s">
        <v>80</v>
      </c>
      <c r="C31" s="39" t="s">
        <v>57</v>
      </c>
      <c r="D31" s="40">
        <v>141279</v>
      </c>
      <c r="E31" s="41">
        <v>1.25</v>
      </c>
      <c r="F31" s="42">
        <v>40527</v>
      </c>
      <c r="G31" s="38" t="s">
        <v>50</v>
      </c>
    </row>
    <row r="32" spans="1:7" ht="13.8" x14ac:dyDescent="0.25">
      <c r="A32" s="38">
        <v>951321</v>
      </c>
      <c r="B32" s="38" t="s">
        <v>81</v>
      </c>
      <c r="C32" s="39" t="s">
        <v>59</v>
      </c>
      <c r="D32" s="40">
        <v>129038</v>
      </c>
      <c r="E32" s="41">
        <v>8.75</v>
      </c>
      <c r="F32" s="42">
        <v>40529</v>
      </c>
      <c r="G32" s="38" t="s">
        <v>82</v>
      </c>
    </row>
    <row r="33" spans="1:7" ht="13.8" x14ac:dyDescent="0.25">
      <c r="A33" s="38">
        <v>311587</v>
      </c>
      <c r="B33" s="38" t="s">
        <v>45</v>
      </c>
      <c r="C33" s="39" t="s">
        <v>61</v>
      </c>
      <c r="D33" s="40">
        <v>152403</v>
      </c>
      <c r="E33" s="41">
        <v>4</v>
      </c>
      <c r="F33" s="42">
        <v>40529</v>
      </c>
      <c r="G33" s="38" t="s">
        <v>82</v>
      </c>
    </row>
    <row r="34" spans="1:7" ht="13.8" x14ac:dyDescent="0.25">
      <c r="A34" s="38">
        <v>140990</v>
      </c>
      <c r="B34" s="38" t="s">
        <v>83</v>
      </c>
      <c r="C34" s="39" t="s">
        <v>63</v>
      </c>
      <c r="D34" s="40">
        <v>170899</v>
      </c>
      <c r="E34" s="41">
        <v>2</v>
      </c>
      <c r="F34" s="42">
        <v>40540</v>
      </c>
      <c r="G34" s="38" t="s">
        <v>84</v>
      </c>
    </row>
    <row r="35" spans="1:7" ht="13.8" x14ac:dyDescent="0.25">
      <c r="A35" s="38">
        <v>883669</v>
      </c>
      <c r="B35" s="38" t="s">
        <v>85</v>
      </c>
      <c r="C35" s="39" t="s">
        <v>65</v>
      </c>
      <c r="D35" s="40">
        <v>140093</v>
      </c>
      <c r="E35" s="41">
        <v>4.75</v>
      </c>
      <c r="F35" s="42">
        <v>40534</v>
      </c>
      <c r="G35" s="38" t="s">
        <v>50</v>
      </c>
    </row>
    <row r="36" spans="1:7" ht="13.8" x14ac:dyDescent="0.25">
      <c r="A36" s="38">
        <v>733760</v>
      </c>
      <c r="B36" s="38" t="s">
        <v>86</v>
      </c>
      <c r="C36" s="39" t="s">
        <v>66</v>
      </c>
      <c r="D36" s="40">
        <v>68033</v>
      </c>
      <c r="E36" s="41">
        <v>3.5</v>
      </c>
      <c r="F36" s="42">
        <v>40532</v>
      </c>
      <c r="G36" s="38" t="s">
        <v>87</v>
      </c>
    </row>
    <row r="37" spans="1:7" ht="13.8" x14ac:dyDescent="0.25">
      <c r="A37" s="38">
        <v>474941</v>
      </c>
      <c r="B37" s="38" t="s">
        <v>88</v>
      </c>
      <c r="C37" s="39" t="s">
        <v>68</v>
      </c>
      <c r="D37" s="40">
        <v>87477</v>
      </c>
      <c r="E37" s="41">
        <v>2.5</v>
      </c>
      <c r="F37" s="42">
        <v>40534</v>
      </c>
      <c r="G37" s="38" t="s">
        <v>50</v>
      </c>
    </row>
    <row r="38" spans="1:7" ht="13.8" x14ac:dyDescent="0.25">
      <c r="A38" s="38">
        <v>474941</v>
      </c>
      <c r="B38" s="38" t="s">
        <v>88</v>
      </c>
      <c r="C38" s="39" t="s">
        <v>69</v>
      </c>
      <c r="D38" s="40">
        <v>87477</v>
      </c>
      <c r="E38" s="41">
        <v>1.5</v>
      </c>
      <c r="F38" s="42">
        <v>40540</v>
      </c>
      <c r="G38" s="38" t="s">
        <v>84</v>
      </c>
    </row>
    <row r="39" spans="1:7" ht="13.8" x14ac:dyDescent="0.25">
      <c r="A39" s="38">
        <v>615307</v>
      </c>
      <c r="B39" s="38" t="s">
        <v>89</v>
      </c>
      <c r="C39" s="39" t="s">
        <v>71</v>
      </c>
      <c r="D39" s="40">
        <v>267850</v>
      </c>
      <c r="E39" s="41">
        <v>4</v>
      </c>
      <c r="F39" s="42">
        <v>40529</v>
      </c>
      <c r="G39" s="38" t="s">
        <v>82</v>
      </c>
    </row>
    <row r="40" spans="1:7" ht="13.8" x14ac:dyDescent="0.25">
      <c r="A40" s="38">
        <v>144775</v>
      </c>
      <c r="B40" s="38" t="s">
        <v>90</v>
      </c>
      <c r="C40" s="39" t="s">
        <v>73</v>
      </c>
      <c r="D40" s="40">
        <v>64438</v>
      </c>
      <c r="E40" s="41">
        <v>2</v>
      </c>
      <c r="F40" s="42">
        <v>40540</v>
      </c>
      <c r="G40" s="38" t="s">
        <v>84</v>
      </c>
    </row>
    <row r="41" spans="1:7" ht="13.8" x14ac:dyDescent="0.25">
      <c r="A41" s="38">
        <v>54857</v>
      </c>
      <c r="B41" s="38" t="s">
        <v>91</v>
      </c>
      <c r="C41" s="39" t="s">
        <v>75</v>
      </c>
      <c r="D41" s="40">
        <v>58889</v>
      </c>
      <c r="E41" s="41">
        <v>1</v>
      </c>
      <c r="F41" s="42">
        <v>40533</v>
      </c>
      <c r="G41" s="38" t="s">
        <v>84</v>
      </c>
    </row>
    <row r="42" spans="1:7" ht="13.8" x14ac:dyDescent="0.25">
      <c r="A42" s="38">
        <v>969490</v>
      </c>
      <c r="B42" s="38" t="s">
        <v>92</v>
      </c>
      <c r="C42" s="39" t="s">
        <v>46</v>
      </c>
      <c r="D42" s="40">
        <v>207868</v>
      </c>
      <c r="E42" s="41">
        <v>3</v>
      </c>
      <c r="F42" s="42">
        <v>40533</v>
      </c>
      <c r="G42" s="38" t="s">
        <v>84</v>
      </c>
    </row>
    <row r="43" spans="1:7" ht="13.8" x14ac:dyDescent="0.25">
      <c r="A43" s="38">
        <v>969490</v>
      </c>
      <c r="B43" s="38" t="s">
        <v>92</v>
      </c>
      <c r="C43" s="39" t="s">
        <v>49</v>
      </c>
      <c r="D43" s="40">
        <v>171757</v>
      </c>
      <c r="E43" s="41">
        <v>8</v>
      </c>
      <c r="F43" s="42">
        <v>40534</v>
      </c>
      <c r="G43" s="38" t="s">
        <v>50</v>
      </c>
    </row>
    <row r="44" spans="1:7" ht="13.8" x14ac:dyDescent="0.25">
      <c r="A44" s="38">
        <v>579919</v>
      </c>
      <c r="B44" s="38" t="s">
        <v>93</v>
      </c>
      <c r="C44" s="39" t="s">
        <v>51</v>
      </c>
      <c r="D44" s="40">
        <v>155455</v>
      </c>
      <c r="E44" s="41">
        <v>2</v>
      </c>
      <c r="F44" s="42">
        <v>40534</v>
      </c>
      <c r="G44" s="38" t="s">
        <v>50</v>
      </c>
    </row>
    <row r="45" spans="1:7" ht="13.8" x14ac:dyDescent="0.25">
      <c r="A45" s="38">
        <v>599675</v>
      </c>
      <c r="B45" s="38" t="s">
        <v>94</v>
      </c>
      <c r="C45" s="39" t="s">
        <v>53</v>
      </c>
      <c r="D45" s="40">
        <v>166837</v>
      </c>
      <c r="E45" s="41">
        <v>2</v>
      </c>
      <c r="F45" s="42">
        <v>40534</v>
      </c>
      <c r="G45" s="38" t="s">
        <v>50</v>
      </c>
    </row>
    <row r="46" spans="1:7" ht="13.8" x14ac:dyDescent="0.25">
      <c r="A46" s="38">
        <v>625135</v>
      </c>
      <c r="B46" s="38" t="s">
        <v>95</v>
      </c>
      <c r="C46" s="39" t="s">
        <v>55</v>
      </c>
      <c r="D46" s="40">
        <v>131389</v>
      </c>
      <c r="E46" s="41">
        <v>1</v>
      </c>
      <c r="F46" s="42">
        <v>40540</v>
      </c>
      <c r="G46" s="38" t="s">
        <v>84</v>
      </c>
    </row>
    <row r="47" spans="1:7" ht="13.8" x14ac:dyDescent="0.25">
      <c r="A47" s="38">
        <v>664825</v>
      </c>
      <c r="B47" s="38" t="s">
        <v>96</v>
      </c>
      <c r="C47" s="39" t="s">
        <v>57</v>
      </c>
      <c r="D47" s="40">
        <v>141279</v>
      </c>
      <c r="E47" s="41">
        <v>8</v>
      </c>
      <c r="F47" s="42">
        <v>40542</v>
      </c>
      <c r="G47" s="38" t="s">
        <v>47</v>
      </c>
    </row>
    <row r="48" spans="1:7" ht="13.8" x14ac:dyDescent="0.25">
      <c r="A48" s="38">
        <v>664825</v>
      </c>
      <c r="B48" s="38" t="s">
        <v>96</v>
      </c>
      <c r="C48" s="39" t="s">
        <v>59</v>
      </c>
      <c r="D48" s="40">
        <v>129038</v>
      </c>
      <c r="E48" s="41">
        <v>6</v>
      </c>
      <c r="F48" s="42">
        <v>40541</v>
      </c>
      <c r="G48" s="38" t="s">
        <v>50</v>
      </c>
    </row>
    <row r="49" spans="1:7" ht="13.8" x14ac:dyDescent="0.25">
      <c r="A49" s="38">
        <v>459949</v>
      </c>
      <c r="B49" s="38" t="s">
        <v>97</v>
      </c>
      <c r="C49" s="39" t="s">
        <v>61</v>
      </c>
      <c r="D49" s="40">
        <v>152403</v>
      </c>
      <c r="E49" s="41">
        <v>2</v>
      </c>
      <c r="F49" s="42">
        <v>40529</v>
      </c>
      <c r="G49" s="38" t="s">
        <v>82</v>
      </c>
    </row>
    <row r="50" spans="1:7" ht="13.8" x14ac:dyDescent="0.25">
      <c r="A50" s="38">
        <v>375792</v>
      </c>
      <c r="B50" s="38" t="s">
        <v>98</v>
      </c>
      <c r="C50" s="39" t="s">
        <v>63</v>
      </c>
      <c r="D50" s="40">
        <v>170899</v>
      </c>
      <c r="E50" s="41">
        <v>4</v>
      </c>
      <c r="F50" s="42">
        <v>40532</v>
      </c>
      <c r="G50" s="38" t="s">
        <v>87</v>
      </c>
    </row>
    <row r="51" spans="1:7" ht="13.8" x14ac:dyDescent="0.25">
      <c r="A51" s="38">
        <v>459949</v>
      </c>
      <c r="B51" s="38" t="s">
        <v>97</v>
      </c>
      <c r="C51" s="39" t="s">
        <v>65</v>
      </c>
      <c r="D51" s="40">
        <v>140093</v>
      </c>
      <c r="E51" s="41">
        <v>8</v>
      </c>
      <c r="F51" s="42">
        <v>40546</v>
      </c>
      <c r="G51" s="38" t="s">
        <v>87</v>
      </c>
    </row>
    <row r="52" spans="1:7" ht="13.8" x14ac:dyDescent="0.25">
      <c r="A52" s="38">
        <v>459949</v>
      </c>
      <c r="B52" s="38" t="s">
        <v>97</v>
      </c>
      <c r="C52" s="39" t="s">
        <v>66</v>
      </c>
      <c r="D52" s="40">
        <v>68033</v>
      </c>
      <c r="E52" s="41">
        <v>4</v>
      </c>
      <c r="F52" s="42">
        <v>40547</v>
      </c>
      <c r="G52" s="38" t="s">
        <v>84</v>
      </c>
    </row>
    <row r="53" spans="1:7" ht="13.8" x14ac:dyDescent="0.25">
      <c r="A53" s="38">
        <v>869277</v>
      </c>
      <c r="B53" s="38" t="s">
        <v>99</v>
      </c>
      <c r="C53" s="39" t="s">
        <v>68</v>
      </c>
      <c r="D53" s="40">
        <v>87477</v>
      </c>
      <c r="E53" s="41">
        <v>8</v>
      </c>
      <c r="F53" s="42">
        <v>40541</v>
      </c>
      <c r="G53" s="38" t="s">
        <v>50</v>
      </c>
    </row>
    <row r="54" spans="1:7" ht="13.8" x14ac:dyDescent="0.25">
      <c r="A54" s="38">
        <v>389844</v>
      </c>
      <c r="B54" s="38" t="s">
        <v>100</v>
      </c>
      <c r="C54" s="39" t="s">
        <v>69</v>
      </c>
      <c r="D54" s="40">
        <v>87477</v>
      </c>
      <c r="E54" s="41">
        <v>2</v>
      </c>
      <c r="F54" s="42">
        <v>40534</v>
      </c>
      <c r="G54" s="38" t="s">
        <v>50</v>
      </c>
    </row>
    <row r="55" spans="1:7" ht="13.8" x14ac:dyDescent="0.25">
      <c r="A55" s="38">
        <v>389844</v>
      </c>
      <c r="B55" s="38" t="s">
        <v>100</v>
      </c>
      <c r="C55" s="39" t="s">
        <v>71</v>
      </c>
      <c r="D55" s="40">
        <v>267850</v>
      </c>
      <c r="E55" s="41">
        <v>8</v>
      </c>
      <c r="F55" s="42">
        <v>40535</v>
      </c>
      <c r="G55" s="38" t="s">
        <v>47</v>
      </c>
    </row>
    <row r="56" spans="1:7" ht="13.8" x14ac:dyDescent="0.25">
      <c r="A56" s="38">
        <v>873164</v>
      </c>
      <c r="B56" s="38" t="s">
        <v>101</v>
      </c>
      <c r="C56" s="39" t="s">
        <v>73</v>
      </c>
      <c r="D56" s="40">
        <v>64438</v>
      </c>
      <c r="E56" s="41">
        <v>3</v>
      </c>
      <c r="F56" s="42">
        <v>40540</v>
      </c>
      <c r="G56" s="38" t="s">
        <v>84</v>
      </c>
    </row>
    <row r="57" spans="1:7" ht="13.8" x14ac:dyDescent="0.25">
      <c r="A57" s="38">
        <v>935382</v>
      </c>
      <c r="B57" s="38" t="s">
        <v>74</v>
      </c>
      <c r="C57" s="39" t="s">
        <v>75</v>
      </c>
      <c r="D57" s="40">
        <v>58889</v>
      </c>
      <c r="E57" s="41">
        <v>8</v>
      </c>
      <c r="F57" s="42">
        <v>40542</v>
      </c>
      <c r="G57" s="38" t="s">
        <v>47</v>
      </c>
    </row>
    <row r="58" spans="1:7" ht="13.8" x14ac:dyDescent="0.25">
      <c r="A58" s="38">
        <v>935382</v>
      </c>
      <c r="B58" s="38" t="s">
        <v>74</v>
      </c>
      <c r="C58" s="39" t="s">
        <v>46</v>
      </c>
      <c r="D58" s="40">
        <v>207868</v>
      </c>
      <c r="E58" s="41">
        <v>8</v>
      </c>
      <c r="F58" s="42">
        <v>40541</v>
      </c>
      <c r="G58" s="38" t="s">
        <v>50</v>
      </c>
    </row>
    <row r="59" spans="1:7" ht="13.8" x14ac:dyDescent="0.25">
      <c r="A59" s="38">
        <v>555166</v>
      </c>
      <c r="B59" s="38" t="s">
        <v>102</v>
      </c>
      <c r="C59" s="39" t="s">
        <v>49</v>
      </c>
      <c r="D59" s="40">
        <v>171757</v>
      </c>
      <c r="E59" s="41">
        <v>8</v>
      </c>
      <c r="F59" s="42">
        <v>40534</v>
      </c>
      <c r="G59" s="38" t="s">
        <v>50</v>
      </c>
    </row>
    <row r="60" spans="1:7" ht="13.8" x14ac:dyDescent="0.25">
      <c r="A60" s="38">
        <v>555166</v>
      </c>
      <c r="B60" s="38" t="s">
        <v>102</v>
      </c>
      <c r="C60" s="39" t="s">
        <v>51</v>
      </c>
      <c r="D60" s="40">
        <v>155455</v>
      </c>
      <c r="E60" s="41">
        <v>6.25</v>
      </c>
      <c r="F60" s="42">
        <v>40533</v>
      </c>
      <c r="G60" s="38" t="s">
        <v>84</v>
      </c>
    </row>
    <row r="61" spans="1:7" ht="13.8" x14ac:dyDescent="0.25">
      <c r="A61" s="38">
        <v>555166</v>
      </c>
      <c r="B61" s="38" t="s">
        <v>102</v>
      </c>
      <c r="C61" s="39" t="s">
        <v>53</v>
      </c>
      <c r="D61" s="40">
        <v>166837</v>
      </c>
      <c r="E61" s="41">
        <v>4</v>
      </c>
      <c r="F61" s="42">
        <v>40529</v>
      </c>
      <c r="G61" s="38" t="s">
        <v>82</v>
      </c>
    </row>
    <row r="62" spans="1:7" ht="13.8" x14ac:dyDescent="0.25">
      <c r="A62" s="38">
        <v>503495</v>
      </c>
      <c r="B62" s="38" t="s">
        <v>103</v>
      </c>
      <c r="C62" s="39" t="s">
        <v>55</v>
      </c>
      <c r="D62" s="40">
        <v>131389</v>
      </c>
      <c r="E62" s="41">
        <v>2</v>
      </c>
      <c r="F62" s="42">
        <v>40532</v>
      </c>
      <c r="G62" s="38" t="s">
        <v>87</v>
      </c>
    </row>
    <row r="63" spans="1:7" ht="13.8" x14ac:dyDescent="0.25">
      <c r="A63" s="38">
        <v>503495</v>
      </c>
      <c r="B63" s="38" t="s">
        <v>103</v>
      </c>
      <c r="C63" s="39" t="s">
        <v>57</v>
      </c>
      <c r="D63" s="40">
        <v>141279</v>
      </c>
      <c r="E63" s="41">
        <v>8</v>
      </c>
      <c r="F63" s="42">
        <v>40534</v>
      </c>
      <c r="G63" s="38" t="s">
        <v>50</v>
      </c>
    </row>
    <row r="64" spans="1:7" ht="13.8" x14ac:dyDescent="0.25">
      <c r="A64" s="38">
        <v>935382</v>
      </c>
      <c r="B64" s="38" t="s">
        <v>74</v>
      </c>
      <c r="C64" s="39" t="s">
        <v>59</v>
      </c>
      <c r="D64" s="40">
        <v>129038</v>
      </c>
      <c r="E64" s="41">
        <v>8</v>
      </c>
      <c r="F64" s="42">
        <v>40540</v>
      </c>
      <c r="G64" s="38" t="s">
        <v>84</v>
      </c>
    </row>
    <row r="65" spans="1:7" ht="13.8" x14ac:dyDescent="0.25">
      <c r="A65" s="38">
        <v>35938</v>
      </c>
      <c r="B65" s="38" t="s">
        <v>104</v>
      </c>
      <c r="C65" s="39" t="s">
        <v>61</v>
      </c>
      <c r="D65" s="40">
        <v>152403</v>
      </c>
      <c r="E65" s="41">
        <v>2</v>
      </c>
      <c r="F65" s="42">
        <v>40529</v>
      </c>
      <c r="G65" s="38" t="s">
        <v>82</v>
      </c>
    </row>
    <row r="66" spans="1:7" ht="13.8" x14ac:dyDescent="0.25">
      <c r="A66" s="38">
        <v>162126</v>
      </c>
      <c r="B66" s="38" t="s">
        <v>105</v>
      </c>
      <c r="C66" s="39" t="s">
        <v>63</v>
      </c>
      <c r="D66" s="40">
        <v>170899</v>
      </c>
      <c r="E66" s="41">
        <v>3</v>
      </c>
      <c r="F66" s="42">
        <v>40532</v>
      </c>
      <c r="G66" s="38" t="s">
        <v>87</v>
      </c>
    </row>
    <row r="67" spans="1:7" ht="13.8" x14ac:dyDescent="0.25">
      <c r="A67" s="38">
        <v>453743</v>
      </c>
      <c r="B67" s="38" t="s">
        <v>106</v>
      </c>
      <c r="C67" s="39" t="s">
        <v>65</v>
      </c>
      <c r="D67" s="40">
        <v>140093</v>
      </c>
      <c r="E67" s="41">
        <v>3.25</v>
      </c>
      <c r="F67" s="42">
        <v>40532</v>
      </c>
      <c r="G67" s="38" t="s">
        <v>87</v>
      </c>
    </row>
    <row r="68" spans="1:7" ht="13.8" x14ac:dyDescent="0.25">
      <c r="A68" s="38">
        <v>674630</v>
      </c>
      <c r="B68" s="38" t="s">
        <v>79</v>
      </c>
      <c r="C68" s="39" t="s">
        <v>66</v>
      </c>
      <c r="D68" s="40">
        <v>68033</v>
      </c>
      <c r="E68" s="41">
        <v>8</v>
      </c>
      <c r="F68" s="42">
        <v>40532</v>
      </c>
      <c r="G68" s="38" t="s">
        <v>87</v>
      </c>
    </row>
    <row r="69" spans="1:7" ht="13.8" x14ac:dyDescent="0.25">
      <c r="A69" s="38">
        <v>422727</v>
      </c>
      <c r="B69" s="38" t="s">
        <v>107</v>
      </c>
      <c r="C69" s="39" t="s">
        <v>68</v>
      </c>
      <c r="D69" s="40">
        <v>87477</v>
      </c>
      <c r="E69" s="41">
        <v>8</v>
      </c>
      <c r="F69" s="42">
        <v>40533</v>
      </c>
      <c r="G69" s="38" t="s">
        <v>84</v>
      </c>
    </row>
    <row r="70" spans="1:7" ht="13.8" x14ac:dyDescent="0.25">
      <c r="A70" s="38">
        <v>820836</v>
      </c>
      <c r="B70" s="38" t="s">
        <v>108</v>
      </c>
      <c r="C70" s="39" t="s">
        <v>69</v>
      </c>
      <c r="D70" s="40">
        <v>87477</v>
      </c>
      <c r="E70" s="41">
        <v>4</v>
      </c>
      <c r="F70" s="42">
        <v>40529</v>
      </c>
      <c r="G70" s="38" t="s">
        <v>82</v>
      </c>
    </row>
    <row r="71" spans="1:7" ht="13.8" x14ac:dyDescent="0.25">
      <c r="A71" s="38">
        <v>647912</v>
      </c>
      <c r="B71" s="38" t="s">
        <v>109</v>
      </c>
      <c r="C71" s="39" t="s">
        <v>71</v>
      </c>
      <c r="D71" s="40">
        <v>267850</v>
      </c>
      <c r="E71" s="41">
        <v>2.5</v>
      </c>
      <c r="F71" s="42">
        <v>40529</v>
      </c>
      <c r="G71" s="38" t="s">
        <v>82</v>
      </c>
    </row>
    <row r="72" spans="1:7" ht="13.8" x14ac:dyDescent="0.25">
      <c r="A72" s="38">
        <v>363618</v>
      </c>
      <c r="B72" s="38" t="s">
        <v>110</v>
      </c>
      <c r="C72" s="39" t="s">
        <v>73</v>
      </c>
      <c r="D72" s="40">
        <v>64438</v>
      </c>
      <c r="E72" s="41">
        <v>1</v>
      </c>
      <c r="F72" s="42">
        <v>40533</v>
      </c>
      <c r="G72" s="38" t="s">
        <v>84</v>
      </c>
    </row>
    <row r="73" spans="1:7" ht="13.8" x14ac:dyDescent="0.25">
      <c r="A73" s="38">
        <v>309284</v>
      </c>
      <c r="B73" s="38" t="s">
        <v>111</v>
      </c>
      <c r="C73" s="39" t="s">
        <v>75</v>
      </c>
      <c r="D73" s="40">
        <v>58889</v>
      </c>
      <c r="E73" s="41">
        <v>8</v>
      </c>
      <c r="F73" s="42">
        <v>40532</v>
      </c>
      <c r="G73" s="38" t="s">
        <v>87</v>
      </c>
    </row>
    <row r="74" spans="1:7" ht="13.8" x14ac:dyDescent="0.25">
      <c r="A74" s="38">
        <v>694606</v>
      </c>
      <c r="B74" s="38" t="s">
        <v>112</v>
      </c>
      <c r="C74" s="39" t="s">
        <v>46</v>
      </c>
      <c r="D74" s="40">
        <v>207868</v>
      </c>
      <c r="E74" s="41">
        <v>0.75</v>
      </c>
      <c r="F74" s="42">
        <v>40532</v>
      </c>
      <c r="G74" s="38" t="s">
        <v>87</v>
      </c>
    </row>
    <row r="75" spans="1:7" ht="13.8" x14ac:dyDescent="0.25">
      <c r="A75" s="38">
        <v>694606</v>
      </c>
      <c r="B75" s="38" t="s">
        <v>112</v>
      </c>
      <c r="C75" s="39" t="s">
        <v>49</v>
      </c>
      <c r="D75" s="40">
        <v>171757</v>
      </c>
      <c r="E75" s="41">
        <v>0.5</v>
      </c>
      <c r="F75" s="42">
        <v>40541</v>
      </c>
      <c r="G75" s="38" t="s">
        <v>50</v>
      </c>
    </row>
    <row r="76" spans="1:7" ht="13.8" x14ac:dyDescent="0.25">
      <c r="A76" s="38">
        <v>942722</v>
      </c>
      <c r="B76" s="38" t="s">
        <v>113</v>
      </c>
      <c r="C76" s="39" t="s">
        <v>51</v>
      </c>
      <c r="D76" s="40">
        <v>155455</v>
      </c>
      <c r="E76" s="41">
        <v>1</v>
      </c>
      <c r="F76" s="42">
        <v>40533</v>
      </c>
      <c r="G76" s="38" t="s">
        <v>84</v>
      </c>
    </row>
    <row r="77" spans="1:7" ht="13.8" x14ac:dyDescent="0.25">
      <c r="A77" s="38">
        <v>689783</v>
      </c>
      <c r="B77" s="38" t="s">
        <v>114</v>
      </c>
      <c r="C77" s="39" t="s">
        <v>53</v>
      </c>
      <c r="D77" s="40">
        <v>166837</v>
      </c>
      <c r="E77" s="41">
        <v>3</v>
      </c>
      <c r="F77" s="42">
        <v>40541</v>
      </c>
      <c r="G77" s="38" t="s">
        <v>50</v>
      </c>
    </row>
    <row r="78" spans="1:7" ht="13.8" x14ac:dyDescent="0.25">
      <c r="A78" s="38">
        <v>572634</v>
      </c>
      <c r="B78" s="38" t="s">
        <v>115</v>
      </c>
      <c r="C78" s="39" t="s">
        <v>55</v>
      </c>
      <c r="D78" s="40">
        <v>131389</v>
      </c>
      <c r="E78" s="41">
        <v>8</v>
      </c>
      <c r="F78" s="42">
        <v>40529</v>
      </c>
      <c r="G78" s="38" t="s">
        <v>82</v>
      </c>
    </row>
    <row r="79" spans="1:7" ht="13.8" x14ac:dyDescent="0.25">
      <c r="A79" s="38">
        <v>572634</v>
      </c>
      <c r="B79" s="38" t="s">
        <v>115</v>
      </c>
      <c r="C79" s="39" t="s">
        <v>57</v>
      </c>
      <c r="D79" s="40">
        <v>141279</v>
      </c>
      <c r="E79" s="41">
        <v>8</v>
      </c>
      <c r="F79" s="42">
        <v>40532</v>
      </c>
      <c r="G79" s="38" t="s">
        <v>87</v>
      </c>
    </row>
    <row r="80" spans="1:7" ht="13.8" x14ac:dyDescent="0.25">
      <c r="A80" s="38">
        <v>572634</v>
      </c>
      <c r="B80" s="38" t="s">
        <v>115</v>
      </c>
      <c r="C80" s="39" t="s">
        <v>59</v>
      </c>
      <c r="D80" s="40">
        <v>129038</v>
      </c>
      <c r="E80" s="41">
        <v>8</v>
      </c>
      <c r="F80" s="42">
        <v>40533</v>
      </c>
      <c r="G80" s="38" t="s">
        <v>84</v>
      </c>
    </row>
    <row r="81" spans="1:7" ht="13.8" x14ac:dyDescent="0.25">
      <c r="A81" s="38">
        <v>572634</v>
      </c>
      <c r="B81" s="38" t="s">
        <v>115</v>
      </c>
      <c r="C81" s="39" t="s">
        <v>61</v>
      </c>
      <c r="D81" s="40">
        <v>152403</v>
      </c>
      <c r="E81" s="41">
        <v>8</v>
      </c>
      <c r="F81" s="42">
        <v>40534</v>
      </c>
      <c r="G81" s="38" t="s">
        <v>50</v>
      </c>
    </row>
    <row r="82" spans="1:7" ht="13.8" x14ac:dyDescent="0.25">
      <c r="A82" s="38">
        <v>53568</v>
      </c>
      <c r="B82" s="38" t="s">
        <v>116</v>
      </c>
      <c r="C82" s="39" t="s">
        <v>63</v>
      </c>
      <c r="D82" s="40">
        <v>170899</v>
      </c>
      <c r="E82" s="41">
        <v>8</v>
      </c>
      <c r="F82" s="42">
        <v>40542</v>
      </c>
      <c r="G82" s="38" t="s">
        <v>47</v>
      </c>
    </row>
    <row r="83" spans="1:7" ht="13.8" x14ac:dyDescent="0.25">
      <c r="A83" s="38">
        <v>341458</v>
      </c>
      <c r="B83" s="38" t="s">
        <v>78</v>
      </c>
      <c r="C83" s="39" t="s">
        <v>65</v>
      </c>
      <c r="D83" s="40">
        <v>140093</v>
      </c>
      <c r="E83" s="41">
        <v>8</v>
      </c>
      <c r="F83" s="42">
        <v>40542</v>
      </c>
      <c r="G83" s="38" t="s">
        <v>47</v>
      </c>
    </row>
    <row r="84" spans="1:7" ht="13.8" x14ac:dyDescent="0.25">
      <c r="A84" s="38">
        <v>645109</v>
      </c>
      <c r="B84" s="38" t="s">
        <v>48</v>
      </c>
      <c r="C84" s="39" t="s">
        <v>66</v>
      </c>
      <c r="D84" s="40">
        <v>68033</v>
      </c>
      <c r="E84" s="41">
        <v>4</v>
      </c>
      <c r="F84" s="42">
        <v>40533</v>
      </c>
      <c r="G84" s="38" t="s">
        <v>84</v>
      </c>
    </row>
    <row r="85" spans="1:7" ht="13.8" x14ac:dyDescent="0.25">
      <c r="A85" s="38">
        <v>645109</v>
      </c>
      <c r="B85" s="38" t="s">
        <v>48</v>
      </c>
      <c r="C85" s="39" t="s">
        <v>68</v>
      </c>
      <c r="D85" s="40">
        <v>87477</v>
      </c>
      <c r="E85" s="41">
        <v>8</v>
      </c>
      <c r="F85" s="42">
        <v>40534</v>
      </c>
      <c r="G85" s="38" t="s">
        <v>50</v>
      </c>
    </row>
    <row r="86" spans="1:7" ht="13.8" x14ac:dyDescent="0.25">
      <c r="A86" s="38">
        <v>645109</v>
      </c>
      <c r="B86" s="38" t="s">
        <v>48</v>
      </c>
      <c r="C86" s="39" t="s">
        <v>69</v>
      </c>
      <c r="D86" s="40">
        <v>87477</v>
      </c>
      <c r="E86" s="41">
        <v>8</v>
      </c>
      <c r="F86" s="42">
        <v>40535</v>
      </c>
      <c r="G86" s="38" t="s">
        <v>47</v>
      </c>
    </row>
    <row r="87" spans="1:7" ht="13.8" x14ac:dyDescent="0.25">
      <c r="A87" s="38">
        <v>309793</v>
      </c>
      <c r="B87" s="38" t="s">
        <v>117</v>
      </c>
      <c r="C87" s="39" t="s">
        <v>71</v>
      </c>
      <c r="D87" s="40">
        <v>267850</v>
      </c>
      <c r="E87" s="41">
        <v>2</v>
      </c>
      <c r="F87" s="42">
        <v>40534</v>
      </c>
      <c r="G87" s="38" t="s">
        <v>50</v>
      </c>
    </row>
    <row r="88" spans="1:7" ht="13.8" x14ac:dyDescent="0.25">
      <c r="A88" s="38">
        <v>689074</v>
      </c>
      <c r="B88" s="38" t="s">
        <v>118</v>
      </c>
      <c r="C88" s="39" t="s">
        <v>73</v>
      </c>
      <c r="D88" s="40">
        <v>64438</v>
      </c>
      <c r="E88" s="41">
        <v>8</v>
      </c>
      <c r="F88" s="42">
        <v>40540</v>
      </c>
      <c r="G88" s="38" t="s">
        <v>84</v>
      </c>
    </row>
    <row r="89" spans="1:7" ht="13.8" x14ac:dyDescent="0.25">
      <c r="A89" s="38">
        <v>689074</v>
      </c>
      <c r="B89" s="38" t="s">
        <v>118</v>
      </c>
      <c r="C89" s="39" t="s">
        <v>75</v>
      </c>
      <c r="D89" s="40">
        <v>58889</v>
      </c>
      <c r="E89" s="41">
        <v>8</v>
      </c>
      <c r="F89" s="42">
        <v>40541</v>
      </c>
      <c r="G89" s="38" t="s">
        <v>50</v>
      </c>
    </row>
    <row r="90" spans="1:7" ht="13.8" x14ac:dyDescent="0.25">
      <c r="A90" s="38">
        <v>689074</v>
      </c>
      <c r="B90" s="38" t="s">
        <v>118</v>
      </c>
      <c r="C90" s="39" t="s">
        <v>46</v>
      </c>
      <c r="D90" s="40">
        <v>207868</v>
      </c>
      <c r="E90" s="41">
        <v>8</v>
      </c>
      <c r="F90" s="42">
        <v>40542</v>
      </c>
      <c r="G90" s="38" t="s">
        <v>47</v>
      </c>
    </row>
    <row r="91" spans="1:7" ht="13.8" x14ac:dyDescent="0.25">
      <c r="A91" s="38">
        <v>609303</v>
      </c>
      <c r="B91" s="38" t="s">
        <v>119</v>
      </c>
      <c r="C91" s="39" t="s">
        <v>49</v>
      </c>
      <c r="D91" s="40">
        <v>171757</v>
      </c>
      <c r="E91" s="41">
        <v>8</v>
      </c>
      <c r="F91" s="42">
        <v>40540</v>
      </c>
      <c r="G91" s="38" t="s">
        <v>84</v>
      </c>
    </row>
    <row r="92" spans="1:7" ht="13.8" x14ac:dyDescent="0.25">
      <c r="A92" s="38">
        <v>185450</v>
      </c>
      <c r="B92" s="38" t="s">
        <v>120</v>
      </c>
      <c r="C92" s="39" t="s">
        <v>51</v>
      </c>
      <c r="D92" s="40">
        <v>155455</v>
      </c>
      <c r="E92" s="41">
        <v>4</v>
      </c>
      <c r="F92" s="42">
        <v>40533</v>
      </c>
      <c r="G92" s="38" t="s">
        <v>84</v>
      </c>
    </row>
    <row r="93" spans="1:7" ht="13.8" x14ac:dyDescent="0.25">
      <c r="A93" s="38">
        <v>525099</v>
      </c>
      <c r="B93" s="38" t="s">
        <v>121</v>
      </c>
      <c r="C93" s="39" t="s">
        <v>53</v>
      </c>
      <c r="D93" s="40">
        <v>166837</v>
      </c>
      <c r="E93" s="41">
        <v>8</v>
      </c>
      <c r="F93" s="42">
        <v>40532</v>
      </c>
      <c r="G93" s="38" t="s">
        <v>87</v>
      </c>
    </row>
    <row r="94" spans="1:7" ht="13.8" x14ac:dyDescent="0.25">
      <c r="A94" s="38">
        <v>217327</v>
      </c>
      <c r="B94" s="38" t="s">
        <v>122</v>
      </c>
      <c r="C94" s="39" t="s">
        <v>55</v>
      </c>
      <c r="D94" s="40">
        <v>131389</v>
      </c>
      <c r="E94" s="41">
        <v>8</v>
      </c>
      <c r="F94" s="42">
        <v>40529</v>
      </c>
      <c r="G94" s="38" t="s">
        <v>82</v>
      </c>
    </row>
    <row r="95" spans="1:7" ht="13.8" x14ac:dyDescent="0.25">
      <c r="A95" s="38">
        <v>585545</v>
      </c>
      <c r="B95" s="38" t="s">
        <v>123</v>
      </c>
      <c r="C95" s="39" t="s">
        <v>57</v>
      </c>
      <c r="D95" s="40">
        <v>141279</v>
      </c>
      <c r="E95" s="41">
        <v>8</v>
      </c>
      <c r="F95" s="42">
        <v>40540</v>
      </c>
      <c r="G95" s="38" t="s">
        <v>84</v>
      </c>
    </row>
  </sheetData>
  <pageMargins left="0.7" right="0.7" top="0.75" bottom="0.75" header="0.3" footer="0.3"/>
  <ignoredErrors>
    <ignoredError sqref="A10"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I23"/>
  <sheetViews>
    <sheetView showGridLines="0" topLeftCell="A7" workbookViewId="0">
      <selection activeCell="I8" sqref="I8"/>
    </sheetView>
  </sheetViews>
  <sheetFormatPr defaultRowHeight="13.2" x14ac:dyDescent="0.25"/>
  <cols>
    <col min="3" max="3" width="26.5546875" customWidth="1"/>
    <col min="4" max="4" width="31.5546875" customWidth="1"/>
    <col min="5" max="5" width="17" customWidth="1"/>
    <col min="7" max="7" width="16.5546875" bestFit="1" customWidth="1"/>
  </cols>
  <sheetData>
    <row r="2" spans="1:9" ht="23.4" thickBot="1" x14ac:dyDescent="0.45">
      <c r="A2" s="13" t="s">
        <v>151</v>
      </c>
      <c r="B2" s="2"/>
      <c r="C2" s="2"/>
      <c r="D2" s="2"/>
      <c r="E2" s="2"/>
      <c r="F2" s="2"/>
      <c r="G2" s="2"/>
      <c r="H2" s="2"/>
    </row>
    <row r="3" spans="1:9" ht="15.6" x14ac:dyDescent="0.3">
      <c r="A3" s="70"/>
    </row>
    <row r="4" spans="1:9" ht="17.399999999999999" x14ac:dyDescent="0.3">
      <c r="B4" s="48" t="s">
        <v>215</v>
      </c>
    </row>
    <row r="7" spans="1:9" ht="15.6" x14ac:dyDescent="0.3">
      <c r="B7" s="71" t="s">
        <v>38</v>
      </c>
      <c r="C7" s="72" t="s">
        <v>39</v>
      </c>
      <c r="D7" s="72" t="s">
        <v>40</v>
      </c>
      <c r="E7" s="72" t="s">
        <v>41</v>
      </c>
      <c r="G7" s="83" t="s">
        <v>239</v>
      </c>
      <c r="I7" s="74" t="s">
        <v>240</v>
      </c>
    </row>
    <row r="8" spans="1:9" ht="13.8" x14ac:dyDescent="0.25">
      <c r="B8" s="38">
        <v>311587</v>
      </c>
      <c r="C8" s="38" t="s">
        <v>45</v>
      </c>
      <c r="D8" s="39" t="s">
        <v>46</v>
      </c>
      <c r="E8" s="40">
        <v>207868</v>
      </c>
      <c r="G8" s="59" t="s">
        <v>241</v>
      </c>
      <c r="I8" t="s">
        <v>241</v>
      </c>
    </row>
    <row r="9" spans="1:9" ht="13.8" x14ac:dyDescent="0.25">
      <c r="B9" s="38">
        <v>645109</v>
      </c>
      <c r="C9" s="59" t="s">
        <v>241</v>
      </c>
      <c r="D9" s="61" t="s">
        <v>49</v>
      </c>
      <c r="E9" s="62">
        <v>171757</v>
      </c>
    </row>
    <row r="10" spans="1:9" ht="13.8" x14ac:dyDescent="0.25">
      <c r="B10" s="38">
        <v>645109</v>
      </c>
      <c r="C10" s="38" t="s">
        <v>241</v>
      </c>
      <c r="D10" s="39" t="s">
        <v>51</v>
      </c>
      <c r="E10" s="40">
        <v>155455</v>
      </c>
      <c r="G10" s="84" t="s">
        <v>242</v>
      </c>
      <c r="I10" s="38" t="s">
        <v>62</v>
      </c>
    </row>
    <row r="11" spans="1:9" ht="13.8" x14ac:dyDescent="0.25">
      <c r="B11" s="38">
        <v>835119</v>
      </c>
      <c r="C11" s="38" t="s">
        <v>241</v>
      </c>
      <c r="D11" s="39" t="s">
        <v>53</v>
      </c>
      <c r="E11" s="40">
        <v>166837</v>
      </c>
    </row>
    <row r="12" spans="1:9" ht="13.8" x14ac:dyDescent="0.25">
      <c r="B12" s="38">
        <v>921565</v>
      </c>
      <c r="C12" s="38" t="s">
        <v>54</v>
      </c>
      <c r="D12" s="39" t="s">
        <v>55</v>
      </c>
      <c r="E12" s="40">
        <v>131389</v>
      </c>
      <c r="G12" s="60" t="s">
        <v>67</v>
      </c>
      <c r="I12" t="s">
        <v>243</v>
      </c>
    </row>
    <row r="13" spans="1:9" ht="13.8" x14ac:dyDescent="0.25">
      <c r="B13" s="38">
        <v>904174</v>
      </c>
      <c r="C13" s="38" t="s">
        <v>56</v>
      </c>
      <c r="D13" s="39" t="s">
        <v>57</v>
      </c>
      <c r="E13" s="40">
        <v>141279</v>
      </c>
    </row>
    <row r="14" spans="1:9" ht="13.8" x14ac:dyDescent="0.25">
      <c r="B14" s="38">
        <v>108501</v>
      </c>
      <c r="C14" s="38" t="s">
        <v>58</v>
      </c>
      <c r="D14" s="39" t="s">
        <v>59</v>
      </c>
      <c r="E14" s="40">
        <v>129038</v>
      </c>
    </row>
    <row r="15" spans="1:9" ht="13.8" x14ac:dyDescent="0.25">
      <c r="B15" s="38">
        <v>806984</v>
      </c>
      <c r="C15" s="38" t="s">
        <v>60</v>
      </c>
      <c r="D15" s="39" t="s">
        <v>61</v>
      </c>
      <c r="E15" s="40">
        <v>152403</v>
      </c>
    </row>
    <row r="16" spans="1:9" ht="13.8" x14ac:dyDescent="0.25">
      <c r="B16" s="38">
        <v>605544</v>
      </c>
      <c r="C16" s="38" t="s">
        <v>62</v>
      </c>
      <c r="D16" s="39" t="s">
        <v>63</v>
      </c>
      <c r="E16" s="40">
        <v>170899</v>
      </c>
    </row>
    <row r="17" spans="2:5" ht="13.8" x14ac:dyDescent="0.25">
      <c r="B17" s="38">
        <v>261528</v>
      </c>
      <c r="C17" s="59" t="s">
        <v>242</v>
      </c>
      <c r="D17" s="61" t="s">
        <v>65</v>
      </c>
      <c r="E17" s="62">
        <v>140093</v>
      </c>
    </row>
    <row r="18" spans="2:5" ht="13.8" x14ac:dyDescent="0.25">
      <c r="B18" s="38">
        <v>261528</v>
      </c>
      <c r="C18" s="59" t="s">
        <v>242</v>
      </c>
      <c r="D18" s="39" t="s">
        <v>66</v>
      </c>
      <c r="E18" s="40">
        <v>68033</v>
      </c>
    </row>
    <row r="19" spans="2:5" ht="13.8" x14ac:dyDescent="0.25">
      <c r="B19" s="38">
        <v>682726</v>
      </c>
      <c r="C19" s="60" t="s">
        <v>67</v>
      </c>
      <c r="D19" s="65" t="s">
        <v>68</v>
      </c>
      <c r="E19" s="66">
        <v>87477</v>
      </c>
    </row>
    <row r="20" spans="2:5" ht="13.8" x14ac:dyDescent="0.25">
      <c r="B20" s="38">
        <v>682726</v>
      </c>
      <c r="C20" s="60" t="s">
        <v>67</v>
      </c>
      <c r="D20" s="39" t="s">
        <v>69</v>
      </c>
      <c r="E20" s="40">
        <v>87477</v>
      </c>
    </row>
    <row r="21" spans="2:5" ht="13.8" x14ac:dyDescent="0.25">
      <c r="B21" s="38">
        <v>268234</v>
      </c>
      <c r="C21" s="38" t="s">
        <v>70</v>
      </c>
      <c r="D21" s="39" t="s">
        <v>71</v>
      </c>
      <c r="E21" s="40">
        <v>267850</v>
      </c>
    </row>
    <row r="22" spans="2:5" ht="13.8" x14ac:dyDescent="0.25">
      <c r="B22" s="38">
        <v>537900</v>
      </c>
      <c r="C22" s="38" t="s">
        <v>72</v>
      </c>
      <c r="D22" s="39" t="s">
        <v>73</v>
      </c>
      <c r="E22" s="40">
        <v>64438</v>
      </c>
    </row>
    <row r="23" spans="2:5" ht="13.8" x14ac:dyDescent="0.25">
      <c r="B23" s="38">
        <v>935382</v>
      </c>
      <c r="C23" s="38" t="s">
        <v>74</v>
      </c>
      <c r="D23" s="39" t="s">
        <v>75</v>
      </c>
      <c r="E23" s="40">
        <v>58889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8"/>
  <sheetViews>
    <sheetView showGridLines="0" workbookViewId="0">
      <selection activeCell="D7" sqref="D7"/>
    </sheetView>
  </sheetViews>
  <sheetFormatPr defaultRowHeight="13.2" x14ac:dyDescent="0.25"/>
  <cols>
    <col min="2" max="2" width="22.44140625" customWidth="1"/>
    <col min="3" max="3" width="12.88671875" customWidth="1"/>
    <col min="6" max="6" width="10.88671875" bestFit="1" customWidth="1"/>
  </cols>
  <sheetData>
    <row r="1" spans="1:10" x14ac:dyDescent="0.25">
      <c r="F1" s="152" t="s">
        <v>952</v>
      </c>
    </row>
    <row r="2" spans="1:10" ht="23.4" thickBot="1" x14ac:dyDescent="0.45">
      <c r="A2" s="13" t="s">
        <v>152</v>
      </c>
      <c r="B2" s="2"/>
      <c r="C2" s="2"/>
      <c r="D2" s="2"/>
      <c r="E2" s="2"/>
      <c r="F2" s="2" t="s">
        <v>999</v>
      </c>
      <c r="G2" s="2"/>
      <c r="H2" s="2"/>
    </row>
    <row r="4" spans="1:10" ht="17.399999999999999" x14ac:dyDescent="0.3">
      <c r="B4" s="48" t="s">
        <v>238</v>
      </c>
    </row>
    <row r="6" spans="1:10" ht="13.8" x14ac:dyDescent="0.25">
      <c r="B6" s="46" t="s">
        <v>216</v>
      </c>
      <c r="C6" s="46" t="s">
        <v>217</v>
      </c>
      <c r="D6" s="46" t="s">
        <v>218</v>
      </c>
      <c r="F6" s="142" t="s">
        <v>216</v>
      </c>
      <c r="G6" s="142"/>
      <c r="H6" s="142" t="s">
        <v>217</v>
      </c>
      <c r="I6" s="142"/>
      <c r="J6" s="143" t="s">
        <v>218</v>
      </c>
    </row>
    <row r="7" spans="1:10" x14ac:dyDescent="0.25">
      <c r="B7" s="25" t="s">
        <v>221</v>
      </c>
      <c r="C7" s="25" t="s">
        <v>236</v>
      </c>
      <c r="D7" s="25">
        <v>2025</v>
      </c>
      <c r="F7" t="s">
        <v>219</v>
      </c>
      <c r="H7" t="s">
        <v>226</v>
      </c>
      <c r="J7" s="4">
        <v>2020</v>
      </c>
    </row>
    <row r="8" spans="1:10" x14ac:dyDescent="0.25">
      <c r="F8" t="s">
        <v>220</v>
      </c>
      <c r="H8" t="s">
        <v>227</v>
      </c>
      <c r="J8" s="4">
        <v>2021</v>
      </c>
    </row>
    <row r="9" spans="1:10" x14ac:dyDescent="0.25">
      <c r="F9" t="s">
        <v>221</v>
      </c>
      <c r="H9" t="s">
        <v>228</v>
      </c>
      <c r="J9" s="4">
        <v>2022</v>
      </c>
    </row>
    <row r="10" spans="1:10" x14ac:dyDescent="0.25">
      <c r="F10" t="s">
        <v>222</v>
      </c>
      <c r="H10" t="s">
        <v>229</v>
      </c>
      <c r="J10" s="4">
        <v>2023</v>
      </c>
    </row>
    <row r="11" spans="1:10" x14ac:dyDescent="0.25">
      <c r="F11" t="s">
        <v>223</v>
      </c>
      <c r="H11" t="s">
        <v>230</v>
      </c>
      <c r="J11" s="4">
        <v>2024</v>
      </c>
    </row>
    <row r="12" spans="1:10" x14ac:dyDescent="0.25">
      <c r="F12" t="s">
        <v>224</v>
      </c>
      <c r="H12" t="s">
        <v>231</v>
      </c>
      <c r="J12" s="4">
        <v>2025</v>
      </c>
    </row>
    <row r="13" spans="1:10" x14ac:dyDescent="0.25">
      <c r="F13" t="s">
        <v>225</v>
      </c>
      <c r="H13" t="s">
        <v>232</v>
      </c>
    </row>
    <row r="14" spans="1:10" x14ac:dyDescent="0.25">
      <c r="H14" t="s">
        <v>233</v>
      </c>
    </row>
    <row r="15" spans="1:10" x14ac:dyDescent="0.25">
      <c r="H15" t="s">
        <v>234</v>
      </c>
    </row>
    <row r="16" spans="1:10" x14ac:dyDescent="0.25">
      <c r="H16" t="s">
        <v>235</v>
      </c>
    </row>
    <row r="17" spans="8:8" x14ac:dyDescent="0.25">
      <c r="H17" t="s">
        <v>236</v>
      </c>
    </row>
    <row r="18" spans="8:8" x14ac:dyDescent="0.25">
      <c r="H18" t="s">
        <v>237</v>
      </c>
    </row>
  </sheetData>
  <dataValidations count="4">
    <dataValidation type="list" allowBlank="1" showInputMessage="1" showErrorMessage="1" sqref="F7:F13" xr:uid="{B95ABF78-3850-45C9-925F-A36638E3B44B}">
      <formula1>$F$7:$F$16</formula1>
    </dataValidation>
    <dataValidation type="list" allowBlank="1" showInputMessage="1" showErrorMessage="1" sqref="C7" xr:uid="{AB74014F-ABF3-4BD5-8C13-D1CC748353A3}">
      <formula1>$H$7:$H$18</formula1>
    </dataValidation>
    <dataValidation type="list" allowBlank="1" showInputMessage="1" showErrorMessage="1" sqref="D7" xr:uid="{DBE3379A-83C2-4C66-8944-4EEDDEC7122F}">
      <formula1>$J$7:$J$12</formula1>
    </dataValidation>
    <dataValidation type="list" allowBlank="1" showInputMessage="1" showErrorMessage="1" sqref="B7" xr:uid="{05863F32-16C1-43C2-A112-FD40217C1B5F}">
      <formula1>$F$7:$F$13</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J95"/>
  <sheetViews>
    <sheetView showGridLines="0" workbookViewId="0">
      <selection activeCell="E9" sqref="E9"/>
    </sheetView>
  </sheetViews>
  <sheetFormatPr defaultRowHeight="13.2" x14ac:dyDescent="0.25"/>
  <cols>
    <col min="1" max="1" width="9" customWidth="1"/>
    <col min="2" max="2" width="26.6640625" customWidth="1"/>
    <col min="3" max="3" width="32.109375" customWidth="1"/>
    <col min="4" max="4" width="14" bestFit="1" customWidth="1"/>
    <col min="5" max="5" width="10.109375" bestFit="1" customWidth="1"/>
    <col min="6" max="6" width="10.88671875" bestFit="1" customWidth="1"/>
    <col min="7" max="7" width="19.5546875" bestFit="1" customWidth="1"/>
    <col min="8" max="8" width="18.77734375" bestFit="1" customWidth="1"/>
  </cols>
  <sheetData>
    <row r="2" spans="1:10" ht="23.4" thickBot="1" x14ac:dyDescent="0.45">
      <c r="A2" s="13" t="s">
        <v>153</v>
      </c>
      <c r="B2" s="2"/>
      <c r="C2" s="2"/>
      <c r="D2" s="2"/>
      <c r="E2" s="2"/>
      <c r="F2" s="2"/>
      <c r="G2" s="25" t="s">
        <v>976</v>
      </c>
      <c r="H2" s="25" t="s">
        <v>977</v>
      </c>
      <c r="I2" s="2"/>
    </row>
    <row r="3" spans="1:10" x14ac:dyDescent="0.25">
      <c r="G3" s="25" t="s">
        <v>978</v>
      </c>
      <c r="H3" s="25" t="s">
        <v>979</v>
      </c>
    </row>
    <row r="4" spans="1:10" ht="22.8" x14ac:dyDescent="0.4">
      <c r="A4" s="19" t="s">
        <v>124</v>
      </c>
      <c r="G4" s="25" t="s">
        <v>984</v>
      </c>
      <c r="H4" s="25" t="s">
        <v>985</v>
      </c>
    </row>
    <row r="5" spans="1:10" ht="15.6" x14ac:dyDescent="0.3">
      <c r="A5" s="5" t="s">
        <v>754</v>
      </c>
    </row>
    <row r="7" spans="1:10" ht="22.8" x14ac:dyDescent="0.4">
      <c r="A7" s="14" t="s">
        <v>37</v>
      </c>
    </row>
    <row r="9" spans="1:10" ht="15.6" x14ac:dyDescent="0.3">
      <c r="A9" s="71" t="s">
        <v>38</v>
      </c>
      <c r="B9" s="72" t="s">
        <v>39</v>
      </c>
      <c r="C9" s="72" t="s">
        <v>40</v>
      </c>
      <c r="D9" s="72" t="s">
        <v>753</v>
      </c>
      <c r="E9" s="72" t="s">
        <v>41</v>
      </c>
      <c r="F9" s="71" t="s">
        <v>42</v>
      </c>
      <c r="G9" s="71" t="s">
        <v>43</v>
      </c>
      <c r="H9" s="71" t="s">
        <v>44</v>
      </c>
      <c r="J9" s="5" t="s">
        <v>170</v>
      </c>
    </row>
    <row r="10" spans="1:10" ht="13.8" x14ac:dyDescent="0.25">
      <c r="A10" s="38">
        <v>311587</v>
      </c>
      <c r="B10" s="38" t="s">
        <v>45</v>
      </c>
      <c r="C10" s="39" t="s">
        <v>46</v>
      </c>
      <c r="D10" s="25" t="s">
        <v>725</v>
      </c>
      <c r="E10" s="40">
        <v>207868</v>
      </c>
      <c r="F10" s="41">
        <v>2</v>
      </c>
      <c r="G10" s="42">
        <v>40528</v>
      </c>
      <c r="H10" s="38" t="s">
        <v>47</v>
      </c>
    </row>
    <row r="11" spans="1:10" ht="13.8" x14ac:dyDescent="0.25">
      <c r="A11" s="38">
        <v>645109</v>
      </c>
      <c r="B11" s="38" t="s">
        <v>48</v>
      </c>
      <c r="C11" s="39" t="s">
        <v>49</v>
      </c>
      <c r="D11" s="25" t="s">
        <v>725</v>
      </c>
      <c r="E11" s="40">
        <v>171757</v>
      </c>
      <c r="F11" s="41">
        <v>8</v>
      </c>
      <c r="G11" s="42">
        <v>40527</v>
      </c>
      <c r="H11" s="38" t="s">
        <v>50</v>
      </c>
      <c r="J11" t="s">
        <v>168</v>
      </c>
    </row>
    <row r="12" spans="1:10" ht="13.8" x14ac:dyDescent="0.25">
      <c r="A12" s="38">
        <v>645109</v>
      </c>
      <c r="B12" s="38" t="s">
        <v>48</v>
      </c>
      <c r="C12" s="39" t="s">
        <v>51</v>
      </c>
      <c r="D12" s="25" t="s">
        <v>726</v>
      </c>
      <c r="E12" s="40">
        <v>155455</v>
      </c>
      <c r="F12" s="41">
        <v>8</v>
      </c>
      <c r="G12" s="42">
        <v>40528</v>
      </c>
      <c r="H12" s="38" t="s">
        <v>47</v>
      </c>
    </row>
    <row r="13" spans="1:10" ht="13.8" x14ac:dyDescent="0.25">
      <c r="A13" s="38">
        <v>835119</v>
      </c>
      <c r="B13" s="38" t="s">
        <v>52</v>
      </c>
      <c r="C13" s="39" t="s">
        <v>53</v>
      </c>
      <c r="D13" s="25" t="s">
        <v>727</v>
      </c>
      <c r="E13" s="40">
        <v>166837</v>
      </c>
      <c r="F13" s="41">
        <v>5</v>
      </c>
      <c r="G13" s="42">
        <v>40527</v>
      </c>
      <c r="H13" s="38" t="s">
        <v>50</v>
      </c>
      <c r="J13" t="s">
        <v>169</v>
      </c>
    </row>
    <row r="14" spans="1:10" ht="13.8" x14ac:dyDescent="0.25">
      <c r="A14" s="38">
        <v>921565</v>
      </c>
      <c r="B14" s="38" t="s">
        <v>54</v>
      </c>
      <c r="C14" s="39" t="s">
        <v>55</v>
      </c>
      <c r="D14" s="25" t="s">
        <v>727</v>
      </c>
      <c r="E14" s="40">
        <v>131389</v>
      </c>
      <c r="F14" s="41">
        <v>8</v>
      </c>
      <c r="G14" s="42">
        <v>40528</v>
      </c>
      <c r="H14" s="38" t="s">
        <v>47</v>
      </c>
    </row>
    <row r="15" spans="1:10" ht="13.8" x14ac:dyDescent="0.25">
      <c r="A15" s="38">
        <v>904174</v>
      </c>
      <c r="B15" s="38" t="s">
        <v>56</v>
      </c>
      <c r="C15" s="39" t="s">
        <v>57</v>
      </c>
      <c r="D15" s="25" t="s">
        <v>726</v>
      </c>
      <c r="E15" s="40">
        <v>141279</v>
      </c>
      <c r="F15" s="41">
        <v>4</v>
      </c>
      <c r="G15" s="42">
        <v>40528</v>
      </c>
      <c r="H15" s="38" t="s">
        <v>47</v>
      </c>
    </row>
    <row r="16" spans="1:10" ht="13.8" x14ac:dyDescent="0.25">
      <c r="A16" s="38">
        <v>108501</v>
      </c>
      <c r="B16" s="38" t="s">
        <v>58</v>
      </c>
      <c r="C16" s="39" t="s">
        <v>59</v>
      </c>
      <c r="D16" s="25" t="s">
        <v>726</v>
      </c>
      <c r="E16" s="40">
        <v>129038</v>
      </c>
      <c r="F16" s="41">
        <v>3.5</v>
      </c>
      <c r="G16" s="42">
        <v>40527</v>
      </c>
      <c r="H16" s="38" t="s">
        <v>50</v>
      </c>
    </row>
    <row r="17" spans="1:10" ht="13.8" x14ac:dyDescent="0.25">
      <c r="A17" s="38">
        <v>806984</v>
      </c>
      <c r="B17" s="38" t="s">
        <v>60</v>
      </c>
      <c r="C17" s="39" t="s">
        <v>61</v>
      </c>
      <c r="D17" s="25" t="s">
        <v>726</v>
      </c>
      <c r="E17" s="40">
        <v>152403</v>
      </c>
      <c r="F17" s="41">
        <v>8</v>
      </c>
      <c r="G17" s="42">
        <v>40528</v>
      </c>
      <c r="H17" s="38" t="s">
        <v>47</v>
      </c>
    </row>
    <row r="18" spans="1:10" ht="13.8" x14ac:dyDescent="0.25">
      <c r="A18" s="38">
        <v>605544</v>
      </c>
      <c r="B18" s="38" t="s">
        <v>62</v>
      </c>
      <c r="C18" s="39" t="s">
        <v>63</v>
      </c>
      <c r="D18" s="25" t="s">
        <v>726</v>
      </c>
      <c r="E18" s="40">
        <v>170899</v>
      </c>
      <c r="F18" s="41">
        <v>8</v>
      </c>
      <c r="G18" s="42">
        <v>40527</v>
      </c>
      <c r="H18" s="38" t="s">
        <v>50</v>
      </c>
    </row>
    <row r="19" spans="1:10" ht="13.8" x14ac:dyDescent="0.25">
      <c r="A19" s="38">
        <v>261528</v>
      </c>
      <c r="B19" s="38" t="s">
        <v>64</v>
      </c>
      <c r="C19" s="39" t="s">
        <v>65</v>
      </c>
      <c r="D19" s="25" t="s">
        <v>726</v>
      </c>
      <c r="E19" s="40">
        <v>140093</v>
      </c>
      <c r="F19" s="41">
        <v>8</v>
      </c>
      <c r="G19" s="42">
        <v>40527</v>
      </c>
      <c r="H19" s="38" t="s">
        <v>50</v>
      </c>
    </row>
    <row r="20" spans="1:10" ht="13.8" x14ac:dyDescent="0.25">
      <c r="A20" s="38">
        <v>261528</v>
      </c>
      <c r="B20" s="38" t="s">
        <v>64</v>
      </c>
      <c r="C20" s="39" t="s">
        <v>66</v>
      </c>
      <c r="D20" s="25" t="s">
        <v>726</v>
      </c>
      <c r="E20" s="40">
        <v>68033</v>
      </c>
      <c r="F20" s="41">
        <v>8</v>
      </c>
      <c r="G20" s="42">
        <v>40528</v>
      </c>
      <c r="H20" s="38" t="s">
        <v>47</v>
      </c>
    </row>
    <row r="21" spans="1:10" ht="15" x14ac:dyDescent="0.25">
      <c r="A21" s="38">
        <v>682726</v>
      </c>
      <c r="B21" s="38" t="s">
        <v>67</v>
      </c>
      <c r="C21" s="39" t="s">
        <v>68</v>
      </c>
      <c r="D21" s="25" t="s">
        <v>726</v>
      </c>
      <c r="E21" s="40">
        <v>87477</v>
      </c>
      <c r="F21" s="41">
        <v>1</v>
      </c>
      <c r="G21" s="42">
        <v>40527</v>
      </c>
      <c r="H21" s="38" t="s">
        <v>50</v>
      </c>
      <c r="J21" s="6" t="s">
        <v>171</v>
      </c>
    </row>
    <row r="22" spans="1:10" ht="15" x14ac:dyDescent="0.25">
      <c r="A22" s="38">
        <v>682726</v>
      </c>
      <c r="B22" s="38" t="s">
        <v>67</v>
      </c>
      <c r="C22" s="39" t="s">
        <v>69</v>
      </c>
      <c r="D22" s="25" t="s">
        <v>728</v>
      </c>
      <c r="E22" s="40">
        <v>87477</v>
      </c>
      <c r="F22" s="41">
        <v>1.5</v>
      </c>
      <c r="G22" s="42">
        <v>40528</v>
      </c>
      <c r="H22" s="38" t="s">
        <v>47</v>
      </c>
      <c r="J22" s="6" t="s">
        <v>172</v>
      </c>
    </row>
    <row r="23" spans="1:10" ht="13.8" x14ac:dyDescent="0.25">
      <c r="A23" s="38">
        <v>268234</v>
      </c>
      <c r="B23" s="38" t="s">
        <v>70</v>
      </c>
      <c r="C23" s="39" t="s">
        <v>71</v>
      </c>
      <c r="D23" s="25" t="s">
        <v>729</v>
      </c>
      <c r="E23" s="40">
        <v>267850</v>
      </c>
      <c r="F23" s="41">
        <v>1.5</v>
      </c>
      <c r="G23" s="42">
        <v>40527</v>
      </c>
      <c r="H23" s="38" t="s">
        <v>50</v>
      </c>
    </row>
    <row r="24" spans="1:10" ht="13.8" x14ac:dyDescent="0.25">
      <c r="A24" s="38">
        <v>537900</v>
      </c>
      <c r="B24" s="38" t="s">
        <v>72</v>
      </c>
      <c r="C24" s="39" t="s">
        <v>73</v>
      </c>
      <c r="D24" s="25" t="s">
        <v>730</v>
      </c>
      <c r="E24" s="40">
        <v>64438</v>
      </c>
      <c r="F24" s="41">
        <v>2</v>
      </c>
      <c r="G24" s="42">
        <v>40527</v>
      </c>
      <c r="H24" s="38" t="s">
        <v>50</v>
      </c>
    </row>
    <row r="25" spans="1:10" ht="13.8" x14ac:dyDescent="0.25">
      <c r="A25" s="38">
        <v>935382</v>
      </c>
      <c r="B25" s="38" t="s">
        <v>74</v>
      </c>
      <c r="C25" s="39" t="s">
        <v>75</v>
      </c>
      <c r="D25" s="25" t="s">
        <v>730</v>
      </c>
      <c r="E25" s="40">
        <v>58889</v>
      </c>
      <c r="F25" s="41">
        <v>3.5</v>
      </c>
      <c r="G25" s="42">
        <v>40527</v>
      </c>
      <c r="H25" s="38" t="s">
        <v>50</v>
      </c>
    </row>
    <row r="26" spans="1:10" ht="13.8" x14ac:dyDescent="0.25">
      <c r="A26" s="38">
        <v>602526</v>
      </c>
      <c r="B26" s="38" t="s">
        <v>76</v>
      </c>
      <c r="C26" s="39" t="s">
        <v>46</v>
      </c>
      <c r="D26" s="25" t="s">
        <v>731</v>
      </c>
      <c r="E26" s="40">
        <v>207868</v>
      </c>
      <c r="F26" s="41">
        <v>2</v>
      </c>
      <c r="G26" s="42">
        <v>40527</v>
      </c>
      <c r="H26" s="38" t="s">
        <v>50</v>
      </c>
    </row>
    <row r="27" spans="1:10" ht="13.8" x14ac:dyDescent="0.25">
      <c r="A27" s="38">
        <v>624084</v>
      </c>
      <c r="B27" s="38" t="s">
        <v>77</v>
      </c>
      <c r="C27" s="39" t="s">
        <v>49</v>
      </c>
      <c r="D27" s="25" t="s">
        <v>732</v>
      </c>
      <c r="E27" s="40">
        <v>171757</v>
      </c>
      <c r="F27" s="41">
        <v>1.25</v>
      </c>
      <c r="G27" s="42">
        <v>40528</v>
      </c>
      <c r="H27" s="38" t="s">
        <v>47</v>
      </c>
    </row>
    <row r="28" spans="1:10" ht="13.8" x14ac:dyDescent="0.25">
      <c r="A28" s="38">
        <v>341458</v>
      </c>
      <c r="B28" s="38" t="s">
        <v>78</v>
      </c>
      <c r="C28" s="39" t="s">
        <v>51</v>
      </c>
      <c r="D28" s="25" t="s">
        <v>733</v>
      </c>
      <c r="E28" s="40">
        <v>155455</v>
      </c>
      <c r="F28" s="41">
        <v>8</v>
      </c>
      <c r="G28" s="42">
        <v>40528</v>
      </c>
      <c r="H28" s="38" t="s">
        <v>47</v>
      </c>
    </row>
    <row r="29" spans="1:10" ht="13.8" x14ac:dyDescent="0.25">
      <c r="A29" s="38">
        <v>674630</v>
      </c>
      <c r="B29" s="38" t="s">
        <v>79</v>
      </c>
      <c r="C29" s="39" t="s">
        <v>53</v>
      </c>
      <c r="D29" s="25" t="s">
        <v>733</v>
      </c>
      <c r="E29" s="40">
        <v>166837</v>
      </c>
      <c r="F29" s="41">
        <v>2.75</v>
      </c>
      <c r="G29" s="42">
        <v>40528</v>
      </c>
      <c r="H29" s="38" t="s">
        <v>47</v>
      </c>
    </row>
    <row r="30" spans="1:10" ht="13.8" x14ac:dyDescent="0.25">
      <c r="A30" s="38">
        <v>674630</v>
      </c>
      <c r="B30" s="38" t="s">
        <v>79</v>
      </c>
      <c r="C30" s="39" t="s">
        <v>55</v>
      </c>
      <c r="D30" s="25" t="s">
        <v>733</v>
      </c>
      <c r="E30" s="40">
        <v>131389</v>
      </c>
      <c r="F30" s="41">
        <v>1</v>
      </c>
      <c r="G30" s="42">
        <v>40528</v>
      </c>
      <c r="H30" s="38" t="s">
        <v>47</v>
      </c>
    </row>
    <row r="31" spans="1:10" ht="13.8" x14ac:dyDescent="0.25">
      <c r="A31" s="38">
        <v>752850</v>
      </c>
      <c r="B31" s="38" t="s">
        <v>80</v>
      </c>
      <c r="C31" s="39" t="s">
        <v>57</v>
      </c>
      <c r="D31" s="25" t="s">
        <v>734</v>
      </c>
      <c r="E31" s="40">
        <v>141279</v>
      </c>
      <c r="F31" s="41">
        <v>1.25</v>
      </c>
      <c r="G31" s="42">
        <v>40527</v>
      </c>
      <c r="H31" s="38" t="s">
        <v>50</v>
      </c>
    </row>
    <row r="32" spans="1:10" ht="13.8" x14ac:dyDescent="0.25">
      <c r="A32" s="38">
        <v>951321</v>
      </c>
      <c r="B32" s="38" t="s">
        <v>81</v>
      </c>
      <c r="C32" s="39" t="s">
        <v>59</v>
      </c>
      <c r="D32" s="25" t="s">
        <v>734</v>
      </c>
      <c r="E32" s="40">
        <v>129038</v>
      </c>
      <c r="F32" s="41">
        <v>8.75</v>
      </c>
      <c r="G32" s="42">
        <v>40529</v>
      </c>
      <c r="H32" s="38" t="s">
        <v>82</v>
      </c>
    </row>
    <row r="33" spans="1:8" ht="13.8" x14ac:dyDescent="0.25">
      <c r="A33" s="38">
        <v>311587</v>
      </c>
      <c r="B33" s="38" t="s">
        <v>45</v>
      </c>
      <c r="C33" s="39" t="s">
        <v>61</v>
      </c>
      <c r="D33" s="25" t="s">
        <v>735</v>
      </c>
      <c r="E33" s="40">
        <v>152403</v>
      </c>
      <c r="F33" s="41">
        <v>4</v>
      </c>
      <c r="G33" s="42">
        <v>40529</v>
      </c>
      <c r="H33" s="38" t="s">
        <v>82</v>
      </c>
    </row>
    <row r="34" spans="1:8" ht="13.8" x14ac:dyDescent="0.25">
      <c r="A34" s="38">
        <v>140990</v>
      </c>
      <c r="B34" s="38" t="s">
        <v>83</v>
      </c>
      <c r="C34" s="39" t="s">
        <v>63</v>
      </c>
      <c r="D34" s="25" t="s">
        <v>736</v>
      </c>
      <c r="E34" s="40">
        <v>170899</v>
      </c>
      <c r="F34" s="41">
        <v>2</v>
      </c>
      <c r="G34" s="42">
        <v>40540</v>
      </c>
      <c r="H34" s="38" t="s">
        <v>84</v>
      </c>
    </row>
    <row r="35" spans="1:8" ht="13.8" x14ac:dyDescent="0.25">
      <c r="A35" s="38">
        <v>883669</v>
      </c>
      <c r="B35" s="38" t="s">
        <v>85</v>
      </c>
      <c r="C35" s="39" t="s">
        <v>65</v>
      </c>
      <c r="D35" s="25" t="s">
        <v>726</v>
      </c>
      <c r="E35" s="40">
        <v>140093</v>
      </c>
      <c r="F35" s="41">
        <v>4.75</v>
      </c>
      <c r="G35" s="42">
        <v>40534</v>
      </c>
      <c r="H35" s="38" t="s">
        <v>50</v>
      </c>
    </row>
    <row r="36" spans="1:8" ht="13.8" x14ac:dyDescent="0.25">
      <c r="A36" s="38">
        <v>733760</v>
      </c>
      <c r="B36" s="38" t="s">
        <v>86</v>
      </c>
      <c r="C36" s="39" t="s">
        <v>66</v>
      </c>
      <c r="D36" s="25" t="s">
        <v>726</v>
      </c>
      <c r="E36" s="40">
        <v>68033</v>
      </c>
      <c r="F36" s="41">
        <v>3.5</v>
      </c>
      <c r="G36" s="42">
        <v>40532</v>
      </c>
      <c r="H36" s="38" t="s">
        <v>87</v>
      </c>
    </row>
    <row r="37" spans="1:8" ht="13.8" x14ac:dyDescent="0.25">
      <c r="A37" s="38">
        <v>474941</v>
      </c>
      <c r="B37" s="38" t="s">
        <v>88</v>
      </c>
      <c r="C37" s="39" t="s">
        <v>68</v>
      </c>
      <c r="D37" s="25" t="s">
        <v>735</v>
      </c>
      <c r="E37" s="40">
        <v>87477</v>
      </c>
      <c r="F37" s="41">
        <v>2.5</v>
      </c>
      <c r="G37" s="42">
        <v>40534</v>
      </c>
      <c r="H37" s="38" t="s">
        <v>50</v>
      </c>
    </row>
    <row r="38" spans="1:8" ht="13.8" x14ac:dyDescent="0.25">
      <c r="A38" s="38">
        <v>474941</v>
      </c>
      <c r="B38" s="38" t="s">
        <v>88</v>
      </c>
      <c r="C38" s="39" t="s">
        <v>69</v>
      </c>
      <c r="D38" s="25" t="s">
        <v>735</v>
      </c>
      <c r="E38" s="40">
        <v>87477</v>
      </c>
      <c r="F38" s="41">
        <v>1.5</v>
      </c>
      <c r="G38" s="42">
        <v>40540</v>
      </c>
      <c r="H38" s="38" t="s">
        <v>84</v>
      </c>
    </row>
    <row r="39" spans="1:8" ht="13.8" x14ac:dyDescent="0.25">
      <c r="A39" s="38">
        <v>615307</v>
      </c>
      <c r="B39" s="38" t="s">
        <v>89</v>
      </c>
      <c r="C39" s="39" t="s">
        <v>71</v>
      </c>
      <c r="D39" s="25" t="s">
        <v>735</v>
      </c>
      <c r="E39" s="40">
        <v>267850</v>
      </c>
      <c r="F39" s="41">
        <v>4</v>
      </c>
      <c r="G39" s="42">
        <v>40529</v>
      </c>
      <c r="H39" s="38" t="s">
        <v>82</v>
      </c>
    </row>
    <row r="40" spans="1:8" ht="13.8" x14ac:dyDescent="0.25">
      <c r="A40" s="38">
        <v>144775</v>
      </c>
      <c r="B40" s="38" t="s">
        <v>90</v>
      </c>
      <c r="C40" s="39" t="s">
        <v>73</v>
      </c>
      <c r="D40" s="25" t="s">
        <v>735</v>
      </c>
      <c r="E40" s="40">
        <v>64438</v>
      </c>
      <c r="F40" s="41">
        <v>2</v>
      </c>
      <c r="G40" s="42">
        <v>40540</v>
      </c>
      <c r="H40" s="38" t="s">
        <v>84</v>
      </c>
    </row>
    <row r="41" spans="1:8" ht="13.8" x14ac:dyDescent="0.25">
      <c r="A41" s="38">
        <v>54857</v>
      </c>
      <c r="B41" s="38" t="s">
        <v>91</v>
      </c>
      <c r="C41" s="39" t="s">
        <v>75</v>
      </c>
      <c r="D41" s="25" t="s">
        <v>735</v>
      </c>
      <c r="E41" s="40">
        <v>58889</v>
      </c>
      <c r="F41" s="41">
        <v>1</v>
      </c>
      <c r="G41" s="42">
        <v>40533</v>
      </c>
      <c r="H41" s="38" t="s">
        <v>84</v>
      </c>
    </row>
    <row r="42" spans="1:8" ht="13.8" x14ac:dyDescent="0.25">
      <c r="A42" s="38">
        <v>969490</v>
      </c>
      <c r="B42" s="38" t="s">
        <v>92</v>
      </c>
      <c r="C42" s="39" t="s">
        <v>46</v>
      </c>
      <c r="D42" s="25" t="s">
        <v>735</v>
      </c>
      <c r="E42" s="40">
        <v>207868</v>
      </c>
      <c r="F42" s="41">
        <v>3</v>
      </c>
      <c r="G42" s="42">
        <v>40533</v>
      </c>
      <c r="H42" s="38" t="s">
        <v>84</v>
      </c>
    </row>
    <row r="43" spans="1:8" ht="13.8" x14ac:dyDescent="0.25">
      <c r="A43" s="38">
        <v>969490</v>
      </c>
      <c r="B43" s="38" t="s">
        <v>92</v>
      </c>
      <c r="C43" s="39" t="s">
        <v>49</v>
      </c>
      <c r="D43" s="25" t="s">
        <v>735</v>
      </c>
      <c r="E43" s="40">
        <v>171757</v>
      </c>
      <c r="F43" s="41">
        <v>8</v>
      </c>
      <c r="G43" s="42">
        <v>40534</v>
      </c>
      <c r="H43" s="38" t="s">
        <v>50</v>
      </c>
    </row>
    <row r="44" spans="1:8" ht="13.8" x14ac:dyDescent="0.25">
      <c r="A44" s="38">
        <v>579919</v>
      </c>
      <c r="B44" s="38" t="s">
        <v>93</v>
      </c>
      <c r="C44" s="39" t="s">
        <v>51</v>
      </c>
      <c r="D44" s="25" t="s">
        <v>737</v>
      </c>
      <c r="E44" s="40">
        <v>155455</v>
      </c>
      <c r="F44" s="41">
        <v>2</v>
      </c>
      <c r="G44" s="42">
        <v>40534</v>
      </c>
      <c r="H44" s="38" t="s">
        <v>50</v>
      </c>
    </row>
    <row r="45" spans="1:8" ht="13.8" x14ac:dyDescent="0.25">
      <c r="A45" s="38">
        <v>599675</v>
      </c>
      <c r="B45" s="38" t="s">
        <v>94</v>
      </c>
      <c r="C45" s="39" t="s">
        <v>53</v>
      </c>
      <c r="D45" s="25" t="s">
        <v>738</v>
      </c>
      <c r="E45" s="40">
        <v>166837</v>
      </c>
      <c r="F45" s="41">
        <v>2</v>
      </c>
      <c r="G45" s="42">
        <v>40534</v>
      </c>
      <c r="H45" s="38" t="s">
        <v>50</v>
      </c>
    </row>
    <row r="46" spans="1:8" ht="13.8" x14ac:dyDescent="0.25">
      <c r="A46" s="38">
        <v>625135</v>
      </c>
      <c r="B46" s="38" t="s">
        <v>95</v>
      </c>
      <c r="C46" s="39" t="s">
        <v>55</v>
      </c>
      <c r="D46" s="25" t="s">
        <v>738</v>
      </c>
      <c r="E46" s="40">
        <v>131389</v>
      </c>
      <c r="F46" s="41">
        <v>1</v>
      </c>
      <c r="G46" s="42">
        <v>40540</v>
      </c>
      <c r="H46" s="38" t="s">
        <v>84</v>
      </c>
    </row>
    <row r="47" spans="1:8" ht="13.8" x14ac:dyDescent="0.25">
      <c r="A47" s="38">
        <v>664825</v>
      </c>
      <c r="B47" s="38" t="s">
        <v>96</v>
      </c>
      <c r="C47" s="39" t="s">
        <v>57</v>
      </c>
      <c r="D47" s="25" t="s">
        <v>737</v>
      </c>
      <c r="E47" s="40">
        <v>141279</v>
      </c>
      <c r="F47" s="41">
        <v>8</v>
      </c>
      <c r="G47" s="42">
        <v>40542</v>
      </c>
      <c r="H47" s="38" t="s">
        <v>47</v>
      </c>
    </row>
    <row r="48" spans="1:8" ht="13.8" x14ac:dyDescent="0.25">
      <c r="A48" s="38">
        <v>664825</v>
      </c>
      <c r="B48" s="38" t="s">
        <v>96</v>
      </c>
      <c r="C48" s="39" t="s">
        <v>59</v>
      </c>
      <c r="D48" s="25" t="s">
        <v>737</v>
      </c>
      <c r="E48" s="40">
        <v>129038</v>
      </c>
      <c r="F48" s="41">
        <v>6</v>
      </c>
      <c r="G48" s="42">
        <v>40541</v>
      </c>
      <c r="H48" s="38" t="s">
        <v>50</v>
      </c>
    </row>
    <row r="49" spans="1:8" ht="13.8" x14ac:dyDescent="0.25">
      <c r="A49" s="38">
        <v>459949</v>
      </c>
      <c r="B49" s="38" t="s">
        <v>97</v>
      </c>
      <c r="C49" s="39" t="s">
        <v>61</v>
      </c>
      <c r="D49" s="25" t="s">
        <v>737</v>
      </c>
      <c r="E49" s="40">
        <v>152403</v>
      </c>
      <c r="F49" s="41">
        <v>2</v>
      </c>
      <c r="G49" s="42">
        <v>40529</v>
      </c>
      <c r="H49" s="38" t="s">
        <v>82</v>
      </c>
    </row>
    <row r="50" spans="1:8" ht="13.8" x14ac:dyDescent="0.25">
      <c r="A50" s="38">
        <v>375792</v>
      </c>
      <c r="B50" s="38" t="s">
        <v>98</v>
      </c>
      <c r="C50" s="39" t="s">
        <v>63</v>
      </c>
      <c r="D50" s="25" t="s">
        <v>737</v>
      </c>
      <c r="E50" s="40">
        <v>170899</v>
      </c>
      <c r="F50" s="41">
        <v>4</v>
      </c>
      <c r="G50" s="42">
        <v>40532</v>
      </c>
      <c r="H50" s="38" t="s">
        <v>87</v>
      </c>
    </row>
    <row r="51" spans="1:8" ht="13.8" x14ac:dyDescent="0.25">
      <c r="A51" s="38">
        <v>459949</v>
      </c>
      <c r="B51" s="38" t="s">
        <v>97</v>
      </c>
      <c r="C51" s="39" t="s">
        <v>65</v>
      </c>
      <c r="D51" s="25" t="s">
        <v>739</v>
      </c>
      <c r="E51" s="40">
        <v>140093</v>
      </c>
      <c r="F51" s="41">
        <v>8</v>
      </c>
      <c r="G51" s="42">
        <v>40546</v>
      </c>
      <c r="H51" s="38" t="s">
        <v>87</v>
      </c>
    </row>
    <row r="52" spans="1:8" ht="13.8" x14ac:dyDescent="0.25">
      <c r="A52" s="38">
        <v>459949</v>
      </c>
      <c r="B52" s="38" t="s">
        <v>97</v>
      </c>
      <c r="C52" s="39" t="s">
        <v>66</v>
      </c>
      <c r="D52" s="25" t="s">
        <v>726</v>
      </c>
      <c r="E52" s="40">
        <v>68033</v>
      </c>
      <c r="F52" s="41">
        <v>4</v>
      </c>
      <c r="G52" s="42">
        <v>40547</v>
      </c>
      <c r="H52" s="38" t="s">
        <v>84</v>
      </c>
    </row>
    <row r="53" spans="1:8" ht="13.8" x14ac:dyDescent="0.25">
      <c r="A53" s="38">
        <v>869277</v>
      </c>
      <c r="B53" s="38" t="s">
        <v>99</v>
      </c>
      <c r="C53" s="39" t="s">
        <v>68</v>
      </c>
      <c r="D53" s="25" t="s">
        <v>740</v>
      </c>
      <c r="E53" s="40">
        <v>87477</v>
      </c>
      <c r="F53" s="41">
        <v>8</v>
      </c>
      <c r="G53" s="42">
        <v>40541</v>
      </c>
      <c r="H53" s="38" t="s">
        <v>50</v>
      </c>
    </row>
    <row r="54" spans="1:8" ht="13.8" x14ac:dyDescent="0.25">
      <c r="A54" s="38">
        <v>389844</v>
      </c>
      <c r="B54" s="38" t="s">
        <v>100</v>
      </c>
      <c r="C54" s="39" t="s">
        <v>69</v>
      </c>
      <c r="D54" s="25" t="s">
        <v>741</v>
      </c>
      <c r="E54" s="40">
        <v>87477</v>
      </c>
      <c r="F54" s="41">
        <v>2</v>
      </c>
      <c r="G54" s="42">
        <v>40534</v>
      </c>
      <c r="H54" s="38" t="s">
        <v>50</v>
      </c>
    </row>
    <row r="55" spans="1:8" ht="13.8" x14ac:dyDescent="0.25">
      <c r="A55" s="38">
        <v>389844</v>
      </c>
      <c r="B55" s="38" t="s">
        <v>100</v>
      </c>
      <c r="C55" s="39" t="s">
        <v>71</v>
      </c>
      <c r="D55" s="25" t="s">
        <v>741</v>
      </c>
      <c r="E55" s="40">
        <v>267850</v>
      </c>
      <c r="F55" s="41">
        <v>8</v>
      </c>
      <c r="G55" s="42">
        <v>40535</v>
      </c>
      <c r="H55" s="38" t="s">
        <v>47</v>
      </c>
    </row>
    <row r="56" spans="1:8" ht="13.8" x14ac:dyDescent="0.25">
      <c r="A56" s="38">
        <v>873164</v>
      </c>
      <c r="B56" s="38" t="s">
        <v>101</v>
      </c>
      <c r="C56" s="39" t="s">
        <v>73</v>
      </c>
      <c r="D56" s="25" t="s">
        <v>742</v>
      </c>
      <c r="E56" s="40">
        <v>64438</v>
      </c>
      <c r="F56" s="41">
        <v>3</v>
      </c>
      <c r="G56" s="42">
        <v>40540</v>
      </c>
      <c r="H56" s="38" t="s">
        <v>84</v>
      </c>
    </row>
    <row r="57" spans="1:8" ht="13.8" x14ac:dyDescent="0.25">
      <c r="A57" s="38">
        <v>935382</v>
      </c>
      <c r="B57" s="38" t="s">
        <v>74</v>
      </c>
      <c r="C57" s="39" t="s">
        <v>75</v>
      </c>
      <c r="D57" s="25" t="s">
        <v>743</v>
      </c>
      <c r="E57" s="40">
        <v>58889</v>
      </c>
      <c r="F57" s="41">
        <v>8</v>
      </c>
      <c r="G57" s="42">
        <v>40542</v>
      </c>
      <c r="H57" s="38" t="s">
        <v>47</v>
      </c>
    </row>
    <row r="58" spans="1:8" ht="13.8" x14ac:dyDescent="0.25">
      <c r="A58" s="38">
        <v>935382</v>
      </c>
      <c r="B58" s="38" t="s">
        <v>74</v>
      </c>
      <c r="C58" s="39" t="s">
        <v>46</v>
      </c>
      <c r="D58" s="25" t="s">
        <v>743</v>
      </c>
      <c r="E58" s="40">
        <v>207868</v>
      </c>
      <c r="F58" s="41">
        <v>8</v>
      </c>
      <c r="G58" s="42">
        <v>40541</v>
      </c>
      <c r="H58" s="38" t="s">
        <v>50</v>
      </c>
    </row>
    <row r="59" spans="1:8" ht="13.8" x14ac:dyDescent="0.25">
      <c r="A59" s="38">
        <v>555166</v>
      </c>
      <c r="B59" s="38" t="s">
        <v>102</v>
      </c>
      <c r="C59" s="39" t="s">
        <v>49</v>
      </c>
      <c r="D59" s="25" t="s">
        <v>744</v>
      </c>
      <c r="E59" s="40">
        <v>171757</v>
      </c>
      <c r="F59" s="41">
        <v>8</v>
      </c>
      <c r="G59" s="42">
        <v>40534</v>
      </c>
      <c r="H59" s="38" t="s">
        <v>50</v>
      </c>
    </row>
    <row r="60" spans="1:8" ht="13.8" x14ac:dyDescent="0.25">
      <c r="A60" s="38">
        <v>555166</v>
      </c>
      <c r="B60" s="38" t="s">
        <v>102</v>
      </c>
      <c r="C60" s="39" t="s">
        <v>51</v>
      </c>
      <c r="D60" s="25" t="s">
        <v>744</v>
      </c>
      <c r="E60" s="40">
        <v>155455</v>
      </c>
      <c r="F60" s="41">
        <v>6.25</v>
      </c>
      <c r="G60" s="42">
        <v>40533</v>
      </c>
      <c r="H60" s="38" t="s">
        <v>84</v>
      </c>
    </row>
    <row r="61" spans="1:8" ht="13.8" x14ac:dyDescent="0.25">
      <c r="A61" s="38">
        <v>555166</v>
      </c>
      <c r="B61" s="38" t="s">
        <v>102</v>
      </c>
      <c r="C61" s="39" t="s">
        <v>53</v>
      </c>
      <c r="D61" s="25" t="s">
        <v>744</v>
      </c>
      <c r="E61" s="40">
        <v>166837</v>
      </c>
      <c r="F61" s="41">
        <v>4</v>
      </c>
      <c r="G61" s="42">
        <v>40529</v>
      </c>
      <c r="H61" s="38" t="s">
        <v>82</v>
      </c>
    </row>
    <row r="62" spans="1:8" ht="13.8" x14ac:dyDescent="0.25">
      <c r="A62" s="38">
        <v>503495</v>
      </c>
      <c r="B62" s="38" t="s">
        <v>103</v>
      </c>
      <c r="C62" s="39" t="s">
        <v>55</v>
      </c>
      <c r="D62" s="25" t="s">
        <v>744</v>
      </c>
      <c r="E62" s="40">
        <v>131389</v>
      </c>
      <c r="F62" s="41">
        <v>2</v>
      </c>
      <c r="G62" s="42">
        <v>40532</v>
      </c>
      <c r="H62" s="38" t="s">
        <v>87</v>
      </c>
    </row>
    <row r="63" spans="1:8" ht="13.8" x14ac:dyDescent="0.25">
      <c r="A63" s="38">
        <v>503495</v>
      </c>
      <c r="B63" s="38" t="s">
        <v>103</v>
      </c>
      <c r="C63" s="39" t="s">
        <v>57</v>
      </c>
      <c r="D63" s="25" t="s">
        <v>745</v>
      </c>
      <c r="E63" s="40">
        <v>141279</v>
      </c>
      <c r="F63" s="41">
        <v>8</v>
      </c>
      <c r="G63" s="42">
        <v>40534</v>
      </c>
      <c r="H63" s="38" t="s">
        <v>50</v>
      </c>
    </row>
    <row r="64" spans="1:8" ht="13.8" x14ac:dyDescent="0.25">
      <c r="A64" s="38">
        <v>935382</v>
      </c>
      <c r="B64" s="38" t="s">
        <v>74</v>
      </c>
      <c r="C64" s="39" t="s">
        <v>59</v>
      </c>
      <c r="D64" s="25" t="s">
        <v>745</v>
      </c>
      <c r="E64" s="40">
        <v>129038</v>
      </c>
      <c r="F64" s="41">
        <v>8</v>
      </c>
      <c r="G64" s="42">
        <v>40540</v>
      </c>
      <c r="H64" s="38" t="s">
        <v>84</v>
      </c>
    </row>
    <row r="65" spans="1:8" ht="13.8" x14ac:dyDescent="0.25">
      <c r="A65" s="38">
        <v>35938</v>
      </c>
      <c r="B65" s="38" t="s">
        <v>104</v>
      </c>
      <c r="C65" s="39" t="s">
        <v>61</v>
      </c>
      <c r="D65" s="25" t="s">
        <v>746</v>
      </c>
      <c r="E65" s="40">
        <v>152403</v>
      </c>
      <c r="F65" s="41">
        <v>2</v>
      </c>
      <c r="G65" s="42">
        <v>40529</v>
      </c>
      <c r="H65" s="38" t="s">
        <v>82</v>
      </c>
    </row>
    <row r="66" spans="1:8" ht="13.8" x14ac:dyDescent="0.25">
      <c r="A66" s="38">
        <v>162126</v>
      </c>
      <c r="B66" s="38" t="s">
        <v>105</v>
      </c>
      <c r="C66" s="39" t="s">
        <v>63</v>
      </c>
      <c r="D66" s="25" t="s">
        <v>746</v>
      </c>
      <c r="E66" s="40">
        <v>170899</v>
      </c>
      <c r="F66" s="41">
        <v>3</v>
      </c>
      <c r="G66" s="42">
        <v>40532</v>
      </c>
      <c r="H66" s="38" t="s">
        <v>87</v>
      </c>
    </row>
    <row r="67" spans="1:8" ht="13.8" x14ac:dyDescent="0.25">
      <c r="A67" s="38">
        <v>453743</v>
      </c>
      <c r="B67" s="38" t="s">
        <v>106</v>
      </c>
      <c r="C67" s="39" t="s">
        <v>65</v>
      </c>
      <c r="D67" s="25" t="s">
        <v>746</v>
      </c>
      <c r="E67" s="40">
        <v>140093</v>
      </c>
      <c r="F67" s="41">
        <v>3.25</v>
      </c>
      <c r="G67" s="42">
        <v>40532</v>
      </c>
      <c r="H67" s="38" t="s">
        <v>87</v>
      </c>
    </row>
    <row r="68" spans="1:8" ht="13.8" x14ac:dyDescent="0.25">
      <c r="A68" s="38">
        <v>674630</v>
      </c>
      <c r="B68" s="38" t="s">
        <v>79</v>
      </c>
      <c r="C68" s="39" t="s">
        <v>66</v>
      </c>
      <c r="D68" s="25" t="s">
        <v>746</v>
      </c>
      <c r="E68" s="40">
        <v>68033</v>
      </c>
      <c r="F68" s="41">
        <v>8</v>
      </c>
      <c r="G68" s="42">
        <v>40532</v>
      </c>
      <c r="H68" s="38" t="s">
        <v>87</v>
      </c>
    </row>
    <row r="69" spans="1:8" ht="13.8" x14ac:dyDescent="0.25">
      <c r="A69" s="38">
        <v>422727</v>
      </c>
      <c r="B69" s="38" t="s">
        <v>107</v>
      </c>
      <c r="C69" s="39" t="s">
        <v>68</v>
      </c>
      <c r="D69" s="25" t="s">
        <v>746</v>
      </c>
      <c r="E69" s="40">
        <v>87477</v>
      </c>
      <c r="F69" s="41">
        <v>8</v>
      </c>
      <c r="G69" s="42">
        <v>40533</v>
      </c>
      <c r="H69" s="38" t="s">
        <v>84</v>
      </c>
    </row>
    <row r="70" spans="1:8" ht="13.8" x14ac:dyDescent="0.25">
      <c r="A70" s="38">
        <v>820836</v>
      </c>
      <c r="B70" s="38" t="s">
        <v>108</v>
      </c>
      <c r="C70" s="39" t="s">
        <v>69</v>
      </c>
      <c r="D70" s="25" t="s">
        <v>746</v>
      </c>
      <c r="E70" s="40">
        <v>87477</v>
      </c>
      <c r="F70" s="41">
        <v>4</v>
      </c>
      <c r="G70" s="42">
        <v>40529</v>
      </c>
      <c r="H70" s="38" t="s">
        <v>82</v>
      </c>
    </row>
    <row r="71" spans="1:8" ht="13.8" x14ac:dyDescent="0.25">
      <c r="A71" s="38">
        <v>647912</v>
      </c>
      <c r="B71" s="38" t="s">
        <v>109</v>
      </c>
      <c r="C71" s="39" t="s">
        <v>71</v>
      </c>
      <c r="D71" s="25" t="s">
        <v>746</v>
      </c>
      <c r="E71" s="40">
        <v>267850</v>
      </c>
      <c r="F71" s="41">
        <v>2.5</v>
      </c>
      <c r="G71" s="42">
        <v>40529</v>
      </c>
      <c r="H71" s="38" t="s">
        <v>82</v>
      </c>
    </row>
    <row r="72" spans="1:8" ht="13.8" x14ac:dyDescent="0.25">
      <c r="A72" s="38">
        <v>363618</v>
      </c>
      <c r="B72" s="38" t="s">
        <v>110</v>
      </c>
      <c r="C72" s="39" t="s">
        <v>73</v>
      </c>
      <c r="D72" s="25" t="s">
        <v>726</v>
      </c>
      <c r="E72" s="40">
        <v>64438</v>
      </c>
      <c r="F72" s="41">
        <v>1</v>
      </c>
      <c r="G72" s="42">
        <v>40533</v>
      </c>
      <c r="H72" s="38" t="s">
        <v>84</v>
      </c>
    </row>
    <row r="73" spans="1:8" ht="13.8" x14ac:dyDescent="0.25">
      <c r="A73" s="38">
        <v>309284</v>
      </c>
      <c r="B73" s="38" t="s">
        <v>111</v>
      </c>
      <c r="C73" s="39" t="s">
        <v>75</v>
      </c>
      <c r="D73" s="25" t="s">
        <v>726</v>
      </c>
      <c r="E73" s="40">
        <v>58889</v>
      </c>
      <c r="F73" s="41">
        <v>8</v>
      </c>
      <c r="G73" s="42">
        <v>40532</v>
      </c>
      <c r="H73" s="38" t="s">
        <v>87</v>
      </c>
    </row>
    <row r="74" spans="1:8" ht="13.8" x14ac:dyDescent="0.25">
      <c r="A74" s="38">
        <v>694606</v>
      </c>
      <c r="B74" s="38" t="s">
        <v>112</v>
      </c>
      <c r="C74" s="39" t="s">
        <v>46</v>
      </c>
      <c r="D74" s="25" t="s">
        <v>726</v>
      </c>
      <c r="E74" s="40">
        <v>207868</v>
      </c>
      <c r="F74" s="41">
        <v>7</v>
      </c>
      <c r="G74" s="42">
        <v>40532</v>
      </c>
      <c r="H74" s="38" t="s">
        <v>87</v>
      </c>
    </row>
    <row r="75" spans="1:8" ht="13.8" x14ac:dyDescent="0.25">
      <c r="A75" s="38">
        <v>694606</v>
      </c>
      <c r="B75" s="38" t="s">
        <v>112</v>
      </c>
      <c r="C75" s="39" t="s">
        <v>49</v>
      </c>
      <c r="D75" s="25" t="s">
        <v>726</v>
      </c>
      <c r="E75" s="40">
        <v>171757</v>
      </c>
      <c r="F75" s="41">
        <v>0.5</v>
      </c>
      <c r="G75" s="42">
        <v>40541</v>
      </c>
      <c r="H75" s="38" t="s">
        <v>50</v>
      </c>
    </row>
    <row r="76" spans="1:8" ht="13.8" x14ac:dyDescent="0.25">
      <c r="A76" s="38">
        <v>942722</v>
      </c>
      <c r="B76" s="38" t="s">
        <v>113</v>
      </c>
      <c r="C76" s="39" t="s">
        <v>51</v>
      </c>
      <c r="D76" s="25" t="s">
        <v>747</v>
      </c>
      <c r="E76" s="40">
        <v>155455</v>
      </c>
      <c r="F76" s="41">
        <v>1</v>
      </c>
      <c r="G76" s="42">
        <v>40533</v>
      </c>
      <c r="H76" s="38" t="s">
        <v>84</v>
      </c>
    </row>
    <row r="77" spans="1:8" ht="13.8" x14ac:dyDescent="0.25">
      <c r="A77" s="38">
        <v>689783</v>
      </c>
      <c r="B77" s="38" t="s">
        <v>114</v>
      </c>
      <c r="C77" s="39" t="s">
        <v>53</v>
      </c>
      <c r="D77" s="25" t="s">
        <v>748</v>
      </c>
      <c r="E77" s="40">
        <v>166837</v>
      </c>
      <c r="F77" s="41">
        <v>3</v>
      </c>
      <c r="G77" s="42">
        <v>40541</v>
      </c>
      <c r="H77" s="38" t="s">
        <v>50</v>
      </c>
    </row>
    <row r="78" spans="1:8" ht="13.8" x14ac:dyDescent="0.25">
      <c r="A78" s="38">
        <v>572634</v>
      </c>
      <c r="B78" s="38" t="s">
        <v>115</v>
      </c>
      <c r="C78" s="39" t="s">
        <v>55</v>
      </c>
      <c r="D78" s="25" t="s">
        <v>748</v>
      </c>
      <c r="E78" s="40">
        <v>131389</v>
      </c>
      <c r="F78" s="41">
        <v>8</v>
      </c>
      <c r="G78" s="42">
        <v>40529</v>
      </c>
      <c r="H78" s="38" t="s">
        <v>82</v>
      </c>
    </row>
    <row r="79" spans="1:8" ht="13.8" x14ac:dyDescent="0.25">
      <c r="A79" s="38">
        <v>572634</v>
      </c>
      <c r="B79" s="38" t="s">
        <v>115</v>
      </c>
      <c r="C79" s="39" t="s">
        <v>57</v>
      </c>
      <c r="D79" s="25" t="s">
        <v>749</v>
      </c>
      <c r="E79" s="40">
        <v>141279</v>
      </c>
      <c r="F79" s="41">
        <v>8</v>
      </c>
      <c r="G79" s="42">
        <v>40532</v>
      </c>
      <c r="H79" s="38" t="s">
        <v>87</v>
      </c>
    </row>
    <row r="80" spans="1:8" ht="13.8" x14ac:dyDescent="0.25">
      <c r="A80" s="38">
        <v>572634</v>
      </c>
      <c r="B80" s="38" t="s">
        <v>115</v>
      </c>
      <c r="C80" s="39" t="s">
        <v>59</v>
      </c>
      <c r="D80" s="25" t="s">
        <v>745</v>
      </c>
      <c r="E80" s="40">
        <v>129038</v>
      </c>
      <c r="F80" s="41">
        <v>8</v>
      </c>
      <c r="G80" s="42">
        <v>40533</v>
      </c>
      <c r="H80" s="38" t="s">
        <v>84</v>
      </c>
    </row>
    <row r="81" spans="1:8" ht="13.8" x14ac:dyDescent="0.25">
      <c r="A81" s="38">
        <v>572634</v>
      </c>
      <c r="B81" s="38" t="s">
        <v>115</v>
      </c>
      <c r="C81" s="39" t="s">
        <v>61</v>
      </c>
      <c r="D81" s="25" t="s">
        <v>750</v>
      </c>
      <c r="E81" s="40">
        <v>152403</v>
      </c>
      <c r="F81" s="41">
        <v>8</v>
      </c>
      <c r="G81" s="42">
        <v>40534</v>
      </c>
      <c r="H81" s="38" t="s">
        <v>50</v>
      </c>
    </row>
    <row r="82" spans="1:8" ht="13.8" x14ac:dyDescent="0.25">
      <c r="A82" s="38">
        <v>53568</v>
      </c>
      <c r="B82" s="38" t="s">
        <v>116</v>
      </c>
      <c r="C82" s="39" t="s">
        <v>63</v>
      </c>
      <c r="D82" s="25" t="s">
        <v>751</v>
      </c>
      <c r="E82" s="40">
        <v>170899</v>
      </c>
      <c r="F82" s="41">
        <v>8</v>
      </c>
      <c r="G82" s="42">
        <v>40542</v>
      </c>
      <c r="H82" s="38" t="s">
        <v>47</v>
      </c>
    </row>
    <row r="83" spans="1:8" ht="13.8" x14ac:dyDescent="0.25">
      <c r="A83" s="38">
        <v>341458</v>
      </c>
      <c r="B83" s="38" t="s">
        <v>78</v>
      </c>
      <c r="C83" s="39" t="s">
        <v>65</v>
      </c>
      <c r="D83" s="25" t="s">
        <v>751</v>
      </c>
      <c r="E83" s="40">
        <v>140093</v>
      </c>
      <c r="F83" s="41">
        <v>8</v>
      </c>
      <c r="G83" s="42">
        <v>40542</v>
      </c>
      <c r="H83" s="38" t="s">
        <v>47</v>
      </c>
    </row>
    <row r="84" spans="1:8" ht="13.8" x14ac:dyDescent="0.25">
      <c r="A84" s="38">
        <v>645109</v>
      </c>
      <c r="B84" s="38" t="s">
        <v>48</v>
      </c>
      <c r="C84" s="39" t="s">
        <v>66</v>
      </c>
      <c r="D84" s="25" t="s">
        <v>751</v>
      </c>
      <c r="E84" s="40">
        <v>68033</v>
      </c>
      <c r="F84" s="41">
        <v>4</v>
      </c>
      <c r="G84" s="42">
        <v>40533</v>
      </c>
      <c r="H84" s="38" t="s">
        <v>84</v>
      </c>
    </row>
    <row r="85" spans="1:8" ht="13.8" x14ac:dyDescent="0.25">
      <c r="A85" s="38">
        <v>645109</v>
      </c>
      <c r="B85" s="38" t="s">
        <v>48</v>
      </c>
      <c r="C85" s="39" t="s">
        <v>68</v>
      </c>
      <c r="D85" s="25" t="s">
        <v>737</v>
      </c>
      <c r="E85" s="40">
        <v>87477</v>
      </c>
      <c r="F85" s="41">
        <v>8</v>
      </c>
      <c r="G85" s="42">
        <v>40534</v>
      </c>
      <c r="H85" s="38" t="s">
        <v>50</v>
      </c>
    </row>
    <row r="86" spans="1:8" ht="13.8" x14ac:dyDescent="0.25">
      <c r="A86" s="38">
        <v>645109</v>
      </c>
      <c r="B86" s="38" t="s">
        <v>48</v>
      </c>
      <c r="C86" s="39" t="s">
        <v>69</v>
      </c>
      <c r="D86" s="25" t="s">
        <v>737</v>
      </c>
      <c r="E86" s="40">
        <v>87477</v>
      </c>
      <c r="F86" s="41">
        <v>8</v>
      </c>
      <c r="G86" s="42">
        <v>40535</v>
      </c>
      <c r="H86" s="38" t="s">
        <v>47</v>
      </c>
    </row>
    <row r="87" spans="1:8" ht="13.8" x14ac:dyDescent="0.25">
      <c r="A87" s="38">
        <v>309793</v>
      </c>
      <c r="B87" s="38" t="s">
        <v>117</v>
      </c>
      <c r="C87" s="39" t="s">
        <v>71</v>
      </c>
      <c r="D87" s="25" t="s">
        <v>737</v>
      </c>
      <c r="E87" s="40">
        <v>267850</v>
      </c>
      <c r="F87" s="41">
        <v>2</v>
      </c>
      <c r="G87" s="42">
        <v>40534</v>
      </c>
      <c r="H87" s="38" t="s">
        <v>50</v>
      </c>
    </row>
    <row r="88" spans="1:8" ht="13.8" x14ac:dyDescent="0.25">
      <c r="A88" s="38">
        <v>689074</v>
      </c>
      <c r="B88" s="38" t="s">
        <v>118</v>
      </c>
      <c r="C88" s="39" t="s">
        <v>73</v>
      </c>
      <c r="D88" s="25" t="s">
        <v>737</v>
      </c>
      <c r="E88" s="40">
        <v>64438</v>
      </c>
      <c r="F88" s="41">
        <v>8</v>
      </c>
      <c r="G88" s="42">
        <v>40540</v>
      </c>
      <c r="H88" s="38" t="s">
        <v>84</v>
      </c>
    </row>
    <row r="89" spans="1:8" ht="13.8" x14ac:dyDescent="0.25">
      <c r="A89" s="38">
        <v>689074</v>
      </c>
      <c r="B89" s="38" t="s">
        <v>118</v>
      </c>
      <c r="C89" s="39" t="s">
        <v>75</v>
      </c>
      <c r="D89" s="25" t="s">
        <v>752</v>
      </c>
      <c r="E89" s="40">
        <v>58889</v>
      </c>
      <c r="F89" s="41">
        <v>8</v>
      </c>
      <c r="G89" s="42">
        <v>40541</v>
      </c>
      <c r="H89" s="38" t="s">
        <v>50</v>
      </c>
    </row>
    <row r="90" spans="1:8" ht="13.8" x14ac:dyDescent="0.25">
      <c r="A90" s="38">
        <v>689074</v>
      </c>
      <c r="B90" s="38" t="s">
        <v>118</v>
      </c>
      <c r="C90" s="39" t="s">
        <v>46</v>
      </c>
      <c r="D90" s="25" t="s">
        <v>752</v>
      </c>
      <c r="E90" s="40">
        <v>207868</v>
      </c>
      <c r="F90" s="41">
        <v>8</v>
      </c>
      <c r="G90" s="42">
        <v>40542</v>
      </c>
      <c r="H90" s="38" t="s">
        <v>47</v>
      </c>
    </row>
    <row r="91" spans="1:8" ht="13.8" x14ac:dyDescent="0.25">
      <c r="A91" s="38">
        <v>609303</v>
      </c>
      <c r="B91" s="38" t="s">
        <v>119</v>
      </c>
      <c r="C91" s="39" t="s">
        <v>49</v>
      </c>
      <c r="D91" s="25" t="s">
        <v>733</v>
      </c>
      <c r="E91" s="40">
        <v>171757</v>
      </c>
      <c r="F91" s="41">
        <v>8</v>
      </c>
      <c r="G91" s="42">
        <v>40540</v>
      </c>
      <c r="H91" s="38" t="s">
        <v>84</v>
      </c>
    </row>
    <row r="92" spans="1:8" ht="13.8" x14ac:dyDescent="0.25">
      <c r="A92" s="38">
        <v>185450</v>
      </c>
      <c r="B92" s="38" t="s">
        <v>120</v>
      </c>
      <c r="C92" s="39" t="s">
        <v>51</v>
      </c>
      <c r="D92" s="25" t="s">
        <v>749</v>
      </c>
      <c r="E92" s="40">
        <v>155455</v>
      </c>
      <c r="F92" s="41">
        <v>4</v>
      </c>
      <c r="G92" s="42">
        <v>40533</v>
      </c>
      <c r="H92" s="38" t="s">
        <v>84</v>
      </c>
    </row>
    <row r="93" spans="1:8" ht="13.8" x14ac:dyDescent="0.25">
      <c r="A93" s="38">
        <v>525099</v>
      </c>
      <c r="B93" s="38" t="s">
        <v>121</v>
      </c>
      <c r="C93" s="39" t="s">
        <v>53</v>
      </c>
      <c r="D93" s="25" t="s">
        <v>745</v>
      </c>
      <c r="E93" s="40">
        <v>166837</v>
      </c>
      <c r="F93" s="41">
        <v>8</v>
      </c>
      <c r="G93" s="42">
        <v>40532</v>
      </c>
      <c r="H93" s="38" t="s">
        <v>87</v>
      </c>
    </row>
    <row r="94" spans="1:8" ht="13.8" x14ac:dyDescent="0.25">
      <c r="A94" s="38">
        <v>217327</v>
      </c>
      <c r="B94" s="38" t="s">
        <v>122</v>
      </c>
      <c r="C94" s="39" t="s">
        <v>55</v>
      </c>
      <c r="D94" s="25" t="s">
        <v>750</v>
      </c>
      <c r="E94" s="40">
        <v>131389</v>
      </c>
      <c r="F94" s="41">
        <v>8</v>
      </c>
      <c r="G94" s="42">
        <v>40529</v>
      </c>
      <c r="H94" s="38" t="s">
        <v>82</v>
      </c>
    </row>
    <row r="95" spans="1:8" ht="13.8" x14ac:dyDescent="0.25">
      <c r="A95" s="38">
        <v>585545</v>
      </c>
      <c r="B95" s="38" t="s">
        <v>123</v>
      </c>
      <c r="C95" s="39" t="s">
        <v>57</v>
      </c>
      <c r="D95" s="25" t="s">
        <v>751</v>
      </c>
      <c r="E95" s="40">
        <v>141279</v>
      </c>
      <c r="F95" s="41">
        <v>8</v>
      </c>
      <c r="G95" s="42">
        <v>40540</v>
      </c>
      <c r="H95" s="38" t="s">
        <v>84</v>
      </c>
    </row>
  </sheetData>
  <autoFilter ref="A9:H95" xr:uid="{00000000-0001-0000-0E00-000000000000}"/>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F827-D281-4B7A-9254-C5687770BD04}">
  <dimension ref="B3:K38"/>
  <sheetViews>
    <sheetView workbookViewId="0"/>
  </sheetViews>
  <sheetFormatPr defaultRowHeight="13.2" x14ac:dyDescent="0.25"/>
  <cols>
    <col min="2" max="2" width="16.88671875" customWidth="1"/>
    <col min="3" max="3" width="14.33203125" bestFit="1" customWidth="1"/>
    <col min="4" max="4" width="19.109375" bestFit="1" customWidth="1"/>
    <col min="5" max="5" width="9.77734375" bestFit="1" customWidth="1"/>
    <col min="7" max="7" width="10" bestFit="1" customWidth="1"/>
    <col min="8" max="8" width="11.21875" bestFit="1" customWidth="1"/>
    <col min="9" max="9" width="13.88671875" bestFit="1" customWidth="1"/>
    <col min="10" max="10" width="22.44140625" bestFit="1" customWidth="1"/>
    <col min="11" max="11" width="13.88671875" bestFit="1" customWidth="1"/>
  </cols>
  <sheetData>
    <row r="3" spans="2:11" x14ac:dyDescent="0.25">
      <c r="B3" t="s">
        <v>986</v>
      </c>
      <c r="J3" s="152" t="s">
        <v>987</v>
      </c>
    </row>
    <row r="4" spans="2:11" x14ac:dyDescent="0.25">
      <c r="J4" t="s">
        <v>988</v>
      </c>
    </row>
    <row r="5" spans="2:11" ht="15.6" x14ac:dyDescent="0.3">
      <c r="E5" s="74"/>
    </row>
    <row r="7" spans="2:11" x14ac:dyDescent="0.25">
      <c r="B7" t="s">
        <v>753</v>
      </c>
    </row>
    <row r="8" spans="2:11" x14ac:dyDescent="0.25">
      <c r="B8" t="s">
        <v>727</v>
      </c>
    </row>
    <row r="10" spans="2:11" ht="15.6" x14ac:dyDescent="0.3">
      <c r="B10" s="154" t="s">
        <v>38</v>
      </c>
      <c r="C10" s="74" t="s">
        <v>39</v>
      </c>
      <c r="D10" s="74" t="s">
        <v>40</v>
      </c>
      <c r="E10" s="74" t="s">
        <v>753</v>
      </c>
      <c r="F10" s="74" t="s">
        <v>41</v>
      </c>
      <c r="G10" s="154" t="s">
        <v>42</v>
      </c>
      <c r="H10" s="154" t="s">
        <v>43</v>
      </c>
      <c r="I10" s="154" t="s">
        <v>44</v>
      </c>
      <c r="K10" t="str" cm="1">
        <f t="array" ref="K10:K38">_xlfn.UNIQUE(Filter!D9:D95,FALSE,FALSE)</f>
        <v>City</v>
      </c>
    </row>
    <row r="11" spans="2:11" x14ac:dyDescent="0.25">
      <c r="B11" cm="1">
        <f t="array" ref="B11:I12">_xlfn._xlws.FILTER(Filter!A9:H95, Filter!D9:D95 = 'Advanced Filter'!B8)</f>
        <v>835119</v>
      </c>
      <c r="C11" t="str">
        <v>Williams,Joshua</v>
      </c>
      <c r="D11" t="str">
        <v>Bajaj Pulsar 220 F</v>
      </c>
      <c r="E11" t="str">
        <v>Fort Lauderdale</v>
      </c>
      <c r="F11">
        <v>166837</v>
      </c>
      <c r="G11">
        <v>5</v>
      </c>
      <c r="H11">
        <v>40527</v>
      </c>
      <c r="I11" t="str">
        <v>WEDNESDAY</v>
      </c>
      <c r="K11" t="str">
        <v>Henderson</v>
      </c>
    </row>
    <row r="12" spans="2:11" x14ac:dyDescent="0.25">
      <c r="B12">
        <v>921565</v>
      </c>
      <c r="C12" t="str">
        <v>Jones,Matthew</v>
      </c>
      <c r="D12" t="str">
        <v>Bajaj Pulsar 150</v>
      </c>
      <c r="E12" t="str">
        <v>Fort Lauderdale</v>
      </c>
      <c r="F12">
        <v>131389</v>
      </c>
      <c r="G12">
        <v>8</v>
      </c>
      <c r="H12">
        <v>40528</v>
      </c>
      <c r="I12" t="str">
        <v>THURSDAY</v>
      </c>
      <c r="K12" t="str">
        <v>Los Angeles</v>
      </c>
    </row>
    <row r="13" spans="2:11" x14ac:dyDescent="0.25">
      <c r="K13" t="str">
        <v>Fort Lauderdale</v>
      </c>
    </row>
    <row r="14" spans="2:11" x14ac:dyDescent="0.25">
      <c r="K14" t="str">
        <v>Concord</v>
      </c>
    </row>
    <row r="15" spans="2:11" x14ac:dyDescent="0.25">
      <c r="K15" t="str">
        <v>Seattle</v>
      </c>
    </row>
    <row r="16" spans="2:11" x14ac:dyDescent="0.25">
      <c r="K16" t="str">
        <v>Fort Worth</v>
      </c>
    </row>
    <row r="17" spans="11:11" x14ac:dyDescent="0.25">
      <c r="K17" t="str">
        <v>Madison</v>
      </c>
    </row>
    <row r="18" spans="11:11" x14ac:dyDescent="0.25">
      <c r="K18" t="str">
        <v>West Jordan</v>
      </c>
    </row>
    <row r="19" spans="11:11" x14ac:dyDescent="0.25">
      <c r="K19" t="str">
        <v>San Francisco</v>
      </c>
    </row>
    <row r="20" spans="11:11" x14ac:dyDescent="0.25">
      <c r="K20" t="str">
        <v>Fremont</v>
      </c>
    </row>
    <row r="21" spans="11:11" x14ac:dyDescent="0.25">
      <c r="K21" t="str">
        <v>Philadelphia</v>
      </c>
    </row>
    <row r="22" spans="11:11" x14ac:dyDescent="0.25">
      <c r="K22" t="str">
        <v>Orem</v>
      </c>
    </row>
    <row r="23" spans="11:11" x14ac:dyDescent="0.25">
      <c r="K23" t="str">
        <v>Houston</v>
      </c>
    </row>
    <row r="24" spans="11:11" x14ac:dyDescent="0.25">
      <c r="K24" t="str">
        <v>Richardson</v>
      </c>
    </row>
    <row r="25" spans="11:11" x14ac:dyDescent="0.25">
      <c r="K25" t="str">
        <v>Naperville</v>
      </c>
    </row>
    <row r="26" spans="11:11" x14ac:dyDescent="0.25">
      <c r="K26" t="str">
        <v>Melbourne</v>
      </c>
    </row>
    <row r="27" spans="11:11" x14ac:dyDescent="0.25">
      <c r="K27" t="str">
        <v>Eagan</v>
      </c>
    </row>
    <row r="28" spans="11:11" x14ac:dyDescent="0.25">
      <c r="K28" t="str">
        <v>Westland</v>
      </c>
    </row>
    <row r="29" spans="11:11" x14ac:dyDescent="0.25">
      <c r="K29" t="str">
        <v>Dover</v>
      </c>
    </row>
    <row r="30" spans="11:11" x14ac:dyDescent="0.25">
      <c r="K30" t="str">
        <v>New Albany</v>
      </c>
    </row>
    <row r="31" spans="11:11" x14ac:dyDescent="0.25">
      <c r="K31" t="str">
        <v>New York City</v>
      </c>
    </row>
    <row r="32" spans="11:11" x14ac:dyDescent="0.25">
      <c r="K32" t="str">
        <v>Troy</v>
      </c>
    </row>
    <row r="33" spans="11:11" x14ac:dyDescent="0.25">
      <c r="K33" t="str">
        <v>Chicago</v>
      </c>
    </row>
    <row r="34" spans="11:11" x14ac:dyDescent="0.25">
      <c r="K34" t="str">
        <v>Gilbert</v>
      </c>
    </row>
    <row r="35" spans="11:11" x14ac:dyDescent="0.25">
      <c r="K35" t="str">
        <v>Springfield</v>
      </c>
    </row>
    <row r="36" spans="11:11" x14ac:dyDescent="0.25">
      <c r="K36" t="str">
        <v>Jackson</v>
      </c>
    </row>
    <row r="37" spans="11:11" x14ac:dyDescent="0.25">
      <c r="K37" t="str">
        <v>Memphis</v>
      </c>
    </row>
    <row r="38" spans="11:11" x14ac:dyDescent="0.25">
      <c r="K38" t="str">
        <v>Decatur</v>
      </c>
    </row>
  </sheetData>
  <dataValidations count="1">
    <dataValidation type="list" allowBlank="1" showInputMessage="1" showErrorMessage="1" sqref="B8" xr:uid="{00BDA787-B975-47BE-8CD2-E3A5D58B03F5}">
      <formula1>$K$11:$K$38</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J26"/>
  <sheetViews>
    <sheetView showGridLines="0" topLeftCell="A4" zoomScale="90" zoomScaleNormal="90" workbookViewId="0">
      <selection activeCell="C33" sqref="C33"/>
    </sheetView>
  </sheetViews>
  <sheetFormatPr defaultRowHeight="13.2" x14ac:dyDescent="0.25"/>
  <cols>
    <col min="2" max="2" width="16.88671875" customWidth="1"/>
    <col min="3" max="3" width="65.33203125" customWidth="1"/>
    <col min="4" max="4" width="14.109375" customWidth="1"/>
    <col min="5" max="5" width="14.33203125" customWidth="1"/>
    <col min="6" max="6" width="10.6640625" bestFit="1" customWidth="1"/>
    <col min="7" max="7" width="14.5546875" bestFit="1" customWidth="1"/>
    <col min="9" max="9" width="14.6640625" bestFit="1" customWidth="1"/>
    <col min="10" max="10" width="11.33203125" bestFit="1" customWidth="1"/>
  </cols>
  <sheetData>
    <row r="2" spans="1:10" ht="23.4" thickBot="1" x14ac:dyDescent="0.45">
      <c r="A2" s="13" t="s">
        <v>792</v>
      </c>
      <c r="B2" s="2"/>
      <c r="C2" s="2"/>
      <c r="D2" s="2"/>
      <c r="E2" s="2"/>
      <c r="F2" s="2"/>
      <c r="G2" s="2"/>
      <c r="H2" s="2"/>
      <c r="I2" s="2"/>
    </row>
    <row r="4" spans="1:10" ht="22.8" x14ac:dyDescent="0.4">
      <c r="A4" s="19" t="s">
        <v>214</v>
      </c>
    </row>
    <row r="6" spans="1:10" ht="15.6" x14ac:dyDescent="0.3">
      <c r="B6" s="76" t="s">
        <v>186</v>
      </c>
      <c r="C6" s="76" t="s">
        <v>187</v>
      </c>
      <c r="D6" s="77" t="s">
        <v>188</v>
      </c>
      <c r="E6" s="78" t="s">
        <v>189</v>
      </c>
      <c r="F6" s="78" t="s">
        <v>190</v>
      </c>
      <c r="G6" s="78" t="s">
        <v>191</v>
      </c>
      <c r="I6" s="25" t="s">
        <v>980</v>
      </c>
      <c r="J6" s="25" t="s">
        <v>981</v>
      </c>
    </row>
    <row r="7" spans="1:10" ht="15" x14ac:dyDescent="0.25">
      <c r="B7" s="128">
        <v>45048</v>
      </c>
      <c r="C7" s="79" t="s">
        <v>199</v>
      </c>
      <c r="D7" s="80" t="s">
        <v>195</v>
      </c>
      <c r="E7" s="81">
        <v>6100</v>
      </c>
      <c r="F7" s="81">
        <v>544</v>
      </c>
      <c r="G7" s="82">
        <f t="shared" ref="G7:G26" si="0">F7/E7</f>
        <v>8.9180327868852466E-2</v>
      </c>
      <c r="I7" s="25" t="s">
        <v>982</v>
      </c>
      <c r="J7" s="25" t="s">
        <v>983</v>
      </c>
    </row>
    <row r="8" spans="1:10" ht="15" x14ac:dyDescent="0.25">
      <c r="B8" s="128">
        <v>45078</v>
      </c>
      <c r="C8" s="79" t="s">
        <v>213</v>
      </c>
      <c r="D8" s="80" t="s">
        <v>193</v>
      </c>
      <c r="E8" s="81">
        <v>7320</v>
      </c>
      <c r="F8" s="81">
        <v>933</v>
      </c>
      <c r="G8" s="82">
        <f t="shared" si="0"/>
        <v>0.12745901639344262</v>
      </c>
    </row>
    <row r="9" spans="1:10" ht="15" x14ac:dyDescent="0.25">
      <c r="B9" s="128">
        <v>45047</v>
      </c>
      <c r="C9" s="79" t="s">
        <v>192</v>
      </c>
      <c r="D9" s="80" t="s">
        <v>193</v>
      </c>
      <c r="E9" s="81">
        <v>4500</v>
      </c>
      <c r="F9" s="81">
        <v>598</v>
      </c>
      <c r="G9" s="82">
        <f t="shared" si="0"/>
        <v>0.13288888888888889</v>
      </c>
    </row>
    <row r="10" spans="1:10" ht="15" x14ac:dyDescent="0.25">
      <c r="B10" s="128">
        <v>45077</v>
      </c>
      <c r="C10" s="79" t="s">
        <v>200</v>
      </c>
      <c r="D10" s="80" t="s">
        <v>193</v>
      </c>
      <c r="E10" s="81">
        <v>4625</v>
      </c>
      <c r="F10" s="81">
        <v>670</v>
      </c>
      <c r="G10" s="82">
        <f t="shared" si="0"/>
        <v>0.14486486486486486</v>
      </c>
    </row>
    <row r="11" spans="1:10" ht="15" x14ac:dyDescent="0.25">
      <c r="B11" s="128">
        <v>45077</v>
      </c>
      <c r="C11" s="79" t="s">
        <v>207</v>
      </c>
      <c r="D11" s="80" t="s">
        <v>193</v>
      </c>
      <c r="E11" s="81">
        <v>6000</v>
      </c>
      <c r="F11" s="81">
        <v>998</v>
      </c>
      <c r="G11" s="82">
        <f t="shared" si="0"/>
        <v>0.16633333333333333</v>
      </c>
    </row>
    <row r="12" spans="1:10" ht="15" x14ac:dyDescent="0.25">
      <c r="B12" s="128">
        <v>44809</v>
      </c>
      <c r="C12" s="79" t="s">
        <v>207</v>
      </c>
      <c r="D12" s="80" t="s">
        <v>193</v>
      </c>
      <c r="E12" s="81">
        <v>6000</v>
      </c>
      <c r="F12" s="81">
        <v>998</v>
      </c>
      <c r="G12" s="82">
        <f t="shared" si="0"/>
        <v>0.16633333333333333</v>
      </c>
    </row>
    <row r="13" spans="1:10" ht="15" x14ac:dyDescent="0.25">
      <c r="B13" s="128">
        <v>45078</v>
      </c>
      <c r="C13" s="79" t="s">
        <v>212</v>
      </c>
      <c r="D13" s="80" t="s">
        <v>193</v>
      </c>
      <c r="E13" s="81">
        <v>4750</v>
      </c>
      <c r="F13" s="81">
        <v>810</v>
      </c>
      <c r="G13" s="82">
        <f t="shared" si="0"/>
        <v>0.17052631578947369</v>
      </c>
    </row>
    <row r="14" spans="1:10" ht="15" x14ac:dyDescent="0.25">
      <c r="B14" s="128">
        <v>45112</v>
      </c>
      <c r="C14" s="79" t="s">
        <v>208</v>
      </c>
      <c r="D14" s="80" t="s">
        <v>205</v>
      </c>
      <c r="E14" s="81">
        <v>4500</v>
      </c>
      <c r="F14" s="81">
        <v>780</v>
      </c>
      <c r="G14" s="82">
        <f t="shared" si="0"/>
        <v>0.17333333333333334</v>
      </c>
    </row>
    <row r="15" spans="1:10" ht="15" x14ac:dyDescent="0.25">
      <c r="B15" s="128">
        <v>44849</v>
      </c>
      <c r="C15" s="79" t="s">
        <v>208</v>
      </c>
      <c r="D15" s="80" t="s">
        <v>205</v>
      </c>
      <c r="E15" s="81">
        <v>4500</v>
      </c>
      <c r="F15" s="81">
        <v>780</v>
      </c>
      <c r="G15" s="82">
        <f t="shared" si="0"/>
        <v>0.17333333333333334</v>
      </c>
    </row>
    <row r="16" spans="1:10" ht="15" x14ac:dyDescent="0.25">
      <c r="B16" s="128">
        <v>45078</v>
      </c>
      <c r="C16" s="79" t="s">
        <v>198</v>
      </c>
      <c r="D16" s="80" t="s">
        <v>195</v>
      </c>
      <c r="E16" s="81">
        <v>3712.5</v>
      </c>
      <c r="F16" s="81">
        <v>684</v>
      </c>
      <c r="G16" s="82">
        <f t="shared" si="0"/>
        <v>0.18424242424242424</v>
      </c>
    </row>
    <row r="17" spans="2:7" ht="15" x14ac:dyDescent="0.25">
      <c r="B17" s="128">
        <v>45076</v>
      </c>
      <c r="C17" s="79" t="s">
        <v>197</v>
      </c>
      <c r="D17" s="80" t="s">
        <v>195</v>
      </c>
      <c r="E17" s="81">
        <v>3712.5</v>
      </c>
      <c r="F17" s="81">
        <v>779</v>
      </c>
      <c r="G17" s="82">
        <f t="shared" si="0"/>
        <v>0.20983164983164984</v>
      </c>
    </row>
    <row r="18" spans="2:7" ht="15" x14ac:dyDescent="0.25">
      <c r="B18" s="128">
        <v>45150</v>
      </c>
      <c r="C18" s="79" t="s">
        <v>211</v>
      </c>
      <c r="D18" s="80" t="s">
        <v>193</v>
      </c>
      <c r="E18" s="81">
        <v>4950</v>
      </c>
      <c r="F18" s="81">
        <v>1065</v>
      </c>
      <c r="G18" s="82">
        <f t="shared" si="0"/>
        <v>0.21515151515151515</v>
      </c>
    </row>
    <row r="19" spans="2:7" ht="15" x14ac:dyDescent="0.25">
      <c r="B19" s="128">
        <v>45078</v>
      </c>
      <c r="C19" s="79" t="s">
        <v>209</v>
      </c>
      <c r="D19" s="80" t="s">
        <v>203</v>
      </c>
      <c r="E19" s="81">
        <v>4500</v>
      </c>
      <c r="F19" s="81">
        <v>1044</v>
      </c>
      <c r="G19" s="82">
        <f t="shared" si="0"/>
        <v>0.23200000000000001</v>
      </c>
    </row>
    <row r="20" spans="2:7" ht="15" x14ac:dyDescent="0.25">
      <c r="B20" s="128">
        <v>45108</v>
      </c>
      <c r="C20" s="79" t="s">
        <v>204</v>
      </c>
      <c r="D20" s="80" t="s">
        <v>205</v>
      </c>
      <c r="E20" s="81">
        <v>5100</v>
      </c>
      <c r="F20" s="81">
        <v>1220</v>
      </c>
      <c r="G20" s="82">
        <f t="shared" si="0"/>
        <v>0.23921568627450981</v>
      </c>
    </row>
    <row r="21" spans="2:7" ht="15" x14ac:dyDescent="0.25">
      <c r="B21" s="128">
        <v>45148</v>
      </c>
      <c r="C21" s="79" t="s">
        <v>210</v>
      </c>
      <c r="D21" s="80" t="s">
        <v>193</v>
      </c>
      <c r="E21" s="81">
        <v>4500</v>
      </c>
      <c r="F21" s="81">
        <v>1222</v>
      </c>
      <c r="G21" s="82">
        <f t="shared" si="0"/>
        <v>0.27155555555555555</v>
      </c>
    </row>
    <row r="22" spans="2:7" ht="15" x14ac:dyDescent="0.25">
      <c r="B22" s="128">
        <v>45078</v>
      </c>
      <c r="C22" s="79" t="s">
        <v>196</v>
      </c>
      <c r="D22" s="80" t="s">
        <v>195</v>
      </c>
      <c r="E22" s="81">
        <v>3712.5</v>
      </c>
      <c r="F22" s="81">
        <v>1009</v>
      </c>
      <c r="G22" s="82">
        <f t="shared" si="0"/>
        <v>0.2717845117845118</v>
      </c>
    </row>
    <row r="23" spans="2:7" ht="15" x14ac:dyDescent="0.25">
      <c r="B23" s="128">
        <v>45077</v>
      </c>
      <c r="C23" s="79" t="s">
        <v>194</v>
      </c>
      <c r="D23" s="80" t="s">
        <v>195</v>
      </c>
      <c r="E23" s="81">
        <v>3800</v>
      </c>
      <c r="F23" s="81">
        <v>1045</v>
      </c>
      <c r="G23" s="82">
        <f t="shared" si="0"/>
        <v>0.27500000000000002</v>
      </c>
    </row>
    <row r="24" spans="2:7" ht="15" x14ac:dyDescent="0.25">
      <c r="B24" s="128">
        <v>45051</v>
      </c>
      <c r="C24" s="79" t="s">
        <v>206</v>
      </c>
      <c r="D24" s="80" t="s">
        <v>205</v>
      </c>
      <c r="E24" s="81">
        <v>4750</v>
      </c>
      <c r="F24" s="81">
        <v>1435</v>
      </c>
      <c r="G24" s="82">
        <f t="shared" si="0"/>
        <v>0.30210526315789471</v>
      </c>
    </row>
    <row r="25" spans="2:7" ht="15" x14ac:dyDescent="0.25">
      <c r="B25" s="128">
        <v>45053</v>
      </c>
      <c r="C25" s="79" t="s">
        <v>202</v>
      </c>
      <c r="D25" s="80" t="s">
        <v>203</v>
      </c>
      <c r="E25" s="81">
        <v>3600</v>
      </c>
      <c r="F25" s="81">
        <v>1564</v>
      </c>
      <c r="G25" s="82">
        <f t="shared" si="0"/>
        <v>0.43444444444444447</v>
      </c>
    </row>
    <row r="26" spans="2:7" ht="15" x14ac:dyDescent="0.25">
      <c r="B26" s="128">
        <v>45077</v>
      </c>
      <c r="C26" s="79" t="s">
        <v>201</v>
      </c>
      <c r="D26" s="80" t="s">
        <v>193</v>
      </c>
      <c r="E26" s="81">
        <v>3800</v>
      </c>
      <c r="F26" s="81">
        <v>2045</v>
      </c>
      <c r="G26" s="82">
        <f t="shared" si="0"/>
        <v>0.53815789473684206</v>
      </c>
    </row>
  </sheetData>
  <sortState xmlns:xlrd2="http://schemas.microsoft.com/office/spreadsheetml/2017/richdata2" ref="B7:G26">
    <sortCondition ref="G26"/>
  </sortState>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J26"/>
  <sheetViews>
    <sheetView showGridLines="0" workbookViewId="0">
      <selection activeCell="C7" sqref="C7"/>
    </sheetView>
  </sheetViews>
  <sheetFormatPr defaultRowHeight="13.2" x14ac:dyDescent="0.25"/>
  <cols>
    <col min="2" max="2" width="11.88671875" customWidth="1"/>
    <col min="3" max="3" width="24.88671875" customWidth="1"/>
    <col min="4" max="4" width="20.33203125" customWidth="1"/>
    <col min="5" max="6" width="18.88671875" customWidth="1"/>
    <col min="7" max="7" width="19.33203125" customWidth="1"/>
    <col min="8" max="8" width="15.88671875" customWidth="1"/>
    <col min="10" max="10" width="18.5546875" bestFit="1" customWidth="1"/>
  </cols>
  <sheetData>
    <row r="2" spans="1:10" ht="23.4" thickBot="1" x14ac:dyDescent="0.45">
      <c r="A2" s="13" t="s">
        <v>793</v>
      </c>
      <c r="B2" s="2"/>
      <c r="C2" s="2"/>
      <c r="D2" s="153"/>
      <c r="E2" s="2"/>
      <c r="F2" s="2"/>
      <c r="G2" s="2"/>
      <c r="H2" s="2"/>
      <c r="I2" s="2"/>
    </row>
    <row r="4" spans="1:10" ht="18" thickBot="1" x14ac:dyDescent="0.35">
      <c r="B4" s="85" t="s">
        <v>244</v>
      </c>
      <c r="D4" s="153" t="s">
        <v>993</v>
      </c>
    </row>
    <row r="5" spans="1:10" ht="15.6" x14ac:dyDescent="0.3">
      <c r="G5" s="197" t="s">
        <v>248</v>
      </c>
      <c r="H5" s="197"/>
    </row>
    <row r="6" spans="1:10" ht="20.100000000000001" customHeight="1" x14ac:dyDescent="0.3">
      <c r="B6" s="87" t="s">
        <v>127</v>
      </c>
      <c r="C6" s="86" t="s">
        <v>126</v>
      </c>
      <c r="D6" s="86" t="s">
        <v>245</v>
      </c>
      <c r="E6" s="87" t="s">
        <v>246</v>
      </c>
      <c r="F6" s="87" t="s">
        <v>247</v>
      </c>
      <c r="G6" s="87" t="s">
        <v>249</v>
      </c>
      <c r="H6" s="87" t="s">
        <v>250</v>
      </c>
      <c r="J6" s="88" t="s">
        <v>259</v>
      </c>
    </row>
    <row r="7" spans="1:10" ht="13.8" x14ac:dyDescent="0.25">
      <c r="B7" s="21">
        <v>100</v>
      </c>
      <c r="C7" s="39" t="s">
        <v>820</v>
      </c>
      <c r="D7" s="39" t="s">
        <v>255</v>
      </c>
      <c r="E7" s="21">
        <v>10000</v>
      </c>
      <c r="F7" s="89">
        <v>45047</v>
      </c>
      <c r="G7" s="90">
        <v>0.41666666666666669</v>
      </c>
      <c r="H7" s="90">
        <v>0.375</v>
      </c>
      <c r="J7" t="s">
        <v>258</v>
      </c>
    </row>
    <row r="8" spans="1:10" ht="13.8" x14ac:dyDescent="0.25">
      <c r="B8" s="21">
        <v>322</v>
      </c>
      <c r="C8" s="39" t="s">
        <v>1019</v>
      </c>
      <c r="D8" s="39" t="s">
        <v>257</v>
      </c>
      <c r="E8" s="21">
        <v>30000</v>
      </c>
      <c r="F8" s="21"/>
      <c r="G8" s="21"/>
      <c r="H8" s="21"/>
      <c r="J8" t="s">
        <v>10</v>
      </c>
    </row>
    <row r="9" spans="1:10" ht="13.8" x14ac:dyDescent="0.25">
      <c r="B9" s="21"/>
      <c r="C9" s="39"/>
      <c r="D9" s="39"/>
      <c r="E9" s="21"/>
      <c r="F9" s="21"/>
      <c r="G9" s="21"/>
      <c r="H9" s="21"/>
      <c r="J9" t="s">
        <v>251</v>
      </c>
    </row>
    <row r="10" spans="1:10" ht="13.8" x14ac:dyDescent="0.25">
      <c r="B10" s="21"/>
      <c r="C10" s="39"/>
      <c r="D10" s="39"/>
      <c r="E10" s="21"/>
      <c r="F10" s="21"/>
      <c r="G10" s="21"/>
      <c r="H10" s="21"/>
      <c r="J10" t="s">
        <v>6</v>
      </c>
    </row>
    <row r="11" spans="1:10" ht="13.8" x14ac:dyDescent="0.25">
      <c r="B11" s="21"/>
      <c r="C11" s="39"/>
      <c r="D11" s="39"/>
      <c r="E11" s="21"/>
      <c r="F11" s="21"/>
      <c r="G11" s="21"/>
      <c r="H11" s="21"/>
      <c r="J11" t="s">
        <v>13</v>
      </c>
    </row>
    <row r="12" spans="1:10" ht="13.8" x14ac:dyDescent="0.25">
      <c r="B12" s="21"/>
      <c r="C12" s="39"/>
      <c r="D12" s="39"/>
      <c r="E12" s="21"/>
      <c r="F12" s="21"/>
      <c r="G12" s="21"/>
      <c r="H12" s="21"/>
      <c r="J12" t="s">
        <v>252</v>
      </c>
    </row>
    <row r="13" spans="1:10" ht="13.8" x14ac:dyDescent="0.25">
      <c r="B13" s="21"/>
      <c r="C13" s="39"/>
      <c r="D13" s="39"/>
      <c r="E13" s="21"/>
      <c r="F13" s="21"/>
      <c r="G13" s="21"/>
      <c r="H13" s="21"/>
      <c r="J13" t="s">
        <v>253</v>
      </c>
    </row>
    <row r="14" spans="1:10" ht="13.8" x14ac:dyDescent="0.25">
      <c r="B14" s="21"/>
      <c r="C14" s="39"/>
      <c r="D14" s="39"/>
      <c r="E14" s="21"/>
      <c r="F14" s="21"/>
      <c r="G14" s="21"/>
      <c r="H14" s="21"/>
      <c r="J14" t="s">
        <v>254</v>
      </c>
    </row>
    <row r="15" spans="1:10" ht="13.8" x14ac:dyDescent="0.25">
      <c r="B15" s="21"/>
      <c r="C15" s="39"/>
      <c r="D15" s="39"/>
      <c r="E15" s="21"/>
      <c r="F15" s="21"/>
      <c r="G15" s="21"/>
      <c r="H15" s="21"/>
      <c r="J15" t="s">
        <v>255</v>
      </c>
    </row>
    <row r="16" spans="1:10" ht="13.8" x14ac:dyDescent="0.25">
      <c r="B16" s="21"/>
      <c r="C16" s="39"/>
      <c r="D16" s="39"/>
      <c r="E16" s="21"/>
      <c r="F16" s="21"/>
      <c r="G16" s="21"/>
      <c r="H16" s="21"/>
      <c r="J16" t="s">
        <v>256</v>
      </c>
    </row>
    <row r="17" spans="2:10" ht="13.8" x14ac:dyDescent="0.25">
      <c r="B17" s="21"/>
      <c r="C17" s="39"/>
      <c r="D17" s="39"/>
      <c r="E17" s="21"/>
      <c r="F17" s="21"/>
      <c r="G17" s="21"/>
      <c r="H17" s="21"/>
      <c r="J17" t="s">
        <v>257</v>
      </c>
    </row>
    <row r="18" spans="2:10" ht="13.8" x14ac:dyDescent="0.25">
      <c r="B18" s="21"/>
      <c r="C18" s="39"/>
      <c r="D18" s="39"/>
      <c r="E18" s="21"/>
      <c r="F18" s="21"/>
      <c r="G18" s="21"/>
      <c r="H18" s="21"/>
    </row>
    <row r="19" spans="2:10" ht="13.8" x14ac:dyDescent="0.25">
      <c r="B19" s="21"/>
      <c r="C19" s="39"/>
      <c r="D19" s="39"/>
      <c r="E19" s="21"/>
      <c r="F19" s="21"/>
      <c r="G19" s="21"/>
      <c r="H19" s="21"/>
    </row>
    <row r="20" spans="2:10" ht="13.8" x14ac:dyDescent="0.25">
      <c r="B20" s="21"/>
      <c r="C20" s="39"/>
      <c r="D20" s="39"/>
      <c r="E20" s="21"/>
      <c r="F20" s="21"/>
      <c r="G20" s="21"/>
      <c r="H20" s="21"/>
    </row>
    <row r="21" spans="2:10" ht="13.8" x14ac:dyDescent="0.25">
      <c r="B21" s="21"/>
      <c r="C21" s="39"/>
      <c r="D21" s="39"/>
      <c r="E21" s="21"/>
      <c r="F21" s="21"/>
      <c r="G21" s="21"/>
      <c r="H21" s="21"/>
    </row>
    <row r="26" spans="2:10" x14ac:dyDescent="0.25">
      <c r="J26" s="135"/>
    </row>
  </sheetData>
  <mergeCells count="1">
    <mergeCell ref="G5:H5"/>
  </mergeCells>
  <dataValidations count="9">
    <dataValidation type="date" allowBlank="1" showInputMessage="1" showErrorMessage="1" errorTitle="Invalid Date" error="Fiscal Year Date Range Between 1-04-2023 - 31-03-2024" promptTitle="Fiscal Year Date Range" prompt="Between 1-04-2023 - 31-03-2024" sqref="F7" xr:uid="{00000000-0002-0000-1000-000000000000}">
      <formula1>45383</formula1>
      <formula2>45747</formula2>
    </dataValidation>
    <dataValidation type="time" allowBlank="1" showInputMessage="1" showErrorMessage="1" errorTitle="Log Out Time in 24 hrs format" error="hh:mm - 17:00 - 17:15" promptTitle="24 hrs format range" prompt="17:00 - 17:15" sqref="H7" xr:uid="{00000000-0002-0000-1000-000001000000}">
      <formula1>0.708333333333333</formula1>
      <formula2>0.71875</formula2>
    </dataValidation>
    <dataValidation type="list" allowBlank="1" showInputMessage="1" showErrorMessage="1" errorTitle="Invalid Data" error="Select from Drop Down List" promptTitle="Use Drop Down" prompt="to select Emp Department" sqref="D7" xr:uid="{00000000-0002-0000-1000-000002000000}">
      <formula1>$J$7:$J$17</formula1>
    </dataValidation>
    <dataValidation type="textLength" errorStyle="information" allowBlank="1" showInputMessage="1" showErrorMessage="1" errorTitle="Invalid Range" error="Please Enter MAximum 15 Character" promptTitle="Maximum 15 Character allowed" prompt="Kindli Enter Max 15 Characters" sqref="C7:C21" xr:uid="{00000000-0002-0000-1000-000003000000}">
      <formula1>1</formula1>
      <formula2>15</formula2>
    </dataValidation>
    <dataValidation type="decimal" errorStyle="warning" allowBlank="1" showInputMessage="1" showErrorMessage="1" errorTitle="Invalide Salary Range " promptTitle="Minmum Salary 12000" prompt="Please Enter salary  Start from 12000" sqref="E7" xr:uid="{00000000-0002-0000-1000-000004000000}">
      <formula1>12000</formula1>
      <formula2>1000000</formula2>
    </dataValidation>
    <dataValidation type="time" errorStyle="warning" allowBlank="1" showInputMessage="1" showErrorMessage="1" errorTitle="Login Time in 24 hrs Format" error="Enter with hh:mm- 09:00 - 17:00" promptTitle="24hrs format range" prompt="To Enter time follow format hh:mm - 09:00 - 17:00" sqref="G7" xr:uid="{00000000-0002-0000-1000-000005000000}">
      <formula1>0.375</formula1>
      <formula2>0.708333333333333</formula2>
    </dataValidation>
    <dataValidation type="whole" errorStyle="information" allowBlank="1" showInputMessage="1" showErrorMessage="1" errorTitle="You have Entered Invalid EMP ID" error="Reminder: VALID Range of Emp ID  is Between 1 to 500" promptTitle="Enter Valid EMP ID" prompt="Valid Emp Id Range is Between 1 - 500" sqref="B7 B9:B21 B8" xr:uid="{7BA80049-725C-4157-801D-F237EAE66B3F}">
      <formula1>1</formula1>
      <formula2>500</formula2>
    </dataValidation>
    <dataValidation type="list" allowBlank="1" showInputMessage="1" showErrorMessage="1" sqref="D8" xr:uid="{45500B7B-097D-44ED-B008-387BC2FB422B}">
      <formula1>$J$7:$J$17</formula1>
    </dataValidation>
    <dataValidation type="decimal" errorStyle="information" allowBlank="1" showInputMessage="1" showErrorMessage="1" promptTitle="Employee Salary" prompt="Salary should be between 12k to 1000k" sqref="E8" xr:uid="{8D4292DA-A97E-49EF-8707-E0E5128B94B5}">
      <formula1>12000</formula1>
      <formula2>1000000</formula2>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P276"/>
  <sheetViews>
    <sheetView showGridLines="0" topLeftCell="C44" zoomScale="130" zoomScaleNormal="130" workbookViewId="0">
      <selection activeCell="C73" sqref="C73"/>
    </sheetView>
  </sheetViews>
  <sheetFormatPr defaultRowHeight="13.2" x14ac:dyDescent="0.25"/>
  <cols>
    <col min="2" max="2" width="25.44140625" bestFit="1" customWidth="1"/>
    <col min="3" max="3" width="9.5546875" customWidth="1"/>
    <col min="4" max="4" width="26.109375" bestFit="1" customWidth="1"/>
    <col min="5" max="5" width="12.33203125" customWidth="1"/>
    <col min="6" max="6" width="26.44140625" bestFit="1" customWidth="1"/>
    <col min="7" max="7" width="12.6640625" customWidth="1"/>
    <col min="8" max="8" width="18.6640625" bestFit="1" customWidth="1"/>
    <col min="11" max="11" width="19.88671875" customWidth="1"/>
    <col min="12" max="12" width="10.33203125" bestFit="1" customWidth="1"/>
    <col min="14" max="14" width="18" bestFit="1" customWidth="1"/>
    <col min="15" max="15" width="21.88671875" bestFit="1" customWidth="1"/>
  </cols>
  <sheetData>
    <row r="2" spans="1:16" ht="23.4" thickBot="1" x14ac:dyDescent="0.45">
      <c r="A2" s="13" t="s">
        <v>794</v>
      </c>
      <c r="B2" s="2"/>
      <c r="C2" s="2"/>
      <c r="D2" s="2"/>
      <c r="E2" s="2"/>
      <c r="F2" s="2"/>
      <c r="G2" s="2"/>
      <c r="H2" s="2"/>
    </row>
    <row r="4" spans="1:16" ht="17.399999999999999" x14ac:dyDescent="0.3">
      <c r="B4" s="50" t="s">
        <v>146</v>
      </c>
      <c r="D4" s="50" t="s">
        <v>147</v>
      </c>
      <c r="F4" s="130"/>
    </row>
    <row r="5" spans="1:16" x14ac:dyDescent="0.25">
      <c r="B5" s="49">
        <f ca="1">TODAY()</f>
        <v>46240</v>
      </c>
      <c r="D5" s="49"/>
      <c r="F5" s="130"/>
    </row>
    <row r="6" spans="1:16" x14ac:dyDescent="0.25">
      <c r="B6" s="130"/>
      <c r="D6" s="130">
        <f ca="1">TODAY()</f>
        <v>46240</v>
      </c>
      <c r="F6" s="130"/>
    </row>
    <row r="8" spans="1:16" ht="22.8" x14ac:dyDescent="0.4">
      <c r="B8" s="15" t="s">
        <v>138</v>
      </c>
      <c r="E8" s="130">
        <f ca="1">TODAY()</f>
        <v>46240</v>
      </c>
      <c r="J8" s="48" t="s">
        <v>139</v>
      </c>
    </row>
    <row r="11" spans="1:16" ht="15.6" x14ac:dyDescent="0.3">
      <c r="B11" s="26" t="s">
        <v>135</v>
      </c>
      <c r="C11" s="26"/>
      <c r="D11" s="26" t="s">
        <v>821</v>
      </c>
      <c r="E11" s="26"/>
      <c r="F11" s="26" t="s">
        <v>822</v>
      </c>
      <c r="G11" s="26"/>
      <c r="H11" s="26" t="s">
        <v>823</v>
      </c>
      <c r="J11" s="26" t="s">
        <v>127</v>
      </c>
      <c r="K11" s="26" t="s">
        <v>126</v>
      </c>
      <c r="L11" s="35" t="s">
        <v>128</v>
      </c>
      <c r="M11" s="35" t="s">
        <v>134</v>
      </c>
      <c r="N11" s="26" t="s">
        <v>130</v>
      </c>
      <c r="O11" s="26" t="s">
        <v>129</v>
      </c>
      <c r="P11" s="5"/>
    </row>
    <row r="12" spans="1:16" ht="13.8" x14ac:dyDescent="0.25">
      <c r="B12" s="37">
        <v>29435</v>
      </c>
      <c r="C12" s="25"/>
      <c r="D12" s="131">
        <v>29435</v>
      </c>
      <c r="E12" s="25"/>
      <c r="F12" s="44">
        <v>29435</v>
      </c>
      <c r="G12" s="25"/>
      <c r="H12" s="45">
        <v>29435</v>
      </c>
      <c r="J12" s="38">
        <v>311587</v>
      </c>
      <c r="K12" s="36" t="s">
        <v>97</v>
      </c>
      <c r="L12" s="47">
        <v>29435</v>
      </c>
      <c r="M12" s="20">
        <f ca="1">DATEDIF(L12,TODAY(),"Y")</f>
        <v>46</v>
      </c>
      <c r="N12" s="47">
        <v>40308</v>
      </c>
      <c r="O12" s="47">
        <f>EDATE(L12,12*65)</f>
        <v>53176</v>
      </c>
      <c r="P12" s="4"/>
    </row>
    <row r="13" spans="1:16" ht="13.8" x14ac:dyDescent="0.25">
      <c r="B13" s="37">
        <v>31784</v>
      </c>
      <c r="C13" s="25"/>
      <c r="D13" s="131">
        <v>31784</v>
      </c>
      <c r="E13" s="25"/>
      <c r="F13" s="44">
        <v>31784</v>
      </c>
      <c r="G13" s="25"/>
      <c r="H13" s="45">
        <v>31784</v>
      </c>
      <c r="J13" s="38">
        <v>645109</v>
      </c>
      <c r="K13" s="36" t="s">
        <v>131</v>
      </c>
      <c r="L13" s="47">
        <v>31784</v>
      </c>
      <c r="M13" s="20">
        <f t="shared" ref="M13:M19" ca="1" si="0">DATEDIF(L13,TODAY(),"Y")</f>
        <v>39</v>
      </c>
      <c r="N13" s="47">
        <v>42275</v>
      </c>
      <c r="O13" s="47">
        <f>EDATE(L13,12*65)</f>
        <v>55525</v>
      </c>
      <c r="P13" s="4"/>
    </row>
    <row r="14" spans="1:16" ht="13.8" x14ac:dyDescent="0.25">
      <c r="B14" s="37">
        <v>34133</v>
      </c>
      <c r="C14" s="25"/>
      <c r="D14" s="131">
        <v>34133</v>
      </c>
      <c r="E14" s="25"/>
      <c r="F14" s="44">
        <v>34133</v>
      </c>
      <c r="G14" s="25"/>
      <c r="H14" s="45">
        <v>34133</v>
      </c>
      <c r="J14" s="38">
        <v>645109</v>
      </c>
      <c r="K14" s="36" t="s">
        <v>132</v>
      </c>
      <c r="L14" s="47">
        <v>34133</v>
      </c>
      <c r="M14" s="20">
        <f t="shared" ca="1" si="0"/>
        <v>33</v>
      </c>
      <c r="N14" s="47">
        <v>44242</v>
      </c>
      <c r="O14" s="47"/>
      <c r="P14" s="4"/>
    </row>
    <row r="15" spans="1:16" ht="13.8" x14ac:dyDescent="0.25">
      <c r="B15" s="37">
        <v>28447</v>
      </c>
      <c r="C15" s="25"/>
      <c r="D15" s="131">
        <v>28447</v>
      </c>
      <c r="E15" s="25"/>
      <c r="F15" s="44">
        <v>28447</v>
      </c>
      <c r="G15" s="25"/>
      <c r="H15" s="45">
        <v>28447</v>
      </c>
      <c r="J15" s="38">
        <v>835119</v>
      </c>
      <c r="K15" s="36" t="s">
        <v>133</v>
      </c>
      <c r="L15" s="47">
        <v>28447</v>
      </c>
      <c r="M15" s="20">
        <f t="shared" ca="1" si="0"/>
        <v>48</v>
      </c>
      <c r="N15" s="47">
        <v>41096</v>
      </c>
      <c r="O15" s="47"/>
      <c r="P15" s="4"/>
    </row>
    <row r="16" spans="1:16" ht="13.8" x14ac:dyDescent="0.25">
      <c r="B16" s="37">
        <v>28969</v>
      </c>
      <c r="C16" s="25"/>
      <c r="D16" s="131">
        <v>28969</v>
      </c>
      <c r="E16" s="25"/>
      <c r="F16" s="44">
        <v>28969</v>
      </c>
      <c r="G16" s="25"/>
      <c r="H16" s="45">
        <v>28969</v>
      </c>
      <c r="J16" s="38">
        <v>921565</v>
      </c>
      <c r="K16" s="36" t="s">
        <v>77</v>
      </c>
      <c r="L16" s="47">
        <v>28969</v>
      </c>
      <c r="M16" s="20">
        <f t="shared" ca="1" si="0"/>
        <v>47</v>
      </c>
      <c r="N16" s="47">
        <v>36854</v>
      </c>
      <c r="O16" s="47"/>
      <c r="P16" s="4"/>
    </row>
    <row r="17" spans="2:16" ht="13.8" x14ac:dyDescent="0.25">
      <c r="B17" s="37">
        <v>30222</v>
      </c>
      <c r="C17" s="25"/>
      <c r="D17" s="131">
        <v>30222</v>
      </c>
      <c r="E17" s="25"/>
      <c r="F17" s="44">
        <v>30222</v>
      </c>
      <c r="G17" s="25"/>
      <c r="H17" s="45">
        <v>30222</v>
      </c>
      <c r="J17" s="38">
        <v>904174</v>
      </c>
      <c r="K17" s="36" t="s">
        <v>83</v>
      </c>
      <c r="L17" s="47">
        <v>30222</v>
      </c>
      <c r="M17" s="20">
        <f t="shared" ca="1" si="0"/>
        <v>43</v>
      </c>
      <c r="N17" s="47">
        <v>43934</v>
      </c>
      <c r="O17" s="47"/>
      <c r="P17" s="4"/>
    </row>
    <row r="18" spans="2:16" ht="13.8" x14ac:dyDescent="0.25">
      <c r="B18" s="37">
        <v>36401</v>
      </c>
      <c r="C18" s="25"/>
      <c r="D18" s="131" t="s">
        <v>1020</v>
      </c>
      <c r="E18" s="25"/>
      <c r="F18" s="44"/>
      <c r="G18" s="25"/>
      <c r="H18" s="45"/>
      <c r="J18" s="38"/>
      <c r="K18" s="36"/>
      <c r="L18" s="47"/>
      <c r="M18" s="20"/>
      <c r="N18" s="47"/>
      <c r="O18" s="47"/>
      <c r="P18" s="4"/>
    </row>
    <row r="19" spans="2:16" ht="13.8" x14ac:dyDescent="0.25">
      <c r="B19" s="37">
        <v>32572</v>
      </c>
      <c r="C19" s="25"/>
      <c r="D19" s="131">
        <v>32572</v>
      </c>
      <c r="E19" s="25"/>
      <c r="F19" s="44">
        <v>32572</v>
      </c>
      <c r="G19" s="25"/>
      <c r="H19" s="45">
        <v>32572</v>
      </c>
      <c r="J19" s="38">
        <v>108501</v>
      </c>
      <c r="K19" s="36" t="s">
        <v>132</v>
      </c>
      <c r="L19" s="47">
        <v>32572</v>
      </c>
      <c r="M19" s="20">
        <f t="shared" ca="1" si="0"/>
        <v>37</v>
      </c>
      <c r="N19" s="47">
        <v>45170</v>
      </c>
      <c r="O19" s="47"/>
      <c r="P19" s="4"/>
    </row>
    <row r="20" spans="2:16" x14ac:dyDescent="0.25">
      <c r="L20" s="130"/>
      <c r="M20" s="161"/>
      <c r="O20" s="162"/>
    </row>
    <row r="22" spans="2:16" ht="18" x14ac:dyDescent="0.35">
      <c r="B22" s="96" t="s">
        <v>719</v>
      </c>
      <c r="O22" s="43"/>
    </row>
    <row r="23" spans="2:16" x14ac:dyDescent="0.25">
      <c r="B23" t="s">
        <v>716</v>
      </c>
      <c r="O23" s="43"/>
    </row>
    <row r="24" spans="2:16" x14ac:dyDescent="0.25">
      <c r="B24" t="s">
        <v>717</v>
      </c>
      <c r="O24" s="43"/>
    </row>
    <row r="25" spans="2:16" x14ac:dyDescent="0.25">
      <c r="B25" t="s">
        <v>718</v>
      </c>
      <c r="O25" s="43"/>
    </row>
    <row r="26" spans="2:16" x14ac:dyDescent="0.25">
      <c r="O26" s="43"/>
    </row>
    <row r="27" spans="2:16" x14ac:dyDescent="0.25">
      <c r="O27" s="43"/>
    </row>
    <row r="28" spans="2:16" ht="17.399999999999999" x14ac:dyDescent="0.3">
      <c r="B28" s="48" t="s">
        <v>136</v>
      </c>
    </row>
    <row r="29" spans="2:16" ht="17.399999999999999" x14ac:dyDescent="0.3">
      <c r="G29" s="100" t="s">
        <v>723</v>
      </c>
    </row>
    <row r="30" spans="2:16" ht="18" x14ac:dyDescent="0.35">
      <c r="B30" s="35" t="s">
        <v>137</v>
      </c>
      <c r="C30" s="46" t="s">
        <v>134</v>
      </c>
      <c r="E30" s="99" t="s">
        <v>720</v>
      </c>
      <c r="F30" s="99" t="s">
        <v>721</v>
      </c>
      <c r="G30" s="99" t="s">
        <v>722</v>
      </c>
    </row>
    <row r="31" spans="2:16" x14ac:dyDescent="0.25">
      <c r="B31" s="47">
        <v>29435</v>
      </c>
      <c r="C31" s="20">
        <f ca="1">DATEDIF(B31,TODAY(),"Y")</f>
        <v>46</v>
      </c>
      <c r="E31" s="37">
        <v>45550</v>
      </c>
      <c r="F31" s="47">
        <v>45560</v>
      </c>
      <c r="G31" s="20">
        <f>F31-E31</f>
        <v>10</v>
      </c>
    </row>
    <row r="32" spans="2:16" x14ac:dyDescent="0.25">
      <c r="B32" s="47">
        <v>31784</v>
      </c>
      <c r="C32" s="20">
        <f t="shared" ref="C32:C37" ca="1" si="1">DATEDIF(B32,TODAY(),"Y")</f>
        <v>39</v>
      </c>
    </row>
    <row r="33" spans="2:4" x14ac:dyDescent="0.25">
      <c r="B33" s="47">
        <v>34133</v>
      </c>
      <c r="C33" s="20">
        <f t="shared" ca="1" si="1"/>
        <v>33</v>
      </c>
    </row>
    <row r="34" spans="2:4" x14ac:dyDescent="0.25">
      <c r="B34" s="47">
        <v>28447</v>
      </c>
      <c r="C34" s="20">
        <f t="shared" ca="1" si="1"/>
        <v>48</v>
      </c>
    </row>
    <row r="35" spans="2:4" x14ac:dyDescent="0.25">
      <c r="B35" s="47">
        <v>28969</v>
      </c>
      <c r="C35" s="20">
        <f t="shared" ca="1" si="1"/>
        <v>47</v>
      </c>
    </row>
    <row r="36" spans="2:4" x14ac:dyDescent="0.25">
      <c r="B36" s="47">
        <v>30222</v>
      </c>
      <c r="C36" s="20">
        <f t="shared" ca="1" si="1"/>
        <v>43</v>
      </c>
    </row>
    <row r="37" spans="2:4" x14ac:dyDescent="0.25">
      <c r="B37" s="47">
        <v>32572</v>
      </c>
      <c r="C37" s="20">
        <f t="shared" ca="1" si="1"/>
        <v>37</v>
      </c>
    </row>
    <row r="40" spans="2:4" ht="18" x14ac:dyDescent="0.25">
      <c r="B40" s="95" t="s">
        <v>701</v>
      </c>
    </row>
    <row r="42" spans="2:4" x14ac:dyDescent="0.25">
      <c r="B42" t="s">
        <v>702</v>
      </c>
    </row>
    <row r="43" spans="2:4" x14ac:dyDescent="0.25">
      <c r="B43" t="s">
        <v>703</v>
      </c>
    </row>
    <row r="45" spans="2:4" x14ac:dyDescent="0.25">
      <c r="B45" s="4"/>
      <c r="C45" s="4"/>
      <c r="D45" s="4"/>
    </row>
    <row r="46" spans="2:4" ht="18" x14ac:dyDescent="0.35">
      <c r="B46" s="96" t="s">
        <v>711</v>
      </c>
    </row>
    <row r="47" spans="2:4" ht="18" x14ac:dyDescent="0.35">
      <c r="B47" s="96" t="s">
        <v>712</v>
      </c>
    </row>
    <row r="49" spans="2:5" ht="14.4" x14ac:dyDescent="0.3">
      <c r="B49" s="97" t="s">
        <v>713</v>
      </c>
    </row>
    <row r="50" spans="2:5" x14ac:dyDescent="0.25">
      <c r="B50" s="98">
        <f ca="1">TODAY()</f>
        <v>46240</v>
      </c>
    </row>
    <row r="52" spans="2:5" x14ac:dyDescent="0.25">
      <c r="B52" t="s">
        <v>707</v>
      </c>
    </row>
    <row r="53" spans="2:5" x14ac:dyDescent="0.25">
      <c r="B53" t="s">
        <v>714</v>
      </c>
    </row>
    <row r="55" spans="2:5" x14ac:dyDescent="0.25">
      <c r="B55" s="4" t="s">
        <v>216</v>
      </c>
      <c r="C55" s="4" t="s">
        <v>217</v>
      </c>
      <c r="D55" s="4" t="s">
        <v>218</v>
      </c>
      <c r="E55" s="4" t="s">
        <v>715</v>
      </c>
    </row>
    <row r="56" spans="2:5" x14ac:dyDescent="0.25">
      <c r="B56" s="20">
        <f ca="1">DAY(B50)</f>
        <v>6</v>
      </c>
      <c r="C56" s="20">
        <f ca="1">MONTH(B50)</f>
        <v>8</v>
      </c>
      <c r="D56" s="20">
        <f ca="1">YEAR(B50)</f>
        <v>2026</v>
      </c>
      <c r="E56" s="20">
        <f ca="1">WEEKDAY(B50,2)</f>
        <v>4</v>
      </c>
    </row>
    <row r="58" spans="2:5" ht="18" x14ac:dyDescent="0.35">
      <c r="B58" s="96" t="s">
        <v>704</v>
      </c>
    </row>
    <row r="59" spans="2:5" ht="18" x14ac:dyDescent="0.35">
      <c r="B59" s="96" t="s">
        <v>705</v>
      </c>
    </row>
    <row r="60" spans="2:5" ht="18" x14ac:dyDescent="0.35">
      <c r="B60" s="96"/>
    </row>
    <row r="61" spans="2:5" ht="14.4" x14ac:dyDescent="0.3">
      <c r="B61" s="97" t="s">
        <v>706</v>
      </c>
    </row>
    <row r="62" spans="2:5" ht="14.4" x14ac:dyDescent="0.3">
      <c r="B62" s="102">
        <f ca="1">NOW()</f>
        <v>46240.386813773148</v>
      </c>
      <c r="D62" s="132">
        <f ca="1">NOW()</f>
        <v>46240.386813773148</v>
      </c>
    </row>
    <row r="64" spans="2:5" x14ac:dyDescent="0.25">
      <c r="B64" t="s">
        <v>707</v>
      </c>
    </row>
    <row r="65" spans="2:4" x14ac:dyDescent="0.25">
      <c r="B65" s="4" t="s">
        <v>708</v>
      </c>
      <c r="C65" s="4" t="s">
        <v>709</v>
      </c>
      <c r="D65" s="4" t="s">
        <v>710</v>
      </c>
    </row>
    <row r="66" spans="2:4" x14ac:dyDescent="0.25">
      <c r="B66" s="20">
        <f ca="1">MINUTE(B62)</f>
        <v>17</v>
      </c>
      <c r="C66" s="20">
        <f ca="1">HOUR(B62)</f>
        <v>9</v>
      </c>
      <c r="D66" s="20">
        <f ca="1">SECOND(B62)</f>
        <v>1</v>
      </c>
    </row>
    <row r="69" spans="2:4" x14ac:dyDescent="0.25">
      <c r="B69" t="s">
        <v>806</v>
      </c>
    </row>
    <row r="70" spans="2:4" x14ac:dyDescent="0.25">
      <c r="B70" s="130">
        <v>45474</v>
      </c>
      <c r="D70" t="s">
        <v>807</v>
      </c>
    </row>
    <row r="71" spans="2:4" x14ac:dyDescent="0.25">
      <c r="B71" s="130"/>
    </row>
    <row r="72" spans="2:4" x14ac:dyDescent="0.25">
      <c r="B72" s="130"/>
    </row>
    <row r="73" spans="2:4" x14ac:dyDescent="0.25">
      <c r="B73" s="130"/>
    </row>
    <row r="74" spans="2:4" x14ac:dyDescent="0.25">
      <c r="B74" s="130"/>
    </row>
    <row r="75" spans="2:4" x14ac:dyDescent="0.25">
      <c r="B75" s="130"/>
    </row>
    <row r="76" spans="2:4" x14ac:dyDescent="0.25">
      <c r="B76" s="130"/>
    </row>
    <row r="77" spans="2:4" x14ac:dyDescent="0.25">
      <c r="B77" s="130"/>
    </row>
    <row r="78" spans="2:4" x14ac:dyDescent="0.25">
      <c r="B78" s="130"/>
    </row>
    <row r="79" spans="2:4" x14ac:dyDescent="0.25">
      <c r="B79" s="130"/>
    </row>
    <row r="80" spans="2:4" x14ac:dyDescent="0.25">
      <c r="B80" s="130"/>
    </row>
    <row r="81" spans="2:2" x14ac:dyDescent="0.25">
      <c r="B81" s="130"/>
    </row>
    <row r="82" spans="2:2" x14ac:dyDescent="0.25">
      <c r="B82" s="130"/>
    </row>
    <row r="83" spans="2:2" x14ac:dyDescent="0.25">
      <c r="B83" s="130"/>
    </row>
    <row r="84" spans="2:2" x14ac:dyDescent="0.25">
      <c r="B84" s="130"/>
    </row>
    <row r="85" spans="2:2" x14ac:dyDescent="0.25">
      <c r="B85" s="130"/>
    </row>
    <row r="86" spans="2:2" x14ac:dyDescent="0.25">
      <c r="B86" s="130"/>
    </row>
    <row r="87" spans="2:2" x14ac:dyDescent="0.25">
      <c r="B87" s="130"/>
    </row>
    <row r="88" spans="2:2" x14ac:dyDescent="0.25">
      <c r="B88" s="130"/>
    </row>
    <row r="89" spans="2:2" x14ac:dyDescent="0.25">
      <c r="B89" s="130"/>
    </row>
    <row r="90" spans="2:2" x14ac:dyDescent="0.25">
      <c r="B90" s="130"/>
    </row>
    <row r="91" spans="2:2" x14ac:dyDescent="0.25">
      <c r="B91" s="130"/>
    </row>
    <row r="92" spans="2:2" x14ac:dyDescent="0.25">
      <c r="B92" s="130"/>
    </row>
    <row r="93" spans="2:2" x14ac:dyDescent="0.25">
      <c r="B93" s="130"/>
    </row>
    <row r="94" spans="2:2" x14ac:dyDescent="0.25">
      <c r="B94" s="130"/>
    </row>
    <row r="95" spans="2:2" x14ac:dyDescent="0.25">
      <c r="B95" s="130"/>
    </row>
    <row r="96" spans="2:2" x14ac:dyDescent="0.25">
      <c r="B96" s="130"/>
    </row>
    <row r="97" spans="2:2" x14ac:dyDescent="0.25">
      <c r="B97" s="130"/>
    </row>
    <row r="98" spans="2:2" x14ac:dyDescent="0.25">
      <c r="B98" s="130"/>
    </row>
    <row r="99" spans="2:2" x14ac:dyDescent="0.25">
      <c r="B99" s="130"/>
    </row>
    <row r="100" spans="2:2" x14ac:dyDescent="0.25">
      <c r="B100" s="130"/>
    </row>
    <row r="101" spans="2:2" x14ac:dyDescent="0.25">
      <c r="B101" s="130"/>
    </row>
    <row r="102" spans="2:2" x14ac:dyDescent="0.25">
      <c r="B102" s="130"/>
    </row>
    <row r="103" spans="2:2" x14ac:dyDescent="0.25">
      <c r="B103" s="130"/>
    </row>
    <row r="104" spans="2:2" x14ac:dyDescent="0.25">
      <c r="B104" s="130"/>
    </row>
    <row r="105" spans="2:2" x14ac:dyDescent="0.25">
      <c r="B105" s="130"/>
    </row>
    <row r="106" spans="2:2" x14ac:dyDescent="0.25">
      <c r="B106" s="130"/>
    </row>
    <row r="107" spans="2:2" x14ac:dyDescent="0.25">
      <c r="B107" s="130"/>
    </row>
    <row r="108" spans="2:2" x14ac:dyDescent="0.25">
      <c r="B108" s="130"/>
    </row>
    <row r="109" spans="2:2" x14ac:dyDescent="0.25">
      <c r="B109" s="130"/>
    </row>
    <row r="110" spans="2:2" x14ac:dyDescent="0.25">
      <c r="B110" s="130"/>
    </row>
    <row r="111" spans="2:2" x14ac:dyDescent="0.25">
      <c r="B111" s="130"/>
    </row>
    <row r="112" spans="2:2" x14ac:dyDescent="0.25">
      <c r="B112" s="130"/>
    </row>
    <row r="113" spans="2:2" x14ac:dyDescent="0.25">
      <c r="B113" s="130"/>
    </row>
    <row r="114" spans="2:2" x14ac:dyDescent="0.25">
      <c r="B114" s="130"/>
    </row>
    <row r="115" spans="2:2" x14ac:dyDescent="0.25">
      <c r="B115" s="130"/>
    </row>
    <row r="116" spans="2:2" x14ac:dyDescent="0.25">
      <c r="B116" s="130"/>
    </row>
    <row r="117" spans="2:2" x14ac:dyDescent="0.25">
      <c r="B117" s="130"/>
    </row>
    <row r="118" spans="2:2" x14ac:dyDescent="0.25">
      <c r="B118" s="130"/>
    </row>
    <row r="119" spans="2:2" x14ac:dyDescent="0.25">
      <c r="B119" s="130"/>
    </row>
    <row r="120" spans="2:2" x14ac:dyDescent="0.25">
      <c r="B120" s="130"/>
    </row>
    <row r="121" spans="2:2" x14ac:dyDescent="0.25">
      <c r="B121" s="130"/>
    </row>
    <row r="122" spans="2:2" x14ac:dyDescent="0.25">
      <c r="B122" s="130"/>
    </row>
    <row r="123" spans="2:2" x14ac:dyDescent="0.25">
      <c r="B123" s="130"/>
    </row>
    <row r="124" spans="2:2" x14ac:dyDescent="0.25">
      <c r="B124" s="130"/>
    </row>
    <row r="125" spans="2:2" x14ac:dyDescent="0.25">
      <c r="B125" s="130"/>
    </row>
    <row r="126" spans="2:2" x14ac:dyDescent="0.25">
      <c r="B126" s="130"/>
    </row>
    <row r="127" spans="2:2" x14ac:dyDescent="0.25">
      <c r="B127" s="130"/>
    </row>
    <row r="128" spans="2:2" x14ac:dyDescent="0.25">
      <c r="B128" s="130"/>
    </row>
    <row r="129" spans="2:2" x14ac:dyDescent="0.25">
      <c r="B129" s="130"/>
    </row>
    <row r="130" spans="2:2" x14ac:dyDescent="0.25">
      <c r="B130" s="130"/>
    </row>
    <row r="131" spans="2:2" x14ac:dyDescent="0.25">
      <c r="B131" s="130"/>
    </row>
    <row r="132" spans="2:2" x14ac:dyDescent="0.25">
      <c r="B132" s="130"/>
    </row>
    <row r="133" spans="2:2" x14ac:dyDescent="0.25">
      <c r="B133" s="130"/>
    </row>
    <row r="134" spans="2:2" x14ac:dyDescent="0.25">
      <c r="B134" s="130"/>
    </row>
    <row r="135" spans="2:2" x14ac:dyDescent="0.25">
      <c r="B135" s="130"/>
    </row>
    <row r="136" spans="2:2" x14ac:dyDescent="0.25">
      <c r="B136" s="130"/>
    </row>
    <row r="137" spans="2:2" x14ac:dyDescent="0.25">
      <c r="B137" s="130"/>
    </row>
    <row r="138" spans="2:2" x14ac:dyDescent="0.25">
      <c r="B138" s="130"/>
    </row>
    <row r="139" spans="2:2" x14ac:dyDescent="0.25">
      <c r="B139" s="130"/>
    </row>
    <row r="140" spans="2:2" x14ac:dyDescent="0.25">
      <c r="B140" s="130"/>
    </row>
    <row r="141" spans="2:2" x14ac:dyDescent="0.25">
      <c r="B141" s="130"/>
    </row>
    <row r="142" spans="2:2" x14ac:dyDescent="0.25">
      <c r="B142" s="130"/>
    </row>
    <row r="143" spans="2:2" x14ac:dyDescent="0.25">
      <c r="B143" s="130"/>
    </row>
    <row r="144" spans="2:2" x14ac:dyDescent="0.25">
      <c r="B144" s="130"/>
    </row>
    <row r="145" spans="2:2" x14ac:dyDescent="0.25">
      <c r="B145" s="130"/>
    </row>
    <row r="146" spans="2:2" x14ac:dyDescent="0.25">
      <c r="B146" s="130"/>
    </row>
    <row r="147" spans="2:2" x14ac:dyDescent="0.25">
      <c r="B147" s="130"/>
    </row>
    <row r="148" spans="2:2" x14ac:dyDescent="0.25">
      <c r="B148" s="130"/>
    </row>
    <row r="149" spans="2:2" x14ac:dyDescent="0.25">
      <c r="B149" s="130"/>
    </row>
    <row r="150" spans="2:2" x14ac:dyDescent="0.25">
      <c r="B150" s="130"/>
    </row>
    <row r="151" spans="2:2" x14ac:dyDescent="0.25">
      <c r="B151" s="130"/>
    </row>
    <row r="152" spans="2:2" x14ac:dyDescent="0.25">
      <c r="B152" s="130"/>
    </row>
    <row r="153" spans="2:2" x14ac:dyDescent="0.25">
      <c r="B153" s="130"/>
    </row>
    <row r="154" spans="2:2" x14ac:dyDescent="0.25">
      <c r="B154" s="130"/>
    </row>
    <row r="155" spans="2:2" x14ac:dyDescent="0.25">
      <c r="B155" s="130"/>
    </row>
    <row r="156" spans="2:2" x14ac:dyDescent="0.25">
      <c r="B156" s="130"/>
    </row>
    <row r="157" spans="2:2" x14ac:dyDescent="0.25">
      <c r="B157" s="130"/>
    </row>
    <row r="158" spans="2:2" x14ac:dyDescent="0.25">
      <c r="B158" s="130"/>
    </row>
    <row r="159" spans="2:2" x14ac:dyDescent="0.25">
      <c r="B159" s="130"/>
    </row>
    <row r="160" spans="2:2" x14ac:dyDescent="0.25">
      <c r="B160" s="130"/>
    </row>
    <row r="161" spans="2:2" x14ac:dyDescent="0.25">
      <c r="B161" s="130"/>
    </row>
    <row r="162" spans="2:2" x14ac:dyDescent="0.25">
      <c r="B162" s="130"/>
    </row>
    <row r="163" spans="2:2" x14ac:dyDescent="0.25">
      <c r="B163" s="130"/>
    </row>
    <row r="164" spans="2:2" x14ac:dyDescent="0.25">
      <c r="B164" s="130"/>
    </row>
    <row r="165" spans="2:2" x14ac:dyDescent="0.25">
      <c r="B165" s="130"/>
    </row>
    <row r="166" spans="2:2" x14ac:dyDescent="0.25">
      <c r="B166" s="130"/>
    </row>
    <row r="167" spans="2:2" x14ac:dyDescent="0.25">
      <c r="B167" s="130"/>
    </row>
    <row r="168" spans="2:2" x14ac:dyDescent="0.25">
      <c r="B168" s="130"/>
    </row>
    <row r="169" spans="2:2" x14ac:dyDescent="0.25">
      <c r="B169" s="130"/>
    </row>
    <row r="170" spans="2:2" x14ac:dyDescent="0.25">
      <c r="B170" s="130"/>
    </row>
    <row r="171" spans="2:2" x14ac:dyDescent="0.25">
      <c r="B171" s="130"/>
    </row>
    <row r="172" spans="2:2" x14ac:dyDescent="0.25">
      <c r="B172" s="130"/>
    </row>
    <row r="173" spans="2:2" x14ac:dyDescent="0.25">
      <c r="B173" s="130"/>
    </row>
    <row r="174" spans="2:2" x14ac:dyDescent="0.25">
      <c r="B174" s="130"/>
    </row>
    <row r="175" spans="2:2" x14ac:dyDescent="0.25">
      <c r="B175" s="130"/>
    </row>
    <row r="176" spans="2:2" x14ac:dyDescent="0.25">
      <c r="B176" s="130"/>
    </row>
    <row r="177" spans="2:2" x14ac:dyDescent="0.25">
      <c r="B177" s="130"/>
    </row>
    <row r="178" spans="2:2" x14ac:dyDescent="0.25">
      <c r="B178" s="130"/>
    </row>
    <row r="179" spans="2:2" x14ac:dyDescent="0.25">
      <c r="B179" s="130"/>
    </row>
    <row r="180" spans="2:2" x14ac:dyDescent="0.25">
      <c r="B180" s="130"/>
    </row>
    <row r="181" spans="2:2" x14ac:dyDescent="0.25">
      <c r="B181" s="130"/>
    </row>
    <row r="182" spans="2:2" x14ac:dyDescent="0.25">
      <c r="B182" s="130"/>
    </row>
    <row r="183" spans="2:2" x14ac:dyDescent="0.25">
      <c r="B183" s="130"/>
    </row>
    <row r="184" spans="2:2" x14ac:dyDescent="0.25">
      <c r="B184" s="130"/>
    </row>
    <row r="185" spans="2:2" x14ac:dyDescent="0.25">
      <c r="B185" s="130"/>
    </row>
    <row r="186" spans="2:2" x14ac:dyDescent="0.25">
      <c r="B186" s="130"/>
    </row>
    <row r="187" spans="2:2" x14ac:dyDescent="0.25">
      <c r="B187" s="130"/>
    </row>
    <row r="188" spans="2:2" x14ac:dyDescent="0.25">
      <c r="B188" s="130"/>
    </row>
    <row r="189" spans="2:2" x14ac:dyDescent="0.25">
      <c r="B189" s="130"/>
    </row>
    <row r="190" spans="2:2" x14ac:dyDescent="0.25">
      <c r="B190" s="130"/>
    </row>
    <row r="191" spans="2:2" x14ac:dyDescent="0.25">
      <c r="B191" s="130"/>
    </row>
    <row r="192" spans="2:2" x14ac:dyDescent="0.25">
      <c r="B192" s="130"/>
    </row>
    <row r="193" spans="2:2" x14ac:dyDescent="0.25">
      <c r="B193" s="130"/>
    </row>
    <row r="194" spans="2:2" x14ac:dyDescent="0.25">
      <c r="B194" s="130"/>
    </row>
    <row r="195" spans="2:2" x14ac:dyDescent="0.25">
      <c r="B195" s="130"/>
    </row>
    <row r="196" spans="2:2" x14ac:dyDescent="0.25">
      <c r="B196" s="130"/>
    </row>
    <row r="197" spans="2:2" x14ac:dyDescent="0.25">
      <c r="B197" s="130"/>
    </row>
    <row r="198" spans="2:2" x14ac:dyDescent="0.25">
      <c r="B198" s="130"/>
    </row>
    <row r="199" spans="2:2" x14ac:dyDescent="0.25">
      <c r="B199" s="130"/>
    </row>
    <row r="200" spans="2:2" x14ac:dyDescent="0.25">
      <c r="B200" s="130"/>
    </row>
    <row r="201" spans="2:2" x14ac:dyDescent="0.25">
      <c r="B201" s="130"/>
    </row>
    <row r="202" spans="2:2" x14ac:dyDescent="0.25">
      <c r="B202" s="130"/>
    </row>
    <row r="203" spans="2:2" x14ac:dyDescent="0.25">
      <c r="B203" s="130"/>
    </row>
    <row r="204" spans="2:2" x14ac:dyDescent="0.25">
      <c r="B204" s="130"/>
    </row>
    <row r="205" spans="2:2" x14ac:dyDescent="0.25">
      <c r="B205" s="130"/>
    </row>
    <row r="206" spans="2:2" x14ac:dyDescent="0.25">
      <c r="B206" s="130"/>
    </row>
    <row r="207" spans="2:2" x14ac:dyDescent="0.25">
      <c r="B207" s="130"/>
    </row>
    <row r="208" spans="2:2" x14ac:dyDescent="0.25">
      <c r="B208" s="130"/>
    </row>
    <row r="209" spans="2:2" x14ac:dyDescent="0.25">
      <c r="B209" s="130"/>
    </row>
    <row r="210" spans="2:2" x14ac:dyDescent="0.25">
      <c r="B210" s="130"/>
    </row>
    <row r="211" spans="2:2" x14ac:dyDescent="0.25">
      <c r="B211" s="130"/>
    </row>
    <row r="212" spans="2:2" x14ac:dyDescent="0.25">
      <c r="B212" s="130"/>
    </row>
    <row r="213" spans="2:2" x14ac:dyDescent="0.25">
      <c r="B213" s="130"/>
    </row>
    <row r="214" spans="2:2" x14ac:dyDescent="0.25">
      <c r="B214" s="130"/>
    </row>
    <row r="215" spans="2:2" x14ac:dyDescent="0.25">
      <c r="B215" s="130"/>
    </row>
    <row r="216" spans="2:2" x14ac:dyDescent="0.25">
      <c r="B216" s="130"/>
    </row>
    <row r="217" spans="2:2" x14ac:dyDescent="0.25">
      <c r="B217" s="130"/>
    </row>
    <row r="218" spans="2:2" x14ac:dyDescent="0.25">
      <c r="B218" s="130"/>
    </row>
    <row r="219" spans="2:2" x14ac:dyDescent="0.25">
      <c r="B219" s="130"/>
    </row>
    <row r="220" spans="2:2" x14ac:dyDescent="0.25">
      <c r="B220" s="130"/>
    </row>
    <row r="221" spans="2:2" x14ac:dyDescent="0.25">
      <c r="B221" s="130"/>
    </row>
    <row r="222" spans="2:2" x14ac:dyDescent="0.25">
      <c r="B222" s="130"/>
    </row>
    <row r="223" spans="2:2" x14ac:dyDescent="0.25">
      <c r="B223" s="130"/>
    </row>
    <row r="224" spans="2:2" x14ac:dyDescent="0.25">
      <c r="B224" s="130"/>
    </row>
    <row r="225" spans="2:2" x14ac:dyDescent="0.25">
      <c r="B225" s="130"/>
    </row>
    <row r="226" spans="2:2" x14ac:dyDescent="0.25">
      <c r="B226" s="130"/>
    </row>
    <row r="227" spans="2:2" x14ac:dyDescent="0.25">
      <c r="B227" s="130"/>
    </row>
    <row r="228" spans="2:2" x14ac:dyDescent="0.25">
      <c r="B228" s="130"/>
    </row>
    <row r="229" spans="2:2" x14ac:dyDescent="0.25">
      <c r="B229" s="130"/>
    </row>
    <row r="230" spans="2:2" x14ac:dyDescent="0.25">
      <c r="B230" s="130"/>
    </row>
    <row r="231" spans="2:2" x14ac:dyDescent="0.25">
      <c r="B231" s="130"/>
    </row>
    <row r="232" spans="2:2" x14ac:dyDescent="0.25">
      <c r="B232" s="130"/>
    </row>
    <row r="233" spans="2:2" x14ac:dyDescent="0.25">
      <c r="B233" s="130"/>
    </row>
    <row r="234" spans="2:2" x14ac:dyDescent="0.25">
      <c r="B234" s="130"/>
    </row>
    <row r="235" spans="2:2" x14ac:dyDescent="0.25">
      <c r="B235" s="130"/>
    </row>
    <row r="236" spans="2:2" x14ac:dyDescent="0.25">
      <c r="B236" s="130"/>
    </row>
    <row r="237" spans="2:2" x14ac:dyDescent="0.25">
      <c r="B237" s="130"/>
    </row>
    <row r="238" spans="2:2" x14ac:dyDescent="0.25">
      <c r="B238" s="130"/>
    </row>
    <row r="239" spans="2:2" x14ac:dyDescent="0.25">
      <c r="B239" s="130"/>
    </row>
    <row r="240" spans="2:2" x14ac:dyDescent="0.25">
      <c r="B240" s="130"/>
    </row>
    <row r="241" spans="2:2" x14ac:dyDescent="0.25">
      <c r="B241" s="130"/>
    </row>
    <row r="242" spans="2:2" x14ac:dyDescent="0.25">
      <c r="B242" s="130"/>
    </row>
    <row r="243" spans="2:2" x14ac:dyDescent="0.25">
      <c r="B243" s="130"/>
    </row>
    <row r="244" spans="2:2" x14ac:dyDescent="0.25">
      <c r="B244" s="130"/>
    </row>
    <row r="245" spans="2:2" x14ac:dyDescent="0.25">
      <c r="B245" s="130"/>
    </row>
    <row r="246" spans="2:2" x14ac:dyDescent="0.25">
      <c r="B246" s="130"/>
    </row>
    <row r="247" spans="2:2" x14ac:dyDescent="0.25">
      <c r="B247" s="130"/>
    </row>
    <row r="248" spans="2:2" x14ac:dyDescent="0.25">
      <c r="B248" s="130"/>
    </row>
    <row r="249" spans="2:2" x14ac:dyDescent="0.25">
      <c r="B249" s="130"/>
    </row>
    <row r="250" spans="2:2" x14ac:dyDescent="0.25">
      <c r="B250" s="130"/>
    </row>
    <row r="251" spans="2:2" x14ac:dyDescent="0.25">
      <c r="B251" s="130"/>
    </row>
    <row r="252" spans="2:2" x14ac:dyDescent="0.25">
      <c r="B252" s="130"/>
    </row>
    <row r="253" spans="2:2" x14ac:dyDescent="0.25">
      <c r="B253" s="130">
        <v>45481</v>
      </c>
    </row>
    <row r="254" spans="2:2" x14ac:dyDescent="0.25">
      <c r="B254" s="130">
        <v>45482</v>
      </c>
    </row>
    <row r="255" spans="2:2" x14ac:dyDescent="0.25">
      <c r="B255" s="130">
        <v>45483</v>
      </c>
    </row>
    <row r="256" spans="2:2" x14ac:dyDescent="0.25">
      <c r="B256" s="130">
        <v>45484</v>
      </c>
    </row>
    <row r="257" spans="2:2" x14ac:dyDescent="0.25">
      <c r="B257" s="130">
        <v>45485</v>
      </c>
    </row>
    <row r="258" spans="2:2" x14ac:dyDescent="0.25">
      <c r="B258" s="130">
        <v>45486</v>
      </c>
    </row>
    <row r="259" spans="2:2" x14ac:dyDescent="0.25">
      <c r="B259" s="130">
        <v>45487</v>
      </c>
    </row>
    <row r="260" spans="2:2" x14ac:dyDescent="0.25">
      <c r="B260" s="130">
        <v>45488</v>
      </c>
    </row>
    <row r="261" spans="2:2" x14ac:dyDescent="0.25">
      <c r="B261" s="130">
        <v>45489</v>
      </c>
    </row>
    <row r="262" spans="2:2" x14ac:dyDescent="0.25">
      <c r="B262" s="130">
        <v>45490</v>
      </c>
    </row>
    <row r="263" spans="2:2" x14ac:dyDescent="0.25">
      <c r="B263" s="130">
        <v>45491</v>
      </c>
    </row>
    <row r="264" spans="2:2" x14ac:dyDescent="0.25">
      <c r="B264" s="130">
        <v>45492</v>
      </c>
    </row>
    <row r="265" spans="2:2" x14ac:dyDescent="0.25">
      <c r="B265" s="130">
        <v>45493</v>
      </c>
    </row>
    <row r="266" spans="2:2" x14ac:dyDescent="0.25">
      <c r="B266" s="130">
        <v>45494</v>
      </c>
    </row>
    <row r="267" spans="2:2" x14ac:dyDescent="0.25">
      <c r="B267" s="130">
        <v>45495</v>
      </c>
    </row>
    <row r="268" spans="2:2" x14ac:dyDescent="0.25">
      <c r="B268" s="130">
        <v>45496</v>
      </c>
    </row>
    <row r="269" spans="2:2" x14ac:dyDescent="0.25">
      <c r="B269" s="130">
        <v>45497</v>
      </c>
    </row>
    <row r="270" spans="2:2" x14ac:dyDescent="0.25">
      <c r="B270" s="130">
        <v>45498</v>
      </c>
    </row>
    <row r="271" spans="2:2" x14ac:dyDescent="0.25">
      <c r="B271" s="130">
        <v>45499</v>
      </c>
    </row>
    <row r="272" spans="2:2" x14ac:dyDescent="0.25">
      <c r="B272" s="130">
        <v>45500</v>
      </c>
    </row>
    <row r="273" spans="2:2" x14ac:dyDescent="0.25">
      <c r="B273" s="130">
        <v>45501</v>
      </c>
    </row>
    <row r="274" spans="2:2" x14ac:dyDescent="0.25">
      <c r="B274" s="130">
        <v>45502</v>
      </c>
    </row>
    <row r="275" spans="2:2" x14ac:dyDescent="0.25">
      <c r="B275" s="130">
        <v>45503</v>
      </c>
    </row>
    <row r="276" spans="2:2" x14ac:dyDescent="0.25">
      <c r="B276" s="130">
        <v>45504</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L27"/>
  <sheetViews>
    <sheetView showGridLines="0" workbookViewId="0">
      <selection activeCell="E30" sqref="E30"/>
    </sheetView>
  </sheetViews>
  <sheetFormatPr defaultRowHeight="13.2" x14ac:dyDescent="0.25"/>
  <cols>
    <col min="3" max="3" width="12.5546875" bestFit="1" customWidth="1"/>
    <col min="4" max="4" width="18.88671875" bestFit="1" customWidth="1"/>
    <col min="5" max="5" width="33.21875" bestFit="1" customWidth="1"/>
    <col min="6" max="6" width="12.33203125" style="4" bestFit="1" customWidth="1"/>
    <col min="7" max="7" width="16.109375" bestFit="1" customWidth="1"/>
    <col min="8" max="8" width="16.6640625" bestFit="1" customWidth="1"/>
    <col min="10" max="10" width="14" bestFit="1" customWidth="1"/>
    <col min="11" max="11" width="14.33203125" bestFit="1" customWidth="1"/>
  </cols>
  <sheetData>
    <row r="2" spans="1:12" ht="23.4" thickBot="1" x14ac:dyDescent="0.45">
      <c r="A2" s="13" t="s">
        <v>795</v>
      </c>
      <c r="B2" s="2"/>
      <c r="C2" s="2"/>
      <c r="D2" s="2"/>
      <c r="E2" s="2"/>
      <c r="F2" s="147"/>
      <c r="G2" s="2"/>
      <c r="H2" s="2"/>
    </row>
    <row r="6" spans="1:12" ht="15.6" x14ac:dyDescent="0.25">
      <c r="A6" s="144" t="s">
        <v>824</v>
      </c>
      <c r="B6" s="144" t="s">
        <v>825</v>
      </c>
      <c r="C6" s="144" t="s">
        <v>42</v>
      </c>
      <c r="D6" s="144" t="s">
        <v>826</v>
      </c>
      <c r="E6" s="148" t="s">
        <v>918</v>
      </c>
      <c r="F6" s="145" t="s">
        <v>186</v>
      </c>
      <c r="G6" s="144" t="s">
        <v>261</v>
      </c>
      <c r="H6" s="144" t="s">
        <v>827</v>
      </c>
      <c r="I6" s="144" t="s">
        <v>828</v>
      </c>
      <c r="J6" s="144" t="s">
        <v>829</v>
      </c>
      <c r="K6" s="144" t="s">
        <v>830</v>
      </c>
      <c r="L6" s="144" t="s">
        <v>10</v>
      </c>
    </row>
    <row r="7" spans="1:12" x14ac:dyDescent="0.25">
      <c r="A7" s="25" t="s">
        <v>831</v>
      </c>
      <c r="B7" s="25" t="s">
        <v>832</v>
      </c>
      <c r="C7" s="25">
        <v>9</v>
      </c>
      <c r="D7" s="25">
        <v>8941</v>
      </c>
      <c r="E7" s="146" t="str">
        <f>TEXT(F7, "DD-MM-YYYY")</f>
        <v>12-04-2024</v>
      </c>
      <c r="F7" s="47" t="s">
        <v>833</v>
      </c>
      <c r="G7" s="25" t="s">
        <v>834</v>
      </c>
      <c r="H7" s="25" t="s">
        <v>835</v>
      </c>
      <c r="I7" s="25" t="s">
        <v>836</v>
      </c>
      <c r="J7" s="25" t="s">
        <v>837</v>
      </c>
      <c r="K7" s="25" t="s">
        <v>838</v>
      </c>
      <c r="L7" s="25">
        <v>80469</v>
      </c>
    </row>
    <row r="8" spans="1:12" x14ac:dyDescent="0.25">
      <c r="A8" s="25" t="s">
        <v>839</v>
      </c>
      <c r="B8" s="25" t="s">
        <v>840</v>
      </c>
      <c r="C8" s="25">
        <v>9</v>
      </c>
      <c r="D8" s="25">
        <v>19827</v>
      </c>
      <c r="E8" s="146" t="str">
        <f>TEXT(F8,"DD-MM-YYYY")</f>
        <v>06-02-2024</v>
      </c>
      <c r="F8" s="47" t="s">
        <v>841</v>
      </c>
      <c r="G8" s="25" t="s">
        <v>842</v>
      </c>
      <c r="H8" s="25" t="s">
        <v>843</v>
      </c>
      <c r="I8" s="25" t="s">
        <v>836</v>
      </c>
      <c r="J8" s="25" t="s">
        <v>837</v>
      </c>
      <c r="K8" s="25" t="s">
        <v>838</v>
      </c>
      <c r="L8" s="25">
        <v>178443</v>
      </c>
    </row>
    <row r="9" spans="1:12" x14ac:dyDescent="0.25">
      <c r="A9" s="25" t="s">
        <v>844</v>
      </c>
      <c r="B9" s="25" t="s">
        <v>840</v>
      </c>
      <c r="C9" s="25">
        <v>4</v>
      </c>
      <c r="D9" s="25">
        <v>16640</v>
      </c>
      <c r="E9" s="146" t="str">
        <f>TEXT(F9,"DD-MM-YYYY")</f>
        <v>16-12-2025</v>
      </c>
      <c r="F9" s="47">
        <v>46007</v>
      </c>
      <c r="G9" s="25" t="s">
        <v>845</v>
      </c>
      <c r="H9" s="25" t="s">
        <v>846</v>
      </c>
      <c r="I9" s="25" t="s">
        <v>836</v>
      </c>
      <c r="J9" s="25" t="s">
        <v>847</v>
      </c>
      <c r="K9" s="25" t="s">
        <v>838</v>
      </c>
      <c r="L9" s="25">
        <v>66560</v>
      </c>
    </row>
    <row r="10" spans="1:12" x14ac:dyDescent="0.25">
      <c r="A10" s="25" t="s">
        <v>848</v>
      </c>
      <c r="B10" s="25" t="s">
        <v>849</v>
      </c>
      <c r="C10" s="25">
        <v>3</v>
      </c>
      <c r="D10" s="25">
        <v>2945</v>
      </c>
      <c r="E10" s="146" t="str">
        <f t="shared" ref="E10:E27" si="0">TEXT(F10,"DD-MM-YYYY")</f>
        <v>11-09-2024</v>
      </c>
      <c r="F10" s="47" t="s">
        <v>850</v>
      </c>
      <c r="G10" s="25" t="s">
        <v>851</v>
      </c>
      <c r="H10" s="25" t="s">
        <v>852</v>
      </c>
      <c r="I10" s="25" t="s">
        <v>836</v>
      </c>
      <c r="J10" s="25" t="s">
        <v>847</v>
      </c>
      <c r="K10" s="25" t="s">
        <v>838</v>
      </c>
      <c r="L10" s="25">
        <v>8835</v>
      </c>
    </row>
    <row r="11" spans="1:12" x14ac:dyDescent="0.25">
      <c r="A11" s="25" t="s">
        <v>853</v>
      </c>
      <c r="B11" s="25" t="s">
        <v>854</v>
      </c>
      <c r="C11" s="25">
        <v>4</v>
      </c>
      <c r="D11" s="25">
        <v>2848</v>
      </c>
      <c r="E11" s="146" t="str">
        <f t="shared" si="0"/>
        <v>24-10-2025</v>
      </c>
      <c r="F11" s="47">
        <v>45954</v>
      </c>
      <c r="G11" s="25" t="s">
        <v>855</v>
      </c>
      <c r="H11" s="25" t="s">
        <v>856</v>
      </c>
      <c r="I11" s="25" t="s">
        <v>836</v>
      </c>
      <c r="J11" s="25" t="s">
        <v>857</v>
      </c>
      <c r="K11" s="25" t="s">
        <v>858</v>
      </c>
      <c r="L11" s="25">
        <v>11392</v>
      </c>
    </row>
    <row r="12" spans="1:12" x14ac:dyDescent="0.25">
      <c r="A12" s="25" t="s">
        <v>859</v>
      </c>
      <c r="B12" s="25" t="s">
        <v>854</v>
      </c>
      <c r="C12" s="25">
        <v>7</v>
      </c>
      <c r="D12" s="25">
        <v>18703</v>
      </c>
      <c r="E12" s="146" t="str">
        <f t="shared" si="0"/>
        <v>24-12-2025</v>
      </c>
      <c r="F12" s="47">
        <v>46015</v>
      </c>
      <c r="G12" s="25" t="s">
        <v>860</v>
      </c>
      <c r="H12" s="25" t="s">
        <v>861</v>
      </c>
      <c r="I12" s="25" t="s">
        <v>836</v>
      </c>
      <c r="J12" s="25" t="s">
        <v>837</v>
      </c>
      <c r="K12" s="25" t="s">
        <v>858</v>
      </c>
      <c r="L12" s="25">
        <v>130921</v>
      </c>
    </row>
    <row r="13" spans="1:12" x14ac:dyDescent="0.25">
      <c r="A13" s="25" t="s">
        <v>862</v>
      </c>
      <c r="B13" s="25" t="s">
        <v>863</v>
      </c>
      <c r="C13" s="25">
        <v>4</v>
      </c>
      <c r="D13" s="25">
        <v>9640</v>
      </c>
      <c r="E13" s="146" t="str">
        <f t="shared" si="0"/>
        <v>27-11-2025</v>
      </c>
      <c r="F13" s="47">
        <v>45988</v>
      </c>
      <c r="G13" s="25" t="s">
        <v>864</v>
      </c>
      <c r="H13" s="25" t="s">
        <v>865</v>
      </c>
      <c r="I13" s="25" t="s">
        <v>836</v>
      </c>
      <c r="J13" s="25" t="s">
        <v>837</v>
      </c>
      <c r="K13" s="25" t="s">
        <v>838</v>
      </c>
      <c r="L13" s="25">
        <v>38560</v>
      </c>
    </row>
    <row r="14" spans="1:12" x14ac:dyDescent="0.25">
      <c r="A14" s="25" t="s">
        <v>866</v>
      </c>
      <c r="B14" s="25" t="s">
        <v>867</v>
      </c>
      <c r="C14" s="25">
        <v>7</v>
      </c>
      <c r="D14" s="25">
        <v>15189</v>
      </c>
      <c r="E14" s="146" t="str">
        <f t="shared" si="0"/>
        <v>13-07-2024</v>
      </c>
      <c r="F14" s="47" t="s">
        <v>868</v>
      </c>
      <c r="G14" s="25" t="s">
        <v>869</v>
      </c>
      <c r="H14" s="25" t="s">
        <v>870</v>
      </c>
      <c r="I14" s="25" t="s">
        <v>836</v>
      </c>
      <c r="J14" s="25" t="s">
        <v>847</v>
      </c>
      <c r="K14" s="25" t="s">
        <v>871</v>
      </c>
      <c r="L14" s="25">
        <v>106323</v>
      </c>
    </row>
    <row r="15" spans="1:12" x14ac:dyDescent="0.25">
      <c r="A15" s="25" t="s">
        <v>872</v>
      </c>
      <c r="B15" s="25" t="s">
        <v>863</v>
      </c>
      <c r="C15" s="25">
        <v>6</v>
      </c>
      <c r="D15" s="25">
        <v>4093</v>
      </c>
      <c r="E15" s="146" t="str">
        <f t="shared" si="0"/>
        <v>30-01-2024</v>
      </c>
      <c r="F15" s="47" t="s">
        <v>873</v>
      </c>
      <c r="G15" s="25" t="s">
        <v>874</v>
      </c>
      <c r="H15" s="25" t="s">
        <v>861</v>
      </c>
      <c r="I15" s="25" t="s">
        <v>836</v>
      </c>
      <c r="J15" s="25" t="s">
        <v>847</v>
      </c>
      <c r="K15" s="25" t="s">
        <v>875</v>
      </c>
      <c r="L15" s="25">
        <v>24558</v>
      </c>
    </row>
    <row r="16" spans="1:12" x14ac:dyDescent="0.25">
      <c r="A16" s="25" t="s">
        <v>876</v>
      </c>
      <c r="B16" s="25" t="s">
        <v>877</v>
      </c>
      <c r="C16" s="25">
        <v>8</v>
      </c>
      <c r="D16" s="25">
        <v>7088</v>
      </c>
      <c r="E16" s="146" t="str">
        <f t="shared" si="0"/>
        <v>15-11-2025</v>
      </c>
      <c r="F16" s="47">
        <v>45976</v>
      </c>
      <c r="G16" s="25" t="s">
        <v>878</v>
      </c>
      <c r="H16" s="25" t="s">
        <v>879</v>
      </c>
      <c r="I16" s="25" t="s">
        <v>836</v>
      </c>
      <c r="J16" s="25" t="s">
        <v>847</v>
      </c>
      <c r="K16" s="25" t="s">
        <v>875</v>
      </c>
      <c r="L16" s="25">
        <v>56704</v>
      </c>
    </row>
    <row r="17" spans="1:12" x14ac:dyDescent="0.25">
      <c r="A17" s="25" t="s">
        <v>880</v>
      </c>
      <c r="B17" s="25" t="s">
        <v>832</v>
      </c>
      <c r="C17" s="25">
        <v>1</v>
      </c>
      <c r="D17" s="25">
        <v>11790</v>
      </c>
      <c r="E17" s="146" t="str">
        <f t="shared" si="0"/>
        <v>03-07-2024</v>
      </c>
      <c r="F17" s="47" t="s">
        <v>881</v>
      </c>
      <c r="G17" s="25" t="s">
        <v>882</v>
      </c>
      <c r="H17" s="25" t="s">
        <v>883</v>
      </c>
      <c r="I17" s="25" t="s">
        <v>836</v>
      </c>
      <c r="J17" s="25" t="s">
        <v>847</v>
      </c>
      <c r="K17" s="25" t="s">
        <v>875</v>
      </c>
      <c r="L17" s="25">
        <v>11790</v>
      </c>
    </row>
    <row r="18" spans="1:12" x14ac:dyDescent="0.25">
      <c r="A18" s="25" t="s">
        <v>884</v>
      </c>
      <c r="B18" s="25" t="s">
        <v>885</v>
      </c>
      <c r="C18" s="25">
        <v>9</v>
      </c>
      <c r="D18" s="25">
        <v>19740</v>
      </c>
      <c r="E18" s="146" t="str">
        <f t="shared" si="0"/>
        <v>11-09-2024</v>
      </c>
      <c r="F18" s="47" t="s">
        <v>850</v>
      </c>
      <c r="G18" s="25" t="s">
        <v>886</v>
      </c>
      <c r="H18" s="25" t="s">
        <v>879</v>
      </c>
      <c r="I18" s="25" t="s">
        <v>836</v>
      </c>
      <c r="J18" s="25" t="s">
        <v>857</v>
      </c>
      <c r="K18" s="25" t="s">
        <v>838</v>
      </c>
      <c r="L18" s="25">
        <v>177660</v>
      </c>
    </row>
    <row r="19" spans="1:12" x14ac:dyDescent="0.25">
      <c r="A19" s="25" t="s">
        <v>887</v>
      </c>
      <c r="B19" s="25" t="s">
        <v>888</v>
      </c>
      <c r="C19" s="25">
        <v>5</v>
      </c>
      <c r="D19" s="25">
        <v>19143</v>
      </c>
      <c r="E19" s="146" t="str">
        <f t="shared" si="0"/>
        <v>17-09-2024</v>
      </c>
      <c r="F19" s="47" t="s">
        <v>889</v>
      </c>
      <c r="G19" s="25" t="s">
        <v>890</v>
      </c>
      <c r="H19" s="25" t="s">
        <v>891</v>
      </c>
      <c r="I19" s="25" t="s">
        <v>836</v>
      </c>
      <c r="J19" s="25" t="s">
        <v>837</v>
      </c>
      <c r="K19" s="25" t="s">
        <v>875</v>
      </c>
      <c r="L19" s="25">
        <v>95715</v>
      </c>
    </row>
    <row r="20" spans="1:12" x14ac:dyDescent="0.25">
      <c r="A20" s="25" t="s">
        <v>892</v>
      </c>
      <c r="B20" s="25" t="s">
        <v>840</v>
      </c>
      <c r="C20" s="25">
        <v>7</v>
      </c>
      <c r="D20" s="25">
        <v>5387</v>
      </c>
      <c r="E20" s="146" t="str">
        <f t="shared" si="0"/>
        <v>24-10-2025</v>
      </c>
      <c r="F20" s="47">
        <v>45954</v>
      </c>
      <c r="G20" s="25" t="s">
        <v>893</v>
      </c>
      <c r="H20" s="25" t="s">
        <v>894</v>
      </c>
      <c r="I20" s="25" t="s">
        <v>836</v>
      </c>
      <c r="J20" s="25" t="s">
        <v>847</v>
      </c>
      <c r="K20" s="25" t="s">
        <v>871</v>
      </c>
      <c r="L20" s="25">
        <v>37709</v>
      </c>
    </row>
    <row r="21" spans="1:12" x14ac:dyDescent="0.25">
      <c r="A21" s="25" t="s">
        <v>895</v>
      </c>
      <c r="B21" s="25" t="s">
        <v>840</v>
      </c>
      <c r="C21" s="25">
        <v>6</v>
      </c>
      <c r="D21" s="25">
        <v>19724</v>
      </c>
      <c r="E21" s="146" t="str">
        <f t="shared" si="0"/>
        <v>21-12-2025</v>
      </c>
      <c r="F21" s="47">
        <v>46012</v>
      </c>
      <c r="G21" s="25" t="s">
        <v>896</v>
      </c>
      <c r="H21" s="25" t="s">
        <v>852</v>
      </c>
      <c r="I21" s="25" t="s">
        <v>836</v>
      </c>
      <c r="J21" s="25" t="s">
        <v>857</v>
      </c>
      <c r="K21" s="25" t="s">
        <v>871</v>
      </c>
      <c r="L21" s="25">
        <v>118344</v>
      </c>
    </row>
    <row r="22" spans="1:12" x14ac:dyDescent="0.25">
      <c r="A22" s="25" t="s">
        <v>897</v>
      </c>
      <c r="B22" s="25" t="s">
        <v>898</v>
      </c>
      <c r="C22" s="25">
        <v>9</v>
      </c>
      <c r="D22" s="25">
        <v>7785</v>
      </c>
      <c r="E22" s="146" t="str">
        <f t="shared" si="0"/>
        <v>15-02-2024</v>
      </c>
      <c r="F22" s="47" t="s">
        <v>899</v>
      </c>
      <c r="G22" s="25" t="s">
        <v>900</v>
      </c>
      <c r="H22" s="25" t="s">
        <v>901</v>
      </c>
      <c r="I22" s="25" t="s">
        <v>836</v>
      </c>
      <c r="J22" s="25" t="s">
        <v>857</v>
      </c>
      <c r="K22" s="25" t="s">
        <v>871</v>
      </c>
      <c r="L22" s="25">
        <v>70065</v>
      </c>
    </row>
    <row r="23" spans="1:12" x14ac:dyDescent="0.25">
      <c r="A23" s="25" t="s">
        <v>902</v>
      </c>
      <c r="B23" s="25" t="s">
        <v>832</v>
      </c>
      <c r="C23" s="25">
        <v>3</v>
      </c>
      <c r="D23" s="25">
        <v>7262</v>
      </c>
      <c r="E23" s="146" t="str">
        <f t="shared" si="0"/>
        <v>03-12-2025</v>
      </c>
      <c r="F23" s="47">
        <v>45994</v>
      </c>
      <c r="G23" s="25" t="s">
        <v>903</v>
      </c>
      <c r="H23" s="25" t="s">
        <v>843</v>
      </c>
      <c r="I23" s="25" t="s">
        <v>836</v>
      </c>
      <c r="J23" s="25" t="s">
        <v>847</v>
      </c>
      <c r="K23" s="25" t="s">
        <v>904</v>
      </c>
      <c r="L23" s="25">
        <v>21786</v>
      </c>
    </row>
    <row r="24" spans="1:12" x14ac:dyDescent="0.25">
      <c r="A24" s="25" t="s">
        <v>905</v>
      </c>
      <c r="B24" s="25" t="s">
        <v>888</v>
      </c>
      <c r="C24" s="25">
        <v>4</v>
      </c>
      <c r="D24" s="25">
        <v>2877</v>
      </c>
      <c r="E24" s="146" t="str">
        <f t="shared" si="0"/>
        <v>21-04-2024</v>
      </c>
      <c r="F24" s="47" t="s">
        <v>906</v>
      </c>
      <c r="G24" s="25" t="s">
        <v>907</v>
      </c>
      <c r="H24" s="25" t="s">
        <v>908</v>
      </c>
      <c r="I24" s="25" t="s">
        <v>836</v>
      </c>
      <c r="J24" s="25" t="s">
        <v>847</v>
      </c>
      <c r="K24" s="25" t="s">
        <v>904</v>
      </c>
      <c r="L24" s="25">
        <v>11508</v>
      </c>
    </row>
    <row r="25" spans="1:12" x14ac:dyDescent="0.25">
      <c r="A25" s="25" t="s">
        <v>909</v>
      </c>
      <c r="B25" s="25" t="s">
        <v>888</v>
      </c>
      <c r="C25" s="25">
        <v>8</v>
      </c>
      <c r="D25" s="25">
        <v>9997</v>
      </c>
      <c r="E25" s="146" t="str">
        <f t="shared" si="0"/>
        <v>30-11-2025</v>
      </c>
      <c r="F25" s="47">
        <v>45991</v>
      </c>
      <c r="G25" s="25" t="s">
        <v>910</v>
      </c>
      <c r="H25" s="25" t="s">
        <v>911</v>
      </c>
      <c r="I25" s="25" t="s">
        <v>836</v>
      </c>
      <c r="J25" s="25" t="s">
        <v>857</v>
      </c>
      <c r="K25" s="25" t="s">
        <v>871</v>
      </c>
      <c r="L25" s="25">
        <v>79976</v>
      </c>
    </row>
    <row r="26" spans="1:12" x14ac:dyDescent="0.25">
      <c r="A26" s="25" t="s">
        <v>912</v>
      </c>
      <c r="B26" s="25" t="s">
        <v>888</v>
      </c>
      <c r="C26" s="25">
        <v>6</v>
      </c>
      <c r="D26" s="25">
        <v>2081</v>
      </c>
      <c r="E26" s="146" t="str">
        <f t="shared" si="0"/>
        <v>02-08-2024</v>
      </c>
      <c r="F26" s="47" t="s">
        <v>913</v>
      </c>
      <c r="G26" s="25" t="s">
        <v>914</v>
      </c>
      <c r="H26" s="25" t="s">
        <v>879</v>
      </c>
      <c r="I26" s="25" t="s">
        <v>836</v>
      </c>
      <c r="J26" s="25" t="s">
        <v>837</v>
      </c>
      <c r="K26" s="25" t="s">
        <v>904</v>
      </c>
      <c r="L26" s="25">
        <v>12486</v>
      </c>
    </row>
    <row r="27" spans="1:12" x14ac:dyDescent="0.25">
      <c r="A27" s="25" t="s">
        <v>915</v>
      </c>
      <c r="B27" s="25" t="s">
        <v>854</v>
      </c>
      <c r="C27" s="25">
        <v>4</v>
      </c>
      <c r="D27" s="25">
        <v>4246</v>
      </c>
      <c r="E27" s="146" t="str">
        <f t="shared" si="0"/>
        <v>25-07-2024</v>
      </c>
      <c r="F27" s="47" t="s">
        <v>916</v>
      </c>
      <c r="G27" s="25" t="s">
        <v>917</v>
      </c>
      <c r="H27" s="25" t="s">
        <v>901</v>
      </c>
      <c r="I27" s="25" t="s">
        <v>836</v>
      </c>
      <c r="J27" s="25" t="s">
        <v>847</v>
      </c>
      <c r="K27" s="25" t="s">
        <v>904</v>
      </c>
      <c r="L27" s="25">
        <v>16984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M26"/>
  <sheetViews>
    <sheetView showGridLines="0" workbookViewId="0">
      <selection activeCell="B7" sqref="B7"/>
    </sheetView>
  </sheetViews>
  <sheetFormatPr defaultRowHeight="13.2" x14ac:dyDescent="0.25"/>
  <cols>
    <col min="1" max="1" width="13.33203125" customWidth="1"/>
    <col min="2" max="11" width="11.109375" customWidth="1"/>
    <col min="12" max="12" width="14" bestFit="1" customWidth="1"/>
    <col min="13" max="13" width="27.44140625" bestFit="1" customWidth="1"/>
  </cols>
  <sheetData>
    <row r="2" spans="1:13" ht="23.4" thickBot="1" x14ac:dyDescent="0.45">
      <c r="A2" s="13" t="s">
        <v>796</v>
      </c>
      <c r="B2" s="2"/>
      <c r="C2" s="2"/>
      <c r="D2" s="2"/>
      <c r="E2" s="2"/>
      <c r="F2" s="2"/>
      <c r="G2" s="2"/>
      <c r="H2" s="2"/>
      <c r="J2" s="152" t="s">
        <v>1000</v>
      </c>
    </row>
    <row r="3" spans="1:13" x14ac:dyDescent="0.25">
      <c r="J3" t="s">
        <v>1001</v>
      </c>
      <c r="K3" t="s">
        <v>1002</v>
      </c>
    </row>
    <row r="4" spans="1:13" ht="23.4" x14ac:dyDescent="0.45">
      <c r="A4" s="16" t="s">
        <v>24</v>
      </c>
      <c r="J4" t="s">
        <v>1003</v>
      </c>
      <c r="K4" t="s">
        <v>1004</v>
      </c>
    </row>
    <row r="6" spans="1:13" ht="18" x14ac:dyDescent="0.35">
      <c r="A6" s="103" t="s">
        <v>10</v>
      </c>
      <c r="B6" s="104" t="s">
        <v>25</v>
      </c>
      <c r="C6" s="104" t="s">
        <v>26</v>
      </c>
      <c r="D6" s="104" t="s">
        <v>27</v>
      </c>
      <c r="E6" s="104" t="s">
        <v>28</v>
      </c>
      <c r="F6" s="126">
        <v>2025</v>
      </c>
      <c r="G6" s="104" t="s">
        <v>25</v>
      </c>
      <c r="H6" s="104" t="s">
        <v>26</v>
      </c>
      <c r="I6" s="104" t="s">
        <v>27</v>
      </c>
      <c r="J6" s="104" t="s">
        <v>28</v>
      </c>
      <c r="K6" s="127">
        <v>2026</v>
      </c>
      <c r="L6" s="103" t="s">
        <v>755</v>
      </c>
      <c r="M6" s="103" t="s">
        <v>756</v>
      </c>
    </row>
    <row r="7" spans="1:13" x14ac:dyDescent="0.25">
      <c r="A7" s="105" t="s">
        <v>29</v>
      </c>
      <c r="B7" s="20">
        <v>2099</v>
      </c>
      <c r="C7" s="20">
        <v>2088</v>
      </c>
      <c r="D7" s="20">
        <v>2077</v>
      </c>
      <c r="E7" s="20">
        <v>2066</v>
      </c>
      <c r="F7" s="106">
        <f>SUM([1]HLookUp!C6:F6)</f>
        <v>8330</v>
      </c>
      <c r="G7" s="4">
        <v>2099</v>
      </c>
      <c r="H7" s="4">
        <v>2088</v>
      </c>
      <c r="I7" s="4">
        <v>2077</v>
      </c>
      <c r="J7" s="4">
        <v>2066</v>
      </c>
      <c r="K7" s="107">
        <f t="shared" ref="K7:K26" si="0">SUM(G7:J7)</f>
        <v>8330</v>
      </c>
      <c r="L7" t="s">
        <v>757</v>
      </c>
      <c r="M7" s="108" t="s">
        <v>758</v>
      </c>
    </row>
    <row r="8" spans="1:13" x14ac:dyDescent="0.25">
      <c r="A8" s="25" t="s">
        <v>29</v>
      </c>
      <c r="B8" s="20">
        <v>4055</v>
      </c>
      <c r="C8" s="20">
        <v>2355</v>
      </c>
      <c r="D8" s="20">
        <v>4233</v>
      </c>
      <c r="E8" s="20">
        <v>2566</v>
      </c>
      <c r="F8" s="106">
        <f>SUM([1]HLookUp!C7:F7)</f>
        <v>13209</v>
      </c>
      <c r="G8" s="4">
        <v>4055</v>
      </c>
      <c r="H8" s="4">
        <v>2355</v>
      </c>
      <c r="I8" s="4">
        <v>4233</v>
      </c>
      <c r="J8" s="4">
        <v>2566</v>
      </c>
      <c r="K8" s="107">
        <f t="shared" si="0"/>
        <v>13209</v>
      </c>
      <c r="L8" t="s">
        <v>759</v>
      </c>
      <c r="M8" s="108" t="s">
        <v>760</v>
      </c>
    </row>
    <row r="9" spans="1:13" x14ac:dyDescent="0.25">
      <c r="A9" s="25" t="s">
        <v>29</v>
      </c>
      <c r="B9" s="20">
        <v>3022</v>
      </c>
      <c r="C9" s="20">
        <v>5523</v>
      </c>
      <c r="D9" s="20">
        <v>8024</v>
      </c>
      <c r="E9" s="20">
        <v>10525</v>
      </c>
      <c r="F9" s="106">
        <f>SUM([1]HLookUp!C8:F8)</f>
        <v>27094</v>
      </c>
      <c r="G9" s="4">
        <v>3022</v>
      </c>
      <c r="H9" s="4">
        <v>5523</v>
      </c>
      <c r="I9" s="4">
        <v>8024</v>
      </c>
      <c r="J9" s="4">
        <v>10525</v>
      </c>
      <c r="K9" s="107">
        <f t="shared" si="0"/>
        <v>27094</v>
      </c>
      <c r="L9" t="s">
        <v>761</v>
      </c>
      <c r="M9" s="108" t="s">
        <v>762</v>
      </c>
    </row>
    <row r="10" spans="1:13" x14ac:dyDescent="0.25">
      <c r="A10" s="25" t="s">
        <v>29</v>
      </c>
      <c r="B10" s="20">
        <v>1990</v>
      </c>
      <c r="C10" s="20">
        <v>8824</v>
      </c>
      <c r="D10" s="20">
        <v>15658</v>
      </c>
      <c r="E10" s="20">
        <v>22492</v>
      </c>
      <c r="F10" s="106">
        <f>SUM([1]HLookUp!C9:F9)</f>
        <v>48964</v>
      </c>
      <c r="G10" s="4">
        <v>1990</v>
      </c>
      <c r="H10" s="4">
        <v>8824</v>
      </c>
      <c r="I10" s="4">
        <v>15658</v>
      </c>
      <c r="J10" s="4">
        <v>22492</v>
      </c>
      <c r="K10" s="107">
        <f t="shared" si="0"/>
        <v>48964</v>
      </c>
      <c r="L10" t="s">
        <v>763</v>
      </c>
      <c r="M10" s="108" t="s">
        <v>764</v>
      </c>
    </row>
    <row r="11" spans="1:13" ht="14.4" x14ac:dyDescent="0.3">
      <c r="A11" s="109" t="s">
        <v>802</v>
      </c>
      <c r="B11" s="110">
        <f>SUM(B7:B10)</f>
        <v>11166</v>
      </c>
      <c r="C11" s="110">
        <f>SUM(C7:C10)</f>
        <v>18790</v>
      </c>
      <c r="D11" s="110">
        <f>SUM(D7:D10)</f>
        <v>29992</v>
      </c>
      <c r="E11" s="110">
        <f>SUM(E7:E10)</f>
        <v>37649</v>
      </c>
      <c r="F11" s="111">
        <f>SUM([1]HLookUp!C10:F10)</f>
        <v>97597</v>
      </c>
      <c r="G11" s="112">
        <f>SUM(G7:G10)</f>
        <v>11166</v>
      </c>
      <c r="H11" s="112">
        <f>SUM(H7:H10)</f>
        <v>18790</v>
      </c>
      <c r="I11" s="112">
        <f>SUM(I7:I10)</f>
        <v>29992</v>
      </c>
      <c r="J11" s="112">
        <f>SUM(J7:J10)</f>
        <v>37649</v>
      </c>
      <c r="K11" s="113">
        <f t="shared" si="0"/>
        <v>97597</v>
      </c>
      <c r="M11" s="108"/>
    </row>
    <row r="12" spans="1:13" x14ac:dyDescent="0.25">
      <c r="A12" s="114" t="s">
        <v>765</v>
      </c>
      <c r="B12" s="4">
        <v>2099</v>
      </c>
      <c r="C12" s="4">
        <v>2088</v>
      </c>
      <c r="D12" s="4">
        <v>2077</v>
      </c>
      <c r="E12" s="4">
        <v>2066</v>
      </c>
      <c r="F12" s="106">
        <f t="shared" ref="F12:F26" si="1">SUM(B12:E12)</f>
        <v>8330</v>
      </c>
      <c r="G12" s="4">
        <v>2099</v>
      </c>
      <c r="H12" s="4">
        <v>2088</v>
      </c>
      <c r="I12" s="4">
        <v>2077</v>
      </c>
      <c r="J12" s="4">
        <v>2066</v>
      </c>
      <c r="K12" s="107">
        <f t="shared" si="0"/>
        <v>8330</v>
      </c>
      <c r="L12" t="s">
        <v>766</v>
      </c>
      <c r="M12" s="108" t="s">
        <v>767</v>
      </c>
    </row>
    <row r="13" spans="1:13" x14ac:dyDescent="0.25">
      <c r="A13" s="17" t="s">
        <v>765</v>
      </c>
      <c r="B13" s="4">
        <v>4055</v>
      </c>
      <c r="C13" s="4">
        <v>2355</v>
      </c>
      <c r="D13" s="4">
        <v>4233</v>
      </c>
      <c r="E13" s="4">
        <v>2566</v>
      </c>
      <c r="F13" s="106">
        <f t="shared" si="1"/>
        <v>13209</v>
      </c>
      <c r="G13" s="4">
        <v>4055</v>
      </c>
      <c r="H13" s="4">
        <v>2355</v>
      </c>
      <c r="I13" s="4">
        <v>4233</v>
      </c>
      <c r="J13" s="4">
        <v>2566</v>
      </c>
      <c r="K13" s="107">
        <f t="shared" si="0"/>
        <v>13209</v>
      </c>
      <c r="L13" t="s">
        <v>768</v>
      </c>
      <c r="M13" s="108" t="s">
        <v>769</v>
      </c>
    </row>
    <row r="14" spans="1:13" x14ac:dyDescent="0.25">
      <c r="A14" s="17" t="s">
        <v>765</v>
      </c>
      <c r="B14" s="4">
        <v>3022</v>
      </c>
      <c r="C14" s="4">
        <v>5523</v>
      </c>
      <c r="D14" s="4">
        <v>8024</v>
      </c>
      <c r="E14" s="4">
        <v>10525</v>
      </c>
      <c r="F14" s="106">
        <f t="shared" si="1"/>
        <v>27094</v>
      </c>
      <c r="G14" s="4">
        <v>3022</v>
      </c>
      <c r="H14" s="4">
        <v>5523</v>
      </c>
      <c r="I14" s="4">
        <v>8024</v>
      </c>
      <c r="J14" s="4">
        <v>10525</v>
      </c>
      <c r="K14" s="107">
        <f t="shared" si="0"/>
        <v>27094</v>
      </c>
      <c r="L14" t="s">
        <v>770</v>
      </c>
      <c r="M14" s="108" t="s">
        <v>771</v>
      </c>
    </row>
    <row r="15" spans="1:13" x14ac:dyDescent="0.25">
      <c r="A15" s="17" t="s">
        <v>765</v>
      </c>
      <c r="B15" s="4">
        <v>1990</v>
      </c>
      <c r="C15" s="4">
        <v>8824</v>
      </c>
      <c r="D15" s="4">
        <v>15658</v>
      </c>
      <c r="E15" s="4">
        <v>22492</v>
      </c>
      <c r="F15" s="106">
        <f t="shared" si="1"/>
        <v>48964</v>
      </c>
      <c r="G15" s="4">
        <v>1990</v>
      </c>
      <c r="H15" s="4">
        <v>8824</v>
      </c>
      <c r="I15" s="4">
        <v>15658</v>
      </c>
      <c r="J15" s="4">
        <v>22492</v>
      </c>
      <c r="K15" s="107">
        <f t="shared" si="0"/>
        <v>48964</v>
      </c>
      <c r="L15" t="s">
        <v>772</v>
      </c>
      <c r="M15" s="108" t="s">
        <v>773</v>
      </c>
    </row>
    <row r="16" spans="1:13" ht="14.4" x14ac:dyDescent="0.3">
      <c r="A16" s="115" t="s">
        <v>803</v>
      </c>
      <c r="B16" s="116">
        <f>SUM(B12:B15)</f>
        <v>11166</v>
      </c>
      <c r="C16" s="116">
        <f>SUM(C12:C15)</f>
        <v>18790</v>
      </c>
      <c r="D16" s="116">
        <f>SUM(D12:D15)</f>
        <v>29992</v>
      </c>
      <c r="E16" s="116">
        <f>SUM(E12:E15)</f>
        <v>37649</v>
      </c>
      <c r="F16" s="111">
        <f t="shared" si="1"/>
        <v>97597</v>
      </c>
      <c r="G16" s="112">
        <f>SUM(G12:G15)</f>
        <v>11166</v>
      </c>
      <c r="H16" s="112">
        <f>SUM(H12:H15)</f>
        <v>18790</v>
      </c>
      <c r="I16" s="112">
        <f>SUM(I12:I15)</f>
        <v>29992</v>
      </c>
      <c r="J16" s="112">
        <f>SUM(J12:J15)</f>
        <v>37649</v>
      </c>
      <c r="K16" s="113">
        <f t="shared" si="0"/>
        <v>97597</v>
      </c>
      <c r="M16" s="108"/>
    </row>
    <row r="17" spans="1:13" x14ac:dyDescent="0.25">
      <c r="A17" s="117" t="s">
        <v>774</v>
      </c>
      <c r="B17" s="4">
        <v>2099</v>
      </c>
      <c r="C17" s="4">
        <v>2088</v>
      </c>
      <c r="D17" s="4">
        <v>2077</v>
      </c>
      <c r="E17" s="4">
        <v>2066</v>
      </c>
      <c r="F17" s="106">
        <f t="shared" si="1"/>
        <v>8330</v>
      </c>
      <c r="G17" s="4">
        <v>2099</v>
      </c>
      <c r="H17" s="4">
        <v>2088</v>
      </c>
      <c r="I17" s="4">
        <v>2077</v>
      </c>
      <c r="J17" s="4">
        <v>2066</v>
      </c>
      <c r="K17" s="107">
        <f t="shared" si="0"/>
        <v>8330</v>
      </c>
      <c r="L17" t="s">
        <v>775</v>
      </c>
      <c r="M17" s="108" t="s">
        <v>776</v>
      </c>
    </row>
    <row r="18" spans="1:13" x14ac:dyDescent="0.25">
      <c r="A18" s="17" t="s">
        <v>774</v>
      </c>
      <c r="B18" s="4">
        <v>4055</v>
      </c>
      <c r="C18" s="4">
        <v>2355</v>
      </c>
      <c r="D18" s="4">
        <v>4233</v>
      </c>
      <c r="E18" s="4">
        <v>2566</v>
      </c>
      <c r="F18" s="106">
        <f t="shared" si="1"/>
        <v>13209</v>
      </c>
      <c r="G18" s="4">
        <v>4055</v>
      </c>
      <c r="H18" s="4">
        <v>2355</v>
      </c>
      <c r="I18" s="4">
        <v>4233</v>
      </c>
      <c r="J18" s="4">
        <v>2566</v>
      </c>
      <c r="K18" s="107">
        <f t="shared" si="0"/>
        <v>13209</v>
      </c>
      <c r="L18" t="s">
        <v>777</v>
      </c>
      <c r="M18" s="108" t="s">
        <v>778</v>
      </c>
    </row>
    <row r="19" spans="1:13" x14ac:dyDescent="0.25">
      <c r="A19" s="17" t="s">
        <v>774</v>
      </c>
      <c r="B19" s="4">
        <v>3022</v>
      </c>
      <c r="C19" s="4">
        <v>5523</v>
      </c>
      <c r="D19" s="4">
        <v>8024</v>
      </c>
      <c r="E19" s="4">
        <v>10525</v>
      </c>
      <c r="F19" s="106">
        <f t="shared" si="1"/>
        <v>27094</v>
      </c>
      <c r="G19" s="4">
        <v>3022</v>
      </c>
      <c r="H19" s="4">
        <v>5523</v>
      </c>
      <c r="I19" s="4">
        <v>8024</v>
      </c>
      <c r="J19" s="4">
        <v>10525</v>
      </c>
      <c r="K19" s="107">
        <f t="shared" si="0"/>
        <v>27094</v>
      </c>
      <c r="L19" t="s">
        <v>779</v>
      </c>
      <c r="M19" s="108" t="s">
        <v>780</v>
      </c>
    </row>
    <row r="20" spans="1:13" x14ac:dyDescent="0.25">
      <c r="A20" s="17" t="s">
        <v>774</v>
      </c>
      <c r="B20" s="4">
        <v>1990</v>
      </c>
      <c r="C20" s="4">
        <v>8824</v>
      </c>
      <c r="D20" s="4">
        <v>15658</v>
      </c>
      <c r="E20" s="4">
        <v>22492</v>
      </c>
      <c r="F20" s="106">
        <f t="shared" si="1"/>
        <v>48964</v>
      </c>
      <c r="G20" s="4">
        <v>1990</v>
      </c>
      <c r="H20" s="4">
        <v>8824</v>
      </c>
      <c r="I20" s="4">
        <v>15658</v>
      </c>
      <c r="J20" s="4">
        <v>22492</v>
      </c>
      <c r="K20" s="107">
        <f t="shared" si="0"/>
        <v>48964</v>
      </c>
      <c r="L20" t="s">
        <v>781</v>
      </c>
      <c r="M20" s="108" t="s">
        <v>782</v>
      </c>
    </row>
    <row r="21" spans="1:13" ht="14.4" x14ac:dyDescent="0.3">
      <c r="A21" s="115" t="s">
        <v>804</v>
      </c>
      <c r="B21" s="116">
        <f>SUM(B17:B20)</f>
        <v>11166</v>
      </c>
      <c r="C21" s="116">
        <f>SUM(C17:C20)</f>
        <v>18790</v>
      </c>
      <c r="D21" s="116">
        <f>SUM(D17:D20)</f>
        <v>29992</v>
      </c>
      <c r="E21" s="116">
        <f>SUM(E17:E20)</f>
        <v>37649</v>
      </c>
      <c r="F21" s="111">
        <f t="shared" si="1"/>
        <v>97597</v>
      </c>
      <c r="G21" s="112">
        <f>SUM(G17:G20)</f>
        <v>11166</v>
      </c>
      <c r="H21" s="112">
        <f>SUM(H17:H20)</f>
        <v>18790</v>
      </c>
      <c r="I21" s="112">
        <f>SUM(I17:I20)</f>
        <v>29992</v>
      </c>
      <c r="J21" s="112">
        <f>SUM(J17:J20)</f>
        <v>37649</v>
      </c>
      <c r="K21" s="113">
        <f t="shared" si="0"/>
        <v>97597</v>
      </c>
      <c r="M21" s="108"/>
    </row>
    <row r="22" spans="1:13" x14ac:dyDescent="0.25">
      <c r="A22" s="118" t="s">
        <v>783</v>
      </c>
      <c r="B22" s="4">
        <v>2099</v>
      </c>
      <c r="C22" s="4">
        <v>2088</v>
      </c>
      <c r="D22" s="4">
        <v>2077</v>
      </c>
      <c r="E22" s="4">
        <v>2066</v>
      </c>
      <c r="F22" s="106">
        <f t="shared" si="1"/>
        <v>8330</v>
      </c>
      <c r="G22" s="4">
        <v>2099</v>
      </c>
      <c r="H22" s="4">
        <v>2088</v>
      </c>
      <c r="I22" s="4">
        <v>2077</v>
      </c>
      <c r="J22" s="4">
        <v>2066</v>
      </c>
      <c r="K22" s="107">
        <f t="shared" si="0"/>
        <v>8330</v>
      </c>
      <c r="L22" t="s">
        <v>784</v>
      </c>
      <c r="M22" s="108" t="s">
        <v>785</v>
      </c>
    </row>
    <row r="23" spans="1:13" x14ac:dyDescent="0.25">
      <c r="A23" s="17" t="s">
        <v>783</v>
      </c>
      <c r="B23" s="4">
        <v>4055</v>
      </c>
      <c r="C23" s="4">
        <v>2355</v>
      </c>
      <c r="D23" s="4">
        <v>4233</v>
      </c>
      <c r="E23" s="4">
        <v>2566</v>
      </c>
      <c r="F23" s="106">
        <f t="shared" si="1"/>
        <v>13209</v>
      </c>
      <c r="G23" s="4">
        <v>4055</v>
      </c>
      <c r="H23" s="4">
        <v>2355</v>
      </c>
      <c r="I23" s="4">
        <v>4233</v>
      </c>
      <c r="J23" s="4">
        <v>2566</v>
      </c>
      <c r="K23" s="107">
        <f t="shared" si="0"/>
        <v>13209</v>
      </c>
      <c r="L23" t="s">
        <v>786</v>
      </c>
      <c r="M23" s="108" t="s">
        <v>787</v>
      </c>
    </row>
    <row r="24" spans="1:13" x14ac:dyDescent="0.25">
      <c r="A24" s="17" t="s">
        <v>783</v>
      </c>
      <c r="B24" s="4">
        <v>3022</v>
      </c>
      <c r="C24" s="4">
        <v>5523</v>
      </c>
      <c r="D24" s="4">
        <v>8024</v>
      </c>
      <c r="E24" s="4">
        <v>10525</v>
      </c>
      <c r="F24" s="106">
        <f t="shared" si="1"/>
        <v>27094</v>
      </c>
      <c r="G24" s="4">
        <v>3022</v>
      </c>
      <c r="H24" s="4">
        <v>5523</v>
      </c>
      <c r="I24" s="4">
        <v>8024</v>
      </c>
      <c r="J24" s="4">
        <v>10525</v>
      </c>
      <c r="K24" s="107">
        <f t="shared" si="0"/>
        <v>27094</v>
      </c>
      <c r="L24" t="s">
        <v>788</v>
      </c>
      <c r="M24" s="108" t="s">
        <v>789</v>
      </c>
    </row>
    <row r="25" spans="1:13" x14ac:dyDescent="0.25">
      <c r="A25" s="17" t="s">
        <v>783</v>
      </c>
      <c r="B25" s="4">
        <v>1990</v>
      </c>
      <c r="C25" s="4">
        <v>8824</v>
      </c>
      <c r="D25" s="4">
        <v>15658</v>
      </c>
      <c r="E25" s="4">
        <v>22492</v>
      </c>
      <c r="F25" s="106">
        <f t="shared" si="1"/>
        <v>48964</v>
      </c>
      <c r="G25" s="4">
        <v>1990</v>
      </c>
      <c r="H25" s="4">
        <v>8824</v>
      </c>
      <c r="I25" s="4">
        <v>15658</v>
      </c>
      <c r="J25" s="4">
        <v>22492</v>
      </c>
      <c r="K25" s="107">
        <f t="shared" si="0"/>
        <v>48964</v>
      </c>
      <c r="L25" t="s">
        <v>790</v>
      </c>
      <c r="M25" s="108" t="s">
        <v>791</v>
      </c>
    </row>
    <row r="26" spans="1:13" ht="14.4" x14ac:dyDescent="0.3">
      <c r="A26" s="119" t="s">
        <v>805</v>
      </c>
      <c r="B26" s="120">
        <f>SUM(B22:B25)</f>
        <v>11166</v>
      </c>
      <c r="C26" s="120">
        <f>SUM(C22:C25)</f>
        <v>18790</v>
      </c>
      <c r="D26" s="120">
        <f>SUM(D22:D25)</f>
        <v>29992</v>
      </c>
      <c r="E26" s="120">
        <f>SUM(E22:E25)</f>
        <v>37649</v>
      </c>
      <c r="F26" s="121">
        <f t="shared" si="1"/>
        <v>97597</v>
      </c>
      <c r="G26" s="122">
        <f>SUM(G22:G25)</f>
        <v>11166</v>
      </c>
      <c r="H26" s="122">
        <f>SUM(H22:H25)</f>
        <v>18790</v>
      </c>
      <c r="I26" s="122">
        <f>SUM(I22:I25)</f>
        <v>29992</v>
      </c>
      <c r="J26" s="122">
        <f>SUM(J22:J25)</f>
        <v>37649</v>
      </c>
      <c r="K26" s="123">
        <f t="shared" si="0"/>
        <v>97597</v>
      </c>
      <c r="L26" s="124"/>
      <c r="M26" s="12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48576"/>
  <sheetViews>
    <sheetView showGridLines="0" tabSelected="1" topLeftCell="A7" zoomScale="120" zoomScaleNormal="120" workbookViewId="0">
      <selection activeCell="D11" sqref="D11"/>
    </sheetView>
  </sheetViews>
  <sheetFormatPr defaultRowHeight="13.2" x14ac:dyDescent="0.25"/>
  <cols>
    <col min="2" max="2" width="28.109375" bestFit="1" customWidth="1"/>
    <col min="3" max="3" width="22.6640625" bestFit="1" customWidth="1"/>
    <col min="4" max="4" width="18.6640625" bestFit="1" customWidth="1"/>
  </cols>
  <sheetData>
    <row r="1" spans="1:5" ht="15.6" x14ac:dyDescent="0.3">
      <c r="A1" s="70"/>
    </row>
    <row r="2" spans="1:5" ht="23.4" thickBot="1" x14ac:dyDescent="0.45">
      <c r="A2" s="13" t="s">
        <v>797</v>
      </c>
      <c r="B2" s="2"/>
      <c r="C2" s="2"/>
      <c r="D2" s="2"/>
      <c r="E2" s="2"/>
    </row>
    <row r="4" spans="1:5" ht="17.399999999999999" x14ac:dyDescent="0.3">
      <c r="B4" s="85" t="s">
        <v>260</v>
      </c>
    </row>
    <row r="6" spans="1:5" ht="18.899999999999999" customHeight="1" x14ac:dyDescent="0.25">
      <c r="B6" s="94" t="s">
        <v>261</v>
      </c>
      <c r="C6" s="93" t="s">
        <v>262</v>
      </c>
      <c r="D6" s="93" t="s">
        <v>263</v>
      </c>
      <c r="E6" s="93" t="s">
        <v>10</v>
      </c>
    </row>
    <row r="7" spans="1:5" x14ac:dyDescent="0.25">
      <c r="B7" s="91" t="s">
        <v>264</v>
      </c>
      <c r="C7" s="91" t="s">
        <v>265</v>
      </c>
      <c r="D7" s="91" t="s">
        <v>266</v>
      </c>
      <c r="E7" s="92">
        <v>261.54000000000002</v>
      </c>
    </row>
    <row r="8" spans="1:5" x14ac:dyDescent="0.25">
      <c r="B8" s="91" t="s">
        <v>267</v>
      </c>
      <c r="C8" s="91" t="s">
        <v>4</v>
      </c>
      <c r="D8" s="91" t="s">
        <v>266</v>
      </c>
      <c r="E8" s="92">
        <v>6.93</v>
      </c>
    </row>
    <row r="9" spans="1:5" x14ac:dyDescent="0.25">
      <c r="B9" s="91" t="s">
        <v>268</v>
      </c>
      <c r="C9" s="91" t="s">
        <v>4</v>
      </c>
      <c r="D9" s="91" t="s">
        <v>269</v>
      </c>
      <c r="E9" s="92">
        <v>2808.08</v>
      </c>
    </row>
    <row r="10" spans="1:5" x14ac:dyDescent="0.25">
      <c r="B10" s="91" t="s">
        <v>268</v>
      </c>
      <c r="C10" s="91" t="s">
        <v>4</v>
      </c>
      <c r="D10" s="91" t="s">
        <v>269</v>
      </c>
      <c r="E10" s="92">
        <v>1761.4</v>
      </c>
    </row>
    <row r="11" spans="1:5" x14ac:dyDescent="0.25">
      <c r="B11" s="91" t="s">
        <v>268</v>
      </c>
      <c r="C11" s="91" t="s">
        <v>4</v>
      </c>
      <c r="D11" s="91" t="s">
        <v>270</v>
      </c>
      <c r="E11" s="92">
        <v>160.23349999999999</v>
      </c>
    </row>
    <row r="12" spans="1:5" x14ac:dyDescent="0.25">
      <c r="B12" s="91" t="s">
        <v>268</v>
      </c>
      <c r="C12" s="91" t="s">
        <v>4</v>
      </c>
      <c r="D12" s="91" t="s">
        <v>270</v>
      </c>
      <c r="E12" s="92">
        <v>140.56</v>
      </c>
    </row>
    <row r="13" spans="1:5" x14ac:dyDescent="0.25">
      <c r="B13" s="91" t="s">
        <v>271</v>
      </c>
      <c r="C13" s="91" t="s">
        <v>4</v>
      </c>
      <c r="D13" s="91" t="s">
        <v>266</v>
      </c>
      <c r="E13" s="92">
        <v>288.56</v>
      </c>
    </row>
    <row r="14" spans="1:5" x14ac:dyDescent="0.25">
      <c r="B14" s="91" t="s">
        <v>271</v>
      </c>
      <c r="C14" s="91" t="s">
        <v>4</v>
      </c>
      <c r="D14" s="91" t="s">
        <v>270</v>
      </c>
      <c r="E14" s="92">
        <v>1892.848</v>
      </c>
    </row>
    <row r="15" spans="1:5" x14ac:dyDescent="0.25">
      <c r="B15" s="91" t="s">
        <v>272</v>
      </c>
      <c r="C15" s="91" t="s">
        <v>273</v>
      </c>
      <c r="D15" s="91" t="s">
        <v>270</v>
      </c>
      <c r="E15" s="92">
        <v>2484.7455</v>
      </c>
    </row>
    <row r="16" spans="1:5" x14ac:dyDescent="0.25">
      <c r="B16" s="91" t="s">
        <v>274</v>
      </c>
      <c r="C16" s="91" t="s">
        <v>4</v>
      </c>
      <c r="D16" s="91" t="s">
        <v>270</v>
      </c>
      <c r="E16" s="92">
        <v>3812.73</v>
      </c>
    </row>
    <row r="17" spans="2:5" x14ac:dyDescent="0.25">
      <c r="B17" s="91" t="s">
        <v>268</v>
      </c>
      <c r="C17" s="91" t="s">
        <v>4</v>
      </c>
      <c r="D17" s="91" t="s">
        <v>269</v>
      </c>
      <c r="E17" s="92">
        <v>5140.7145</v>
      </c>
    </row>
    <row r="18" spans="2:5" x14ac:dyDescent="0.25">
      <c r="B18" s="91" t="s">
        <v>268</v>
      </c>
      <c r="C18" s="91" t="s">
        <v>4</v>
      </c>
      <c r="D18" s="91" t="s">
        <v>269</v>
      </c>
      <c r="E18" s="92">
        <v>6468.6989999999996</v>
      </c>
    </row>
    <row r="19" spans="2:5" x14ac:dyDescent="0.25">
      <c r="B19" s="91" t="s">
        <v>268</v>
      </c>
      <c r="C19" s="91" t="s">
        <v>4</v>
      </c>
      <c r="D19" s="91" t="s">
        <v>270</v>
      </c>
      <c r="E19" s="92">
        <v>7796.6835000000001</v>
      </c>
    </row>
    <row r="20" spans="2:5" x14ac:dyDescent="0.25">
      <c r="B20" s="91" t="s">
        <v>268</v>
      </c>
      <c r="C20" s="91" t="s">
        <v>4</v>
      </c>
      <c r="D20" s="91" t="s">
        <v>270</v>
      </c>
      <c r="E20" s="92">
        <v>9124.6679999999997</v>
      </c>
    </row>
    <row r="21" spans="2:5" x14ac:dyDescent="0.25">
      <c r="B21" s="91" t="s">
        <v>271</v>
      </c>
      <c r="C21" s="91" t="s">
        <v>4</v>
      </c>
      <c r="D21" s="91" t="s">
        <v>266</v>
      </c>
      <c r="E21" s="92">
        <v>10452.6525</v>
      </c>
    </row>
    <row r="22" spans="2:5" x14ac:dyDescent="0.25">
      <c r="B22" s="91" t="s">
        <v>271</v>
      </c>
      <c r="C22" s="91" t="s">
        <v>4</v>
      </c>
      <c r="D22" s="91" t="s">
        <v>270</v>
      </c>
      <c r="E22" s="92">
        <v>11780.637000000001</v>
      </c>
    </row>
    <row r="23" spans="2:5" x14ac:dyDescent="0.25">
      <c r="B23" s="91" t="s">
        <v>272</v>
      </c>
      <c r="C23" s="91" t="s">
        <v>273</v>
      </c>
      <c r="D23" s="91" t="s">
        <v>270</v>
      </c>
      <c r="E23" s="92">
        <v>13108.621499999999</v>
      </c>
    </row>
    <row r="24" spans="2:5" x14ac:dyDescent="0.25">
      <c r="B24" s="91" t="s">
        <v>274</v>
      </c>
      <c r="C24" s="91" t="s">
        <v>4</v>
      </c>
      <c r="D24" s="91" t="s">
        <v>270</v>
      </c>
      <c r="E24" s="92">
        <v>14436.606</v>
      </c>
    </row>
    <row r="25" spans="2:5" x14ac:dyDescent="0.25">
      <c r="B25" s="91" t="s">
        <v>275</v>
      </c>
      <c r="C25" s="91" t="s">
        <v>276</v>
      </c>
      <c r="D25" s="91" t="s">
        <v>266</v>
      </c>
      <c r="E25" s="92">
        <v>108.15</v>
      </c>
    </row>
    <row r="26" spans="2:5" x14ac:dyDescent="0.25">
      <c r="B26" s="91" t="s">
        <v>277</v>
      </c>
      <c r="C26" s="91" t="s">
        <v>4</v>
      </c>
      <c r="D26" s="91" t="s">
        <v>269</v>
      </c>
      <c r="E26" s="92">
        <v>1186.06</v>
      </c>
    </row>
    <row r="27" spans="2:5" x14ac:dyDescent="0.25">
      <c r="B27" s="91" t="s">
        <v>277</v>
      </c>
      <c r="C27" s="91" t="s">
        <v>4</v>
      </c>
      <c r="D27" s="91" t="s">
        <v>266</v>
      </c>
      <c r="E27" s="92">
        <v>51.53</v>
      </c>
    </row>
    <row r="28" spans="2:5" x14ac:dyDescent="0.25">
      <c r="B28" s="91" t="s">
        <v>278</v>
      </c>
      <c r="C28" s="91" t="s">
        <v>273</v>
      </c>
      <c r="D28" s="91" t="s">
        <v>266</v>
      </c>
      <c r="E28" s="92">
        <v>90.05</v>
      </c>
    </row>
    <row r="29" spans="2:5" x14ac:dyDescent="0.25">
      <c r="B29" s="91" t="s">
        <v>278</v>
      </c>
      <c r="C29" s="91" t="s">
        <v>273</v>
      </c>
      <c r="D29" s="91" t="s">
        <v>270</v>
      </c>
      <c r="E29" s="92">
        <v>7804.53</v>
      </c>
    </row>
    <row r="30" spans="2:5" x14ac:dyDescent="0.25">
      <c r="B30" s="91" t="s">
        <v>279</v>
      </c>
      <c r="C30" s="91" t="s">
        <v>273</v>
      </c>
      <c r="D30" s="91" t="s">
        <v>270</v>
      </c>
      <c r="E30" s="92">
        <v>4158.1234999999997</v>
      </c>
    </row>
    <row r="31" spans="2:5" x14ac:dyDescent="0.25">
      <c r="B31" s="91" t="s">
        <v>280</v>
      </c>
      <c r="C31" s="91" t="s">
        <v>276</v>
      </c>
      <c r="D31" s="91" t="s">
        <v>266</v>
      </c>
      <c r="E31" s="92">
        <v>75.569999999999993</v>
      </c>
    </row>
    <row r="32" spans="2:5" x14ac:dyDescent="0.25">
      <c r="B32" s="91" t="s">
        <v>281</v>
      </c>
      <c r="C32" s="91" t="s">
        <v>4</v>
      </c>
      <c r="D32" s="91" t="s">
        <v>266</v>
      </c>
      <c r="E32" s="92">
        <v>32.72</v>
      </c>
    </row>
    <row r="33" spans="2:5" x14ac:dyDescent="0.25">
      <c r="B33" s="91" t="s">
        <v>282</v>
      </c>
      <c r="C33" s="91" t="s">
        <v>4</v>
      </c>
      <c r="D33" s="91" t="s">
        <v>270</v>
      </c>
      <c r="E33" s="92">
        <v>461.89</v>
      </c>
    </row>
    <row r="34" spans="2:5" x14ac:dyDescent="0.25">
      <c r="B34" s="91" t="s">
        <v>282</v>
      </c>
      <c r="C34" s="91" t="s">
        <v>4</v>
      </c>
      <c r="D34" s="91" t="s">
        <v>266</v>
      </c>
      <c r="E34" s="92">
        <v>575.11</v>
      </c>
    </row>
    <row r="35" spans="2:5" x14ac:dyDescent="0.25">
      <c r="B35" s="91" t="s">
        <v>282</v>
      </c>
      <c r="C35" s="91" t="s">
        <v>4</v>
      </c>
      <c r="D35" s="91" t="s">
        <v>266</v>
      </c>
      <c r="E35" s="92">
        <v>236.46</v>
      </c>
    </row>
    <row r="36" spans="2:5" x14ac:dyDescent="0.25">
      <c r="B36" s="91" t="s">
        <v>283</v>
      </c>
      <c r="C36" s="91" t="s">
        <v>276</v>
      </c>
      <c r="D36" s="91" t="s">
        <v>270</v>
      </c>
      <c r="E36" s="92">
        <v>192.81399999999999</v>
      </c>
    </row>
    <row r="37" spans="2:5" x14ac:dyDescent="0.25">
      <c r="B37" s="91" t="s">
        <v>283</v>
      </c>
      <c r="C37" s="91" t="s">
        <v>276</v>
      </c>
      <c r="D37" s="91" t="s">
        <v>269</v>
      </c>
      <c r="E37" s="92">
        <v>4011.65</v>
      </c>
    </row>
    <row r="38" spans="2:5" x14ac:dyDescent="0.25">
      <c r="B38" s="91" t="s">
        <v>284</v>
      </c>
      <c r="C38" s="91" t="s">
        <v>273</v>
      </c>
      <c r="D38" s="91" t="s">
        <v>266</v>
      </c>
      <c r="E38" s="92">
        <v>1132.5999999999999</v>
      </c>
    </row>
    <row r="39" spans="2:5" x14ac:dyDescent="0.25">
      <c r="B39" s="91" t="s">
        <v>285</v>
      </c>
      <c r="C39" s="91" t="s">
        <v>276</v>
      </c>
      <c r="D39" s="91" t="s">
        <v>270</v>
      </c>
      <c r="E39" s="92">
        <v>125.85</v>
      </c>
    </row>
    <row r="40" spans="2:5" x14ac:dyDescent="0.25">
      <c r="B40" s="91" t="s">
        <v>286</v>
      </c>
      <c r="C40" s="91" t="s">
        <v>276</v>
      </c>
      <c r="D40" s="91" t="s">
        <v>270</v>
      </c>
      <c r="E40" s="92">
        <v>567.93599999999992</v>
      </c>
    </row>
    <row r="41" spans="2:5" x14ac:dyDescent="0.25">
      <c r="B41" s="91" t="s">
        <v>287</v>
      </c>
      <c r="C41" s="91" t="s">
        <v>276</v>
      </c>
      <c r="D41" s="91" t="s">
        <v>266</v>
      </c>
      <c r="E41" s="92">
        <v>174.89</v>
      </c>
    </row>
    <row r="42" spans="2:5" x14ac:dyDescent="0.25">
      <c r="B42" s="91" t="s">
        <v>288</v>
      </c>
      <c r="C42" s="91" t="s">
        <v>4</v>
      </c>
      <c r="D42" s="91" t="s">
        <v>269</v>
      </c>
      <c r="E42" s="92">
        <v>329.03</v>
      </c>
    </row>
    <row r="43" spans="2:5" x14ac:dyDescent="0.25">
      <c r="B43" s="91" t="s">
        <v>288</v>
      </c>
      <c r="C43" s="91" t="s">
        <v>4</v>
      </c>
      <c r="D43" s="91" t="s">
        <v>266</v>
      </c>
      <c r="E43" s="92">
        <v>20.190000000000001</v>
      </c>
    </row>
    <row r="44" spans="2:5" x14ac:dyDescent="0.25">
      <c r="B44" s="91" t="s">
        <v>289</v>
      </c>
      <c r="C44" s="91" t="s">
        <v>273</v>
      </c>
      <c r="D44" s="91" t="s">
        <v>266</v>
      </c>
      <c r="E44" s="92">
        <v>1315.74</v>
      </c>
    </row>
    <row r="45" spans="2:5" x14ac:dyDescent="0.25">
      <c r="B45" s="91" t="s">
        <v>290</v>
      </c>
      <c r="C45" s="91" t="s">
        <v>273</v>
      </c>
      <c r="D45" s="91" t="s">
        <v>266</v>
      </c>
      <c r="E45" s="92">
        <v>310.52</v>
      </c>
    </row>
    <row r="46" spans="2:5" x14ac:dyDescent="0.25">
      <c r="B46" s="91" t="s">
        <v>291</v>
      </c>
      <c r="C46" s="91" t="s">
        <v>4</v>
      </c>
      <c r="D46" s="91" t="s">
        <v>269</v>
      </c>
      <c r="E46" s="92">
        <v>184.86</v>
      </c>
    </row>
    <row r="47" spans="2:5" x14ac:dyDescent="0.25">
      <c r="B47" s="91" t="s">
        <v>291</v>
      </c>
      <c r="C47" s="91" t="s">
        <v>4</v>
      </c>
      <c r="D47" s="91" t="s">
        <v>266</v>
      </c>
      <c r="E47" s="92">
        <v>267.85000000000002</v>
      </c>
    </row>
    <row r="48" spans="2:5" x14ac:dyDescent="0.25">
      <c r="B48" s="91" t="s">
        <v>291</v>
      </c>
      <c r="C48" s="91" t="s">
        <v>4</v>
      </c>
      <c r="D48" s="91" t="s">
        <v>266</v>
      </c>
      <c r="E48" s="92">
        <v>528.5</v>
      </c>
    </row>
    <row r="49" spans="2:5" x14ac:dyDescent="0.25">
      <c r="B49" s="91" t="s">
        <v>292</v>
      </c>
      <c r="C49" s="91" t="s">
        <v>273</v>
      </c>
      <c r="D49" s="91" t="s">
        <v>266</v>
      </c>
      <c r="E49" s="92">
        <v>126.58</v>
      </c>
    </row>
    <row r="50" spans="2:5" x14ac:dyDescent="0.25">
      <c r="B50" s="91" t="s">
        <v>292</v>
      </c>
      <c r="C50" s="91" t="s">
        <v>273</v>
      </c>
      <c r="D50" s="91" t="s">
        <v>266</v>
      </c>
      <c r="E50" s="92">
        <v>23.7</v>
      </c>
    </row>
    <row r="51" spans="2:5" x14ac:dyDescent="0.25">
      <c r="B51" s="91" t="s">
        <v>293</v>
      </c>
      <c r="C51" s="91" t="s">
        <v>276</v>
      </c>
      <c r="D51" s="91" t="s">
        <v>269</v>
      </c>
      <c r="E51" s="92">
        <v>586.11</v>
      </c>
    </row>
    <row r="52" spans="2:5" x14ac:dyDescent="0.25">
      <c r="B52" s="91" t="s">
        <v>294</v>
      </c>
      <c r="C52" s="91" t="s">
        <v>276</v>
      </c>
      <c r="D52" s="91" t="s">
        <v>266</v>
      </c>
      <c r="E52" s="92">
        <v>599.1</v>
      </c>
    </row>
    <row r="53" spans="2:5" x14ac:dyDescent="0.25">
      <c r="B53" s="91" t="s">
        <v>295</v>
      </c>
      <c r="C53" s="91" t="s">
        <v>4</v>
      </c>
      <c r="D53" s="91" t="s">
        <v>266</v>
      </c>
      <c r="E53" s="92">
        <v>2029.75</v>
      </c>
    </row>
    <row r="54" spans="2:5" x14ac:dyDescent="0.25">
      <c r="B54" s="91" t="s">
        <v>295</v>
      </c>
      <c r="C54" s="91" t="s">
        <v>4</v>
      </c>
      <c r="D54" s="91" t="s">
        <v>270</v>
      </c>
      <c r="E54" s="92">
        <v>1118.396</v>
      </c>
    </row>
    <row r="55" spans="2:5" x14ac:dyDescent="0.25">
      <c r="B55" s="91" t="s">
        <v>296</v>
      </c>
      <c r="C55" s="91" t="s">
        <v>265</v>
      </c>
      <c r="D55" s="91" t="s">
        <v>266</v>
      </c>
      <c r="E55" s="92">
        <v>689.74</v>
      </c>
    </row>
    <row r="56" spans="2:5" x14ac:dyDescent="0.25">
      <c r="B56" s="91" t="s">
        <v>297</v>
      </c>
      <c r="C56" s="91" t="s">
        <v>273</v>
      </c>
      <c r="D56" s="91" t="s">
        <v>266</v>
      </c>
      <c r="E56" s="92">
        <v>154.35</v>
      </c>
    </row>
    <row r="57" spans="2:5" x14ac:dyDescent="0.25">
      <c r="B57" s="91" t="s">
        <v>297</v>
      </c>
      <c r="C57" s="91" t="s">
        <v>273</v>
      </c>
      <c r="D57" s="91" t="s">
        <v>266</v>
      </c>
      <c r="E57" s="92">
        <v>201.36</v>
      </c>
    </row>
    <row r="58" spans="2:5" x14ac:dyDescent="0.25">
      <c r="B58" s="91" t="s">
        <v>297</v>
      </c>
      <c r="C58" s="91" t="s">
        <v>273</v>
      </c>
      <c r="D58" s="91" t="s">
        <v>266</v>
      </c>
      <c r="E58" s="92">
        <v>216.77</v>
      </c>
    </row>
    <row r="59" spans="2:5" x14ac:dyDescent="0.25">
      <c r="B59" s="91" t="s">
        <v>298</v>
      </c>
      <c r="C59" s="91" t="s">
        <v>265</v>
      </c>
      <c r="D59" s="91" t="s">
        <v>270</v>
      </c>
      <c r="E59" s="92">
        <v>5677.6089999999995</v>
      </c>
    </row>
    <row r="60" spans="2:5" x14ac:dyDescent="0.25">
      <c r="B60" s="91" t="s">
        <v>299</v>
      </c>
      <c r="C60" s="91" t="s">
        <v>4</v>
      </c>
      <c r="D60" s="91" t="s">
        <v>266</v>
      </c>
      <c r="E60" s="92">
        <v>136.77000000000001</v>
      </c>
    </row>
    <row r="61" spans="2:5" x14ac:dyDescent="0.25">
      <c r="B61" s="91" t="s">
        <v>300</v>
      </c>
      <c r="C61" s="91" t="s">
        <v>273</v>
      </c>
      <c r="D61" s="91" t="s">
        <v>266</v>
      </c>
      <c r="E61" s="92">
        <v>188.73</v>
      </c>
    </row>
    <row r="62" spans="2:5" x14ac:dyDescent="0.25">
      <c r="B62" s="91" t="s">
        <v>286</v>
      </c>
      <c r="C62" s="91" t="s">
        <v>276</v>
      </c>
      <c r="D62" s="91" t="s">
        <v>266</v>
      </c>
      <c r="E62" s="92">
        <v>412.62</v>
      </c>
    </row>
    <row r="63" spans="2:5" x14ac:dyDescent="0.25">
      <c r="B63" s="91" t="s">
        <v>301</v>
      </c>
      <c r="C63" s="91" t="s">
        <v>276</v>
      </c>
      <c r="D63" s="91" t="s">
        <v>266</v>
      </c>
      <c r="E63" s="92">
        <v>10123.02</v>
      </c>
    </row>
    <row r="64" spans="2:5" x14ac:dyDescent="0.25">
      <c r="B64" s="91" t="s">
        <v>301</v>
      </c>
      <c r="C64" s="91" t="s">
        <v>276</v>
      </c>
      <c r="D64" s="91" t="s">
        <v>266</v>
      </c>
      <c r="E64" s="92">
        <v>244.57</v>
      </c>
    </row>
    <row r="65" spans="2:5" x14ac:dyDescent="0.25">
      <c r="B65" s="91" t="s">
        <v>302</v>
      </c>
      <c r="C65" s="91" t="s">
        <v>273</v>
      </c>
      <c r="D65" s="91" t="s">
        <v>266</v>
      </c>
      <c r="E65" s="92">
        <v>6375.28</v>
      </c>
    </row>
    <row r="66" spans="2:5" x14ac:dyDescent="0.25">
      <c r="B66" s="91" t="s">
        <v>303</v>
      </c>
      <c r="C66" s="91" t="s">
        <v>4</v>
      </c>
      <c r="D66" s="91" t="s">
        <v>270</v>
      </c>
      <c r="E66" s="92">
        <v>2634.8554999999997</v>
      </c>
    </row>
    <row r="67" spans="2:5" x14ac:dyDescent="0.25">
      <c r="B67" s="91" t="s">
        <v>303</v>
      </c>
      <c r="C67" s="91" t="s">
        <v>4</v>
      </c>
      <c r="D67" s="91" t="s">
        <v>266</v>
      </c>
      <c r="E67" s="92">
        <v>281</v>
      </c>
    </row>
    <row r="68" spans="2:5" x14ac:dyDescent="0.25">
      <c r="B68" s="91" t="s">
        <v>304</v>
      </c>
      <c r="C68" s="91" t="s">
        <v>265</v>
      </c>
      <c r="D68" s="91" t="s">
        <v>266</v>
      </c>
      <c r="E68" s="92">
        <v>108.09</v>
      </c>
    </row>
    <row r="69" spans="2:5" x14ac:dyDescent="0.25">
      <c r="B69" s="91" t="s">
        <v>304</v>
      </c>
      <c r="C69" s="91" t="s">
        <v>265</v>
      </c>
      <c r="D69" s="91" t="s">
        <v>266</v>
      </c>
      <c r="E69" s="92">
        <v>55.34</v>
      </c>
    </row>
    <row r="70" spans="2:5" x14ac:dyDescent="0.25">
      <c r="B70" s="91" t="s">
        <v>305</v>
      </c>
      <c r="C70" s="91" t="s">
        <v>265</v>
      </c>
      <c r="D70" s="91" t="s">
        <v>270</v>
      </c>
      <c r="E70" s="92">
        <v>3872.634</v>
      </c>
    </row>
    <row r="71" spans="2:5" x14ac:dyDescent="0.25">
      <c r="B71" s="91" t="s">
        <v>280</v>
      </c>
      <c r="C71" s="91" t="s">
        <v>4</v>
      </c>
      <c r="D71" s="91" t="s">
        <v>270</v>
      </c>
      <c r="E71" s="92">
        <v>884.12750000000005</v>
      </c>
    </row>
    <row r="72" spans="2:5" x14ac:dyDescent="0.25">
      <c r="B72" s="91" t="s">
        <v>306</v>
      </c>
      <c r="C72" s="91" t="s">
        <v>276</v>
      </c>
      <c r="D72" s="91" t="s">
        <v>266</v>
      </c>
      <c r="E72" s="92">
        <v>218.27</v>
      </c>
    </row>
    <row r="73" spans="2:5" x14ac:dyDescent="0.25">
      <c r="B73" s="91" t="s">
        <v>306</v>
      </c>
      <c r="C73" s="91" t="s">
        <v>276</v>
      </c>
      <c r="D73" s="91" t="s">
        <v>266</v>
      </c>
      <c r="E73" s="92">
        <v>100.95</v>
      </c>
    </row>
    <row r="74" spans="2:5" x14ac:dyDescent="0.25">
      <c r="B74" s="91" t="s">
        <v>307</v>
      </c>
      <c r="C74" s="91" t="s">
        <v>273</v>
      </c>
      <c r="D74" s="91" t="s">
        <v>266</v>
      </c>
      <c r="E74" s="92">
        <v>46.94</v>
      </c>
    </row>
    <row r="75" spans="2:5" x14ac:dyDescent="0.25">
      <c r="B75" s="91" t="s">
        <v>308</v>
      </c>
      <c r="C75" s="91" t="s">
        <v>265</v>
      </c>
      <c r="D75" s="91" t="s">
        <v>270</v>
      </c>
      <c r="E75" s="92">
        <v>1239.6315</v>
      </c>
    </row>
    <row r="76" spans="2:5" x14ac:dyDescent="0.25">
      <c r="B76" s="91" t="s">
        <v>309</v>
      </c>
      <c r="C76" s="91" t="s">
        <v>4</v>
      </c>
      <c r="D76" s="91" t="s">
        <v>269</v>
      </c>
      <c r="E76" s="92">
        <v>1640.9</v>
      </c>
    </row>
    <row r="77" spans="2:5" x14ac:dyDescent="0.25">
      <c r="B77" s="91" t="s">
        <v>309</v>
      </c>
      <c r="C77" s="91" t="s">
        <v>4</v>
      </c>
      <c r="D77" s="91" t="s">
        <v>270</v>
      </c>
      <c r="E77" s="92">
        <v>1235.8699999999999</v>
      </c>
    </row>
    <row r="78" spans="2:5" x14ac:dyDescent="0.25">
      <c r="B78" s="91" t="s">
        <v>310</v>
      </c>
      <c r="C78" s="91" t="s">
        <v>4</v>
      </c>
      <c r="D78" s="91" t="s">
        <v>269</v>
      </c>
      <c r="E78" s="92">
        <v>3659.66</v>
      </c>
    </row>
    <row r="79" spans="2:5" x14ac:dyDescent="0.25">
      <c r="B79" s="91" t="s">
        <v>311</v>
      </c>
      <c r="C79" s="91" t="s">
        <v>4</v>
      </c>
      <c r="D79" s="91" t="s">
        <v>269</v>
      </c>
      <c r="E79" s="92">
        <v>7666.04</v>
      </c>
    </row>
    <row r="80" spans="2:5" x14ac:dyDescent="0.25">
      <c r="B80" s="91" t="s">
        <v>312</v>
      </c>
      <c r="C80" s="91" t="s">
        <v>4</v>
      </c>
      <c r="D80" s="91" t="s">
        <v>266</v>
      </c>
      <c r="E80" s="92">
        <v>14.96</v>
      </c>
    </row>
    <row r="81" spans="2:5" x14ac:dyDescent="0.25">
      <c r="B81" s="91" t="s">
        <v>312</v>
      </c>
      <c r="C81" s="91" t="s">
        <v>4</v>
      </c>
      <c r="D81" s="91" t="s">
        <v>266</v>
      </c>
      <c r="E81" s="92">
        <v>15.69</v>
      </c>
    </row>
    <row r="82" spans="2:5" x14ac:dyDescent="0.25">
      <c r="B82" s="91" t="s">
        <v>313</v>
      </c>
      <c r="C82" s="91" t="s">
        <v>273</v>
      </c>
      <c r="D82" s="91" t="s">
        <v>266</v>
      </c>
      <c r="E82" s="92">
        <v>517.92999999999995</v>
      </c>
    </row>
    <row r="83" spans="2:5" x14ac:dyDescent="0.25">
      <c r="B83" s="91" t="s">
        <v>314</v>
      </c>
      <c r="C83" s="91" t="s">
        <v>276</v>
      </c>
      <c r="D83" s="91" t="s">
        <v>270</v>
      </c>
      <c r="E83" s="92">
        <v>1156.6714999999999</v>
      </c>
    </row>
    <row r="84" spans="2:5" x14ac:dyDescent="0.25">
      <c r="B84" s="91" t="s">
        <v>315</v>
      </c>
      <c r="C84" s="91" t="s">
        <v>265</v>
      </c>
      <c r="D84" s="91" t="s">
        <v>270</v>
      </c>
      <c r="E84" s="92">
        <v>15260.78</v>
      </c>
    </row>
    <row r="85" spans="2:5" x14ac:dyDescent="0.25">
      <c r="B85" s="91" t="s">
        <v>315</v>
      </c>
      <c r="C85" s="91" t="s">
        <v>265</v>
      </c>
      <c r="D85" s="91" t="s">
        <v>266</v>
      </c>
      <c r="E85" s="92">
        <v>540.41</v>
      </c>
    </row>
    <row r="86" spans="2:5" x14ac:dyDescent="0.25">
      <c r="B86" s="91" t="s">
        <v>316</v>
      </c>
      <c r="C86" s="91" t="s">
        <v>265</v>
      </c>
      <c r="D86" s="91" t="s">
        <v>266</v>
      </c>
      <c r="E86" s="92">
        <v>43.29</v>
      </c>
    </row>
    <row r="87" spans="2:5" x14ac:dyDescent="0.25">
      <c r="B87" s="91" t="s">
        <v>316</v>
      </c>
      <c r="C87" s="91" t="s">
        <v>265</v>
      </c>
      <c r="D87" s="91" t="s">
        <v>266</v>
      </c>
      <c r="E87" s="92">
        <v>41.7</v>
      </c>
    </row>
    <row r="88" spans="2:5" x14ac:dyDescent="0.25">
      <c r="B88" s="91" t="s">
        <v>289</v>
      </c>
      <c r="C88" s="91" t="s">
        <v>4</v>
      </c>
      <c r="D88" s="91" t="s">
        <v>270</v>
      </c>
      <c r="E88" s="92">
        <v>1162.4005</v>
      </c>
    </row>
    <row r="89" spans="2:5" x14ac:dyDescent="0.25">
      <c r="B89" s="91" t="s">
        <v>317</v>
      </c>
      <c r="C89" s="91" t="s">
        <v>4</v>
      </c>
      <c r="D89" s="91" t="s">
        <v>269</v>
      </c>
      <c r="E89" s="92">
        <v>356.7</v>
      </c>
    </row>
    <row r="90" spans="2:5" x14ac:dyDescent="0.25">
      <c r="B90" s="91" t="s">
        <v>318</v>
      </c>
      <c r="C90" s="91" t="s">
        <v>276</v>
      </c>
      <c r="D90" s="91" t="s">
        <v>266</v>
      </c>
      <c r="E90" s="92">
        <v>1000.78</v>
      </c>
    </row>
    <row r="91" spans="2:5" x14ac:dyDescent="0.25">
      <c r="B91" s="91" t="s">
        <v>318</v>
      </c>
      <c r="C91" s="91" t="s">
        <v>276</v>
      </c>
      <c r="D91" s="91" t="s">
        <v>266</v>
      </c>
      <c r="E91" s="92">
        <v>543.72</v>
      </c>
    </row>
    <row r="92" spans="2:5" x14ac:dyDescent="0.25">
      <c r="B92" s="91" t="s">
        <v>319</v>
      </c>
      <c r="C92" s="91" t="s">
        <v>265</v>
      </c>
      <c r="D92" s="91" t="s">
        <v>266</v>
      </c>
      <c r="E92" s="92">
        <v>234.2</v>
      </c>
    </row>
    <row r="93" spans="2:5" x14ac:dyDescent="0.25">
      <c r="B93" s="91" t="s">
        <v>320</v>
      </c>
      <c r="C93" s="91" t="s">
        <v>273</v>
      </c>
      <c r="D93" s="91" t="s">
        <v>270</v>
      </c>
      <c r="E93" s="92">
        <v>4509.3774999999996</v>
      </c>
    </row>
    <row r="94" spans="2:5" x14ac:dyDescent="0.25">
      <c r="B94" s="91" t="s">
        <v>321</v>
      </c>
      <c r="C94" s="91" t="s">
        <v>4</v>
      </c>
      <c r="D94" s="91" t="s">
        <v>270</v>
      </c>
      <c r="E94" s="92">
        <v>4965.7594999999992</v>
      </c>
    </row>
    <row r="95" spans="2:5" x14ac:dyDescent="0.25">
      <c r="B95" s="91" t="s">
        <v>322</v>
      </c>
      <c r="C95" s="91" t="s">
        <v>4</v>
      </c>
      <c r="D95" s="91" t="s">
        <v>266</v>
      </c>
      <c r="E95" s="92">
        <v>210.4</v>
      </c>
    </row>
    <row r="96" spans="2:5" x14ac:dyDescent="0.25">
      <c r="B96" s="91" t="s">
        <v>323</v>
      </c>
      <c r="C96" s="91" t="s">
        <v>273</v>
      </c>
      <c r="D96" s="91" t="s">
        <v>269</v>
      </c>
      <c r="E96" s="92">
        <v>1309.53</v>
      </c>
    </row>
    <row r="97" spans="2:5" x14ac:dyDescent="0.25">
      <c r="B97" s="91" t="s">
        <v>323</v>
      </c>
      <c r="C97" s="91" t="s">
        <v>273</v>
      </c>
      <c r="D97" s="91" t="s">
        <v>266</v>
      </c>
      <c r="E97" s="92">
        <v>806.37</v>
      </c>
    </row>
    <row r="98" spans="2:5" x14ac:dyDescent="0.25">
      <c r="B98" s="91" t="s">
        <v>324</v>
      </c>
      <c r="C98" s="91" t="s">
        <v>273</v>
      </c>
      <c r="D98" s="91" t="s">
        <v>269</v>
      </c>
      <c r="E98" s="92">
        <v>5437.92</v>
      </c>
    </row>
    <row r="99" spans="2:5" x14ac:dyDescent="0.25">
      <c r="B99" s="91" t="s">
        <v>325</v>
      </c>
      <c r="C99" s="91" t="s">
        <v>276</v>
      </c>
      <c r="D99" s="91" t="s">
        <v>266</v>
      </c>
      <c r="E99" s="92">
        <v>394.27</v>
      </c>
    </row>
    <row r="100" spans="2:5" x14ac:dyDescent="0.25">
      <c r="B100" s="91" t="s">
        <v>325</v>
      </c>
      <c r="C100" s="91" t="s">
        <v>276</v>
      </c>
      <c r="D100" s="91" t="s">
        <v>269</v>
      </c>
      <c r="E100" s="92">
        <v>146.69</v>
      </c>
    </row>
    <row r="101" spans="2:5" x14ac:dyDescent="0.25">
      <c r="B101" s="91" t="s">
        <v>326</v>
      </c>
      <c r="C101" s="91" t="s">
        <v>273</v>
      </c>
      <c r="D101" s="91" t="s">
        <v>266</v>
      </c>
      <c r="E101" s="92">
        <v>129.49</v>
      </c>
    </row>
    <row r="102" spans="2:5" x14ac:dyDescent="0.25">
      <c r="B102" s="91" t="s">
        <v>326</v>
      </c>
      <c r="C102" s="91" t="s">
        <v>273</v>
      </c>
      <c r="D102" s="91" t="s">
        <v>266</v>
      </c>
      <c r="E102" s="92">
        <v>202.95</v>
      </c>
    </row>
    <row r="103" spans="2:5" x14ac:dyDescent="0.25">
      <c r="B103" s="91" t="s">
        <v>326</v>
      </c>
      <c r="C103" s="91" t="s">
        <v>273</v>
      </c>
      <c r="D103" s="91" t="s">
        <v>270</v>
      </c>
      <c r="E103" s="92">
        <v>2753.1925000000001</v>
      </c>
    </row>
    <row r="104" spans="2:5" x14ac:dyDescent="0.25">
      <c r="B104" s="91" t="s">
        <v>327</v>
      </c>
      <c r="C104" s="91" t="s">
        <v>276</v>
      </c>
      <c r="D104" s="91" t="s">
        <v>266</v>
      </c>
      <c r="E104" s="92">
        <v>70.239999999999995</v>
      </c>
    </row>
    <row r="105" spans="2:5" x14ac:dyDescent="0.25">
      <c r="B105" s="91" t="s">
        <v>327</v>
      </c>
      <c r="C105" s="91" t="s">
        <v>276</v>
      </c>
      <c r="D105" s="91" t="s">
        <v>266</v>
      </c>
      <c r="E105" s="92">
        <v>40.75</v>
      </c>
    </row>
    <row r="106" spans="2:5" x14ac:dyDescent="0.25">
      <c r="B106" s="91" t="s">
        <v>327</v>
      </c>
      <c r="C106" s="91" t="s">
        <v>276</v>
      </c>
      <c r="D106" s="91" t="s">
        <v>266</v>
      </c>
      <c r="E106" s="92">
        <v>1150.8800000000001</v>
      </c>
    </row>
    <row r="107" spans="2:5" x14ac:dyDescent="0.25">
      <c r="B107" s="91" t="s">
        <v>328</v>
      </c>
      <c r="C107" s="91" t="s">
        <v>273</v>
      </c>
      <c r="D107" s="91" t="s">
        <v>266</v>
      </c>
      <c r="E107" s="92">
        <v>283.64999999999998</v>
      </c>
    </row>
    <row r="108" spans="2:5" x14ac:dyDescent="0.25">
      <c r="B108" s="91" t="s">
        <v>324</v>
      </c>
      <c r="C108" s="91" t="s">
        <v>273</v>
      </c>
      <c r="D108" s="91" t="s">
        <v>266</v>
      </c>
      <c r="E108" s="92">
        <v>840.04</v>
      </c>
    </row>
    <row r="109" spans="2:5" x14ac:dyDescent="0.25">
      <c r="B109" s="91" t="s">
        <v>329</v>
      </c>
      <c r="C109" s="91" t="s">
        <v>4</v>
      </c>
      <c r="D109" s="91" t="s">
        <v>266</v>
      </c>
      <c r="E109" s="92">
        <v>262.87</v>
      </c>
    </row>
    <row r="110" spans="2:5" x14ac:dyDescent="0.25">
      <c r="B110" s="91" t="s">
        <v>329</v>
      </c>
      <c r="C110" s="91" t="s">
        <v>4</v>
      </c>
      <c r="D110" s="91" t="s">
        <v>270</v>
      </c>
      <c r="E110" s="92">
        <v>2531.0875000000001</v>
      </c>
    </row>
    <row r="111" spans="2:5" x14ac:dyDescent="0.25">
      <c r="B111" s="91" t="s">
        <v>330</v>
      </c>
      <c r="C111" s="91" t="s">
        <v>4</v>
      </c>
      <c r="D111" s="91" t="s">
        <v>266</v>
      </c>
      <c r="E111" s="92">
        <v>93.54</v>
      </c>
    </row>
    <row r="112" spans="2:5" x14ac:dyDescent="0.25">
      <c r="B112" s="91" t="s">
        <v>330</v>
      </c>
      <c r="C112" s="91" t="s">
        <v>4</v>
      </c>
      <c r="D112" s="91" t="s">
        <v>266</v>
      </c>
      <c r="E112" s="92">
        <v>905.08</v>
      </c>
    </row>
    <row r="113" spans="2:5" x14ac:dyDescent="0.25">
      <c r="B113" s="91" t="s">
        <v>331</v>
      </c>
      <c r="C113" s="91" t="s">
        <v>4</v>
      </c>
      <c r="D113" s="91" t="s">
        <v>269</v>
      </c>
      <c r="E113" s="92">
        <v>628.22</v>
      </c>
    </row>
    <row r="114" spans="2:5" x14ac:dyDescent="0.25">
      <c r="B114" s="91" t="s">
        <v>331</v>
      </c>
      <c r="C114" s="91" t="s">
        <v>4</v>
      </c>
      <c r="D114" s="91" t="s">
        <v>269</v>
      </c>
      <c r="E114" s="92">
        <v>3366.1</v>
      </c>
    </row>
    <row r="115" spans="2:5" x14ac:dyDescent="0.25">
      <c r="B115" s="91" t="s">
        <v>332</v>
      </c>
      <c r="C115" s="91" t="s">
        <v>276</v>
      </c>
      <c r="D115" s="91" t="s">
        <v>269</v>
      </c>
      <c r="E115" s="92">
        <v>4913.6899999999996</v>
      </c>
    </row>
    <row r="116" spans="2:5" x14ac:dyDescent="0.25">
      <c r="B116" s="91" t="s">
        <v>332</v>
      </c>
      <c r="C116" s="91" t="s">
        <v>276</v>
      </c>
      <c r="D116" s="91" t="s">
        <v>266</v>
      </c>
      <c r="E116" s="92">
        <v>464.77</v>
      </c>
    </row>
    <row r="117" spans="2:5" x14ac:dyDescent="0.25">
      <c r="B117" s="91" t="s">
        <v>333</v>
      </c>
      <c r="C117" s="91" t="s">
        <v>4</v>
      </c>
      <c r="D117" s="91" t="s">
        <v>266</v>
      </c>
      <c r="E117" s="92">
        <v>2781.82</v>
      </c>
    </row>
    <row r="118" spans="2:5" x14ac:dyDescent="0.25">
      <c r="B118" s="91" t="s">
        <v>334</v>
      </c>
      <c r="C118" s="91" t="s">
        <v>4</v>
      </c>
      <c r="D118" s="91" t="s">
        <v>269</v>
      </c>
      <c r="E118" s="92">
        <v>1679.58</v>
      </c>
    </row>
    <row r="119" spans="2:5" x14ac:dyDescent="0.25">
      <c r="B119" s="91" t="s">
        <v>335</v>
      </c>
      <c r="C119" s="91" t="s">
        <v>276</v>
      </c>
      <c r="D119" s="91" t="s">
        <v>266</v>
      </c>
      <c r="E119" s="92">
        <v>557.85</v>
      </c>
    </row>
    <row r="120" spans="2:5" x14ac:dyDescent="0.25">
      <c r="B120" s="91" t="s">
        <v>336</v>
      </c>
      <c r="C120" s="91" t="s">
        <v>265</v>
      </c>
      <c r="D120" s="91" t="s">
        <v>266</v>
      </c>
      <c r="E120" s="92">
        <v>173.2</v>
      </c>
    </row>
    <row r="121" spans="2:5" x14ac:dyDescent="0.25">
      <c r="B121" s="91" t="s">
        <v>337</v>
      </c>
      <c r="C121" s="91" t="s">
        <v>273</v>
      </c>
      <c r="D121" s="91" t="s">
        <v>266</v>
      </c>
      <c r="E121" s="92">
        <v>228.41</v>
      </c>
    </row>
    <row r="122" spans="2:5" x14ac:dyDescent="0.25">
      <c r="B122" s="91" t="s">
        <v>338</v>
      </c>
      <c r="C122" s="91" t="s">
        <v>276</v>
      </c>
      <c r="D122" s="91" t="s">
        <v>266</v>
      </c>
      <c r="E122" s="92">
        <v>75.14</v>
      </c>
    </row>
    <row r="123" spans="2:5" x14ac:dyDescent="0.25">
      <c r="B123" s="91" t="s">
        <v>339</v>
      </c>
      <c r="C123" s="91" t="s">
        <v>4</v>
      </c>
      <c r="D123" s="91" t="s">
        <v>266</v>
      </c>
      <c r="E123" s="92">
        <v>161.77000000000001</v>
      </c>
    </row>
    <row r="124" spans="2:5" x14ac:dyDescent="0.25">
      <c r="B124" s="91" t="s">
        <v>339</v>
      </c>
      <c r="C124" s="91" t="s">
        <v>4</v>
      </c>
      <c r="D124" s="91" t="s">
        <v>269</v>
      </c>
      <c r="E124" s="92">
        <v>447.09</v>
      </c>
    </row>
    <row r="125" spans="2:5" x14ac:dyDescent="0.25">
      <c r="B125" s="91" t="s">
        <v>339</v>
      </c>
      <c r="C125" s="91" t="s">
        <v>4</v>
      </c>
      <c r="D125" s="91" t="s">
        <v>270</v>
      </c>
      <c r="E125" s="92">
        <v>4192.88</v>
      </c>
    </row>
    <row r="126" spans="2:5" x14ac:dyDescent="0.25">
      <c r="B126" s="91" t="s">
        <v>340</v>
      </c>
      <c r="C126" s="91" t="s">
        <v>4</v>
      </c>
      <c r="D126" s="91" t="s">
        <v>266</v>
      </c>
      <c r="E126" s="92">
        <v>560.51</v>
      </c>
    </row>
    <row r="127" spans="2:5" x14ac:dyDescent="0.25">
      <c r="B127" s="91" t="s">
        <v>340</v>
      </c>
      <c r="C127" s="91" t="s">
        <v>4</v>
      </c>
      <c r="D127" s="91" t="s">
        <v>266</v>
      </c>
      <c r="E127" s="92">
        <v>189.95</v>
      </c>
    </row>
    <row r="128" spans="2:5" x14ac:dyDescent="0.25">
      <c r="B128" s="91" t="s">
        <v>341</v>
      </c>
      <c r="C128" s="91" t="s">
        <v>4</v>
      </c>
      <c r="D128" s="91" t="s">
        <v>266</v>
      </c>
      <c r="E128" s="92">
        <v>28.01</v>
      </c>
    </row>
    <row r="129" spans="2:5" x14ac:dyDescent="0.25">
      <c r="B129" s="91" t="s">
        <v>342</v>
      </c>
      <c r="C129" s="91" t="s">
        <v>276</v>
      </c>
      <c r="D129" s="91" t="s">
        <v>270</v>
      </c>
      <c r="E129" s="92">
        <v>4261.9399999999996</v>
      </c>
    </row>
    <row r="130" spans="2:5" x14ac:dyDescent="0.25">
      <c r="B130" s="91" t="s">
        <v>343</v>
      </c>
      <c r="C130" s="91" t="s">
        <v>273</v>
      </c>
      <c r="D130" s="91" t="s">
        <v>266</v>
      </c>
      <c r="E130" s="92">
        <v>88.84</v>
      </c>
    </row>
    <row r="131" spans="2:5" x14ac:dyDescent="0.25">
      <c r="B131" s="91" t="s">
        <v>344</v>
      </c>
      <c r="C131" s="91" t="s">
        <v>276</v>
      </c>
      <c r="D131" s="91" t="s">
        <v>266</v>
      </c>
      <c r="E131" s="92">
        <v>589.24</v>
      </c>
    </row>
    <row r="132" spans="2:5" x14ac:dyDescent="0.25">
      <c r="B132" s="91" t="s">
        <v>344</v>
      </c>
      <c r="C132" s="91" t="s">
        <v>276</v>
      </c>
      <c r="D132" s="91" t="s">
        <v>266</v>
      </c>
      <c r="E132" s="92">
        <v>233.05</v>
      </c>
    </row>
    <row r="133" spans="2:5" x14ac:dyDescent="0.25">
      <c r="B133" s="91" t="s">
        <v>345</v>
      </c>
      <c r="C133" s="91" t="s">
        <v>273</v>
      </c>
      <c r="D133" s="91" t="s">
        <v>270</v>
      </c>
      <c r="E133" s="92">
        <v>2071.3395</v>
      </c>
    </row>
    <row r="134" spans="2:5" x14ac:dyDescent="0.25">
      <c r="B134" s="91" t="s">
        <v>346</v>
      </c>
      <c r="C134" s="91" t="s">
        <v>265</v>
      </c>
      <c r="D134" s="91" t="s">
        <v>266</v>
      </c>
      <c r="E134" s="92">
        <v>126.57</v>
      </c>
    </row>
    <row r="135" spans="2:5" x14ac:dyDescent="0.25">
      <c r="B135" s="91" t="s">
        <v>347</v>
      </c>
      <c r="C135" s="91" t="s">
        <v>265</v>
      </c>
      <c r="D135" s="91" t="s">
        <v>266</v>
      </c>
      <c r="E135" s="92">
        <v>43.57</v>
      </c>
    </row>
    <row r="136" spans="2:5" x14ac:dyDescent="0.25">
      <c r="B136" s="91" t="s">
        <v>347</v>
      </c>
      <c r="C136" s="91" t="s">
        <v>265</v>
      </c>
      <c r="D136" s="91" t="s">
        <v>266</v>
      </c>
      <c r="E136" s="92">
        <v>31.87</v>
      </c>
    </row>
    <row r="137" spans="2:5" x14ac:dyDescent="0.25">
      <c r="B137" s="91" t="s">
        <v>348</v>
      </c>
      <c r="C137" s="91" t="s">
        <v>4</v>
      </c>
      <c r="D137" s="91" t="s">
        <v>266</v>
      </c>
      <c r="E137" s="92">
        <v>59.85</v>
      </c>
    </row>
    <row r="138" spans="2:5" x14ac:dyDescent="0.25">
      <c r="B138" s="91" t="s">
        <v>349</v>
      </c>
      <c r="C138" s="91" t="s">
        <v>4</v>
      </c>
      <c r="D138" s="91" t="s">
        <v>266</v>
      </c>
      <c r="E138" s="92">
        <v>378.6</v>
      </c>
    </row>
    <row r="139" spans="2:5" x14ac:dyDescent="0.25">
      <c r="B139" s="91" t="s">
        <v>349</v>
      </c>
      <c r="C139" s="91" t="s">
        <v>4</v>
      </c>
      <c r="D139" s="91" t="s">
        <v>270</v>
      </c>
      <c r="E139" s="92">
        <v>38.5</v>
      </c>
    </row>
    <row r="140" spans="2:5" x14ac:dyDescent="0.25">
      <c r="B140" s="91" t="s">
        <v>350</v>
      </c>
      <c r="C140" s="91" t="s">
        <v>265</v>
      </c>
      <c r="D140" s="91" t="s">
        <v>269</v>
      </c>
      <c r="E140" s="92">
        <v>197.56</v>
      </c>
    </row>
    <row r="141" spans="2:5" x14ac:dyDescent="0.25">
      <c r="B141" s="91" t="s">
        <v>351</v>
      </c>
      <c r="C141" s="91" t="s">
        <v>273</v>
      </c>
      <c r="D141" s="91" t="s">
        <v>266</v>
      </c>
      <c r="E141" s="92">
        <v>196.85</v>
      </c>
    </row>
    <row r="142" spans="2:5" x14ac:dyDescent="0.25">
      <c r="B142" s="91" t="s">
        <v>351</v>
      </c>
      <c r="C142" s="91" t="s">
        <v>273</v>
      </c>
      <c r="D142" s="91" t="s">
        <v>266</v>
      </c>
      <c r="E142" s="92">
        <v>124.56</v>
      </c>
    </row>
    <row r="143" spans="2:5" x14ac:dyDescent="0.25">
      <c r="B143" s="91" t="s">
        <v>352</v>
      </c>
      <c r="C143" s="91" t="s">
        <v>4</v>
      </c>
      <c r="D143" s="91" t="s">
        <v>266</v>
      </c>
      <c r="E143" s="92">
        <v>53.46</v>
      </c>
    </row>
    <row r="144" spans="2:5" x14ac:dyDescent="0.25">
      <c r="B144" s="91" t="s">
        <v>353</v>
      </c>
      <c r="C144" s="91" t="s">
        <v>273</v>
      </c>
      <c r="D144" s="91" t="s">
        <v>266</v>
      </c>
      <c r="E144" s="92">
        <v>19.32</v>
      </c>
    </row>
    <row r="145" spans="2:5" x14ac:dyDescent="0.25">
      <c r="B145" s="91" t="s">
        <v>354</v>
      </c>
      <c r="C145" s="91" t="s">
        <v>273</v>
      </c>
      <c r="D145" s="91" t="s">
        <v>270</v>
      </c>
      <c r="E145" s="92">
        <v>1813.04</v>
      </c>
    </row>
    <row r="146" spans="2:5" x14ac:dyDescent="0.25">
      <c r="B146" s="91" t="s">
        <v>336</v>
      </c>
      <c r="C146" s="91" t="s">
        <v>265</v>
      </c>
      <c r="D146" s="91" t="s">
        <v>266</v>
      </c>
      <c r="E146" s="92">
        <v>125.16</v>
      </c>
    </row>
    <row r="147" spans="2:5" x14ac:dyDescent="0.25">
      <c r="B147" s="91" t="s">
        <v>355</v>
      </c>
      <c r="C147" s="91" t="s">
        <v>4</v>
      </c>
      <c r="D147" s="91" t="s">
        <v>266</v>
      </c>
      <c r="E147" s="92">
        <v>65.7</v>
      </c>
    </row>
    <row r="148" spans="2:5" x14ac:dyDescent="0.25">
      <c r="B148" s="91" t="s">
        <v>356</v>
      </c>
      <c r="C148" s="91" t="s">
        <v>273</v>
      </c>
      <c r="D148" s="91" t="s">
        <v>266</v>
      </c>
      <c r="E148" s="92">
        <v>716.84</v>
      </c>
    </row>
    <row r="149" spans="2:5" x14ac:dyDescent="0.25">
      <c r="B149" s="91" t="s">
        <v>356</v>
      </c>
      <c r="C149" s="91" t="s">
        <v>273</v>
      </c>
      <c r="D149" s="91" t="s">
        <v>270</v>
      </c>
      <c r="E149" s="92">
        <v>1474.33</v>
      </c>
    </row>
    <row r="150" spans="2:5" x14ac:dyDescent="0.25">
      <c r="B150" s="91" t="s">
        <v>322</v>
      </c>
      <c r="C150" s="91" t="s">
        <v>4</v>
      </c>
      <c r="D150" s="91" t="s">
        <v>266</v>
      </c>
      <c r="E150" s="92">
        <v>1661.04</v>
      </c>
    </row>
    <row r="151" spans="2:5" x14ac:dyDescent="0.25">
      <c r="B151" s="91" t="s">
        <v>357</v>
      </c>
      <c r="C151" s="91" t="s">
        <v>273</v>
      </c>
      <c r="D151" s="91" t="s">
        <v>269</v>
      </c>
      <c r="E151" s="92">
        <v>104.94</v>
      </c>
    </row>
    <row r="152" spans="2:5" x14ac:dyDescent="0.25">
      <c r="B152" s="91" t="s">
        <v>358</v>
      </c>
      <c r="C152" s="91" t="s">
        <v>273</v>
      </c>
      <c r="D152" s="91" t="s">
        <v>266</v>
      </c>
      <c r="E152" s="92">
        <v>1246.52</v>
      </c>
    </row>
    <row r="153" spans="2:5" x14ac:dyDescent="0.25">
      <c r="B153" s="91" t="s">
        <v>359</v>
      </c>
      <c r="C153" s="91" t="s">
        <v>276</v>
      </c>
      <c r="D153" s="91" t="s">
        <v>270</v>
      </c>
      <c r="E153" s="92">
        <v>676.13</v>
      </c>
    </row>
    <row r="154" spans="2:5" x14ac:dyDescent="0.25">
      <c r="B154" s="91" t="s">
        <v>359</v>
      </c>
      <c r="C154" s="91" t="s">
        <v>276</v>
      </c>
      <c r="D154" s="91" t="s">
        <v>269</v>
      </c>
      <c r="E154" s="92">
        <v>7668.55</v>
      </c>
    </row>
    <row r="155" spans="2:5" x14ac:dyDescent="0.25">
      <c r="B155" s="91" t="s">
        <v>360</v>
      </c>
      <c r="C155" s="91" t="s">
        <v>273</v>
      </c>
      <c r="D155" s="91" t="s">
        <v>266</v>
      </c>
      <c r="E155" s="92">
        <v>1193.6500000000001</v>
      </c>
    </row>
    <row r="156" spans="2:5" x14ac:dyDescent="0.25">
      <c r="B156" s="91" t="s">
        <v>361</v>
      </c>
      <c r="C156" s="91" t="s">
        <v>4</v>
      </c>
      <c r="D156" s="91" t="s">
        <v>266</v>
      </c>
      <c r="E156" s="92">
        <v>1925.83</v>
      </c>
    </row>
    <row r="157" spans="2:5" x14ac:dyDescent="0.25">
      <c r="B157" s="91" t="s">
        <v>362</v>
      </c>
      <c r="C157" s="91" t="s">
        <v>276</v>
      </c>
      <c r="D157" s="91" t="s">
        <v>266</v>
      </c>
      <c r="E157" s="92">
        <v>1222.68</v>
      </c>
    </row>
    <row r="158" spans="2:5" x14ac:dyDescent="0.25">
      <c r="B158" s="91" t="s">
        <v>362</v>
      </c>
      <c r="C158" s="91" t="s">
        <v>276</v>
      </c>
      <c r="D158" s="91" t="s">
        <v>269</v>
      </c>
      <c r="E158" s="92">
        <v>390.2</v>
      </c>
    </row>
    <row r="159" spans="2:5" x14ac:dyDescent="0.25">
      <c r="B159" s="91" t="s">
        <v>363</v>
      </c>
      <c r="C159" s="91" t="s">
        <v>4</v>
      </c>
      <c r="D159" s="91" t="s">
        <v>270</v>
      </c>
      <c r="E159" s="92">
        <v>227.66</v>
      </c>
    </row>
    <row r="160" spans="2:5" x14ac:dyDescent="0.25">
      <c r="B160" s="91" t="s">
        <v>363</v>
      </c>
      <c r="C160" s="91" t="s">
        <v>4</v>
      </c>
      <c r="D160" s="91" t="s">
        <v>266</v>
      </c>
      <c r="E160" s="92">
        <v>84.33</v>
      </c>
    </row>
    <row r="161" spans="2:5" x14ac:dyDescent="0.25">
      <c r="B161" s="91" t="s">
        <v>364</v>
      </c>
      <c r="C161" s="91" t="s">
        <v>265</v>
      </c>
      <c r="D161" s="91" t="s">
        <v>269</v>
      </c>
      <c r="E161" s="92">
        <v>922.39</v>
      </c>
    </row>
    <row r="162" spans="2:5" x14ac:dyDescent="0.25">
      <c r="B162" s="91" t="s">
        <v>364</v>
      </c>
      <c r="C162" s="91" t="s">
        <v>265</v>
      </c>
      <c r="D162" s="91" t="s">
        <v>266</v>
      </c>
      <c r="E162" s="92">
        <v>79.19</v>
      </c>
    </row>
    <row r="163" spans="2:5" x14ac:dyDescent="0.25">
      <c r="B163" s="91" t="s">
        <v>365</v>
      </c>
      <c r="C163" s="91" t="s">
        <v>265</v>
      </c>
      <c r="D163" s="91" t="s">
        <v>266</v>
      </c>
      <c r="E163" s="92">
        <v>80.61</v>
      </c>
    </row>
    <row r="164" spans="2:5" x14ac:dyDescent="0.25">
      <c r="B164" s="91" t="s">
        <v>366</v>
      </c>
      <c r="C164" s="91" t="s">
        <v>276</v>
      </c>
      <c r="D164" s="91" t="s">
        <v>269</v>
      </c>
      <c r="E164" s="92">
        <v>605.97</v>
      </c>
    </row>
    <row r="165" spans="2:5" x14ac:dyDescent="0.25">
      <c r="B165" s="91" t="s">
        <v>367</v>
      </c>
      <c r="C165" s="91" t="s">
        <v>265</v>
      </c>
      <c r="D165" s="91" t="s">
        <v>266</v>
      </c>
      <c r="E165" s="92">
        <v>4064.05</v>
      </c>
    </row>
    <row r="166" spans="2:5" x14ac:dyDescent="0.25">
      <c r="B166" s="91" t="s">
        <v>367</v>
      </c>
      <c r="C166" s="91" t="s">
        <v>265</v>
      </c>
      <c r="D166" s="91" t="s">
        <v>266</v>
      </c>
      <c r="E166" s="92">
        <v>3213.87</v>
      </c>
    </row>
    <row r="167" spans="2:5" x14ac:dyDescent="0.25">
      <c r="B167" s="91" t="s">
        <v>368</v>
      </c>
      <c r="C167" s="91" t="s">
        <v>4</v>
      </c>
      <c r="D167" s="91" t="s">
        <v>266</v>
      </c>
      <c r="E167" s="92">
        <v>315.02</v>
      </c>
    </row>
    <row r="168" spans="2:5" x14ac:dyDescent="0.25">
      <c r="B168" s="91" t="s">
        <v>368</v>
      </c>
      <c r="C168" s="91" t="s">
        <v>4</v>
      </c>
      <c r="D168" s="91" t="s">
        <v>266</v>
      </c>
      <c r="E168" s="92">
        <v>40.020000000000003</v>
      </c>
    </row>
    <row r="169" spans="2:5" x14ac:dyDescent="0.25">
      <c r="B169" s="91" t="s">
        <v>369</v>
      </c>
      <c r="C169" s="91" t="s">
        <v>4</v>
      </c>
      <c r="D169" s="91" t="s">
        <v>269</v>
      </c>
      <c r="E169" s="92">
        <v>11230.25</v>
      </c>
    </row>
    <row r="170" spans="2:5" x14ac:dyDescent="0.25">
      <c r="B170" s="91" t="s">
        <v>370</v>
      </c>
      <c r="C170" s="91" t="s">
        <v>276</v>
      </c>
      <c r="D170" s="91" t="s">
        <v>270</v>
      </c>
      <c r="E170" s="92">
        <v>90.56</v>
      </c>
    </row>
    <row r="171" spans="2:5" x14ac:dyDescent="0.25">
      <c r="B171" s="91" t="s">
        <v>370</v>
      </c>
      <c r="C171" s="91" t="s">
        <v>276</v>
      </c>
      <c r="D171" s="91" t="s">
        <v>266</v>
      </c>
      <c r="E171" s="92">
        <v>1634.9</v>
      </c>
    </row>
    <row r="172" spans="2:5" x14ac:dyDescent="0.25">
      <c r="B172" s="91" t="s">
        <v>370</v>
      </c>
      <c r="C172" s="91" t="s">
        <v>276</v>
      </c>
      <c r="D172" s="91" t="s">
        <v>269</v>
      </c>
      <c r="E172" s="92">
        <v>11278.18</v>
      </c>
    </row>
    <row r="173" spans="2:5" x14ac:dyDescent="0.25">
      <c r="B173" s="91" t="s">
        <v>371</v>
      </c>
      <c r="C173" s="91" t="s">
        <v>4</v>
      </c>
      <c r="D173" s="91" t="s">
        <v>266</v>
      </c>
      <c r="E173" s="92">
        <v>132.07</v>
      </c>
    </row>
    <row r="174" spans="2:5" x14ac:dyDescent="0.25">
      <c r="B174" s="91" t="s">
        <v>351</v>
      </c>
      <c r="C174" s="91" t="s">
        <v>273</v>
      </c>
      <c r="D174" s="91" t="s">
        <v>269</v>
      </c>
      <c r="E174" s="92">
        <v>1815.49</v>
      </c>
    </row>
    <row r="175" spans="2:5" x14ac:dyDescent="0.25">
      <c r="B175" s="91" t="s">
        <v>372</v>
      </c>
      <c r="C175" s="91" t="s">
        <v>265</v>
      </c>
      <c r="D175" s="91" t="s">
        <v>266</v>
      </c>
      <c r="E175" s="92">
        <v>248.26</v>
      </c>
    </row>
    <row r="176" spans="2:5" x14ac:dyDescent="0.25">
      <c r="B176" s="91" t="s">
        <v>373</v>
      </c>
      <c r="C176" s="91" t="s">
        <v>273</v>
      </c>
      <c r="D176" s="91" t="s">
        <v>266</v>
      </c>
      <c r="E176" s="92">
        <v>583.64</v>
      </c>
    </row>
    <row r="177" spans="2:5" x14ac:dyDescent="0.25">
      <c r="B177" s="91" t="s">
        <v>374</v>
      </c>
      <c r="C177" s="91" t="s">
        <v>273</v>
      </c>
      <c r="D177" s="91" t="s">
        <v>269</v>
      </c>
      <c r="E177" s="92">
        <v>1406.15</v>
      </c>
    </row>
    <row r="178" spans="2:5" x14ac:dyDescent="0.25">
      <c r="B178" s="91" t="s">
        <v>318</v>
      </c>
      <c r="C178" s="91" t="s">
        <v>276</v>
      </c>
      <c r="D178" s="91" t="s">
        <v>270</v>
      </c>
      <c r="E178" s="92">
        <v>165.75</v>
      </c>
    </row>
    <row r="179" spans="2:5" x14ac:dyDescent="0.25">
      <c r="B179" s="91" t="s">
        <v>318</v>
      </c>
      <c r="C179" s="91" t="s">
        <v>276</v>
      </c>
      <c r="D179" s="91" t="s">
        <v>270</v>
      </c>
      <c r="E179" s="92">
        <v>2021.1470000000002</v>
      </c>
    </row>
    <row r="180" spans="2:5" x14ac:dyDescent="0.25">
      <c r="B180" s="91" t="s">
        <v>359</v>
      </c>
      <c r="C180" s="91" t="s">
        <v>276</v>
      </c>
      <c r="D180" s="91" t="s">
        <v>266</v>
      </c>
      <c r="E180" s="92">
        <v>226.1</v>
      </c>
    </row>
    <row r="181" spans="2:5" x14ac:dyDescent="0.25">
      <c r="B181" s="91" t="s">
        <v>375</v>
      </c>
      <c r="C181" s="91" t="s">
        <v>4</v>
      </c>
      <c r="D181" s="91" t="s">
        <v>270</v>
      </c>
      <c r="E181" s="92">
        <v>341.36</v>
      </c>
    </row>
    <row r="182" spans="2:5" x14ac:dyDescent="0.25">
      <c r="B182" s="91" t="s">
        <v>376</v>
      </c>
      <c r="C182" s="91" t="s">
        <v>265</v>
      </c>
      <c r="D182" s="91" t="s">
        <v>270</v>
      </c>
      <c r="E182" s="92">
        <v>469.43799999999999</v>
      </c>
    </row>
    <row r="183" spans="2:5" x14ac:dyDescent="0.25">
      <c r="B183" s="91" t="s">
        <v>355</v>
      </c>
      <c r="C183" s="91" t="s">
        <v>4</v>
      </c>
      <c r="D183" s="91" t="s">
        <v>266</v>
      </c>
      <c r="E183" s="92">
        <v>127.33</v>
      </c>
    </row>
    <row r="184" spans="2:5" x14ac:dyDescent="0.25">
      <c r="B184" s="91" t="s">
        <v>355</v>
      </c>
      <c r="C184" s="91" t="s">
        <v>4</v>
      </c>
      <c r="D184" s="91" t="s">
        <v>266</v>
      </c>
      <c r="E184" s="92">
        <v>990.1</v>
      </c>
    </row>
    <row r="185" spans="2:5" x14ac:dyDescent="0.25">
      <c r="B185" s="91" t="s">
        <v>377</v>
      </c>
      <c r="C185" s="91" t="s">
        <v>4</v>
      </c>
      <c r="D185" s="91" t="s">
        <v>266</v>
      </c>
      <c r="E185" s="92">
        <v>1187.55</v>
      </c>
    </row>
    <row r="186" spans="2:5" x14ac:dyDescent="0.25">
      <c r="B186" s="91" t="s">
        <v>378</v>
      </c>
      <c r="C186" s="91" t="s">
        <v>276</v>
      </c>
      <c r="D186" s="91" t="s">
        <v>270</v>
      </c>
      <c r="E186" s="92">
        <v>269.02</v>
      </c>
    </row>
    <row r="187" spans="2:5" x14ac:dyDescent="0.25">
      <c r="B187" s="91" t="s">
        <v>379</v>
      </c>
      <c r="C187" s="91" t="s">
        <v>276</v>
      </c>
      <c r="D187" s="91" t="s">
        <v>266</v>
      </c>
      <c r="E187" s="92">
        <v>142.18</v>
      </c>
    </row>
    <row r="188" spans="2:5" x14ac:dyDescent="0.25">
      <c r="B188" s="91" t="s">
        <v>314</v>
      </c>
      <c r="C188" s="91" t="s">
        <v>276</v>
      </c>
      <c r="D188" s="91" t="s">
        <v>269</v>
      </c>
      <c r="E188" s="92">
        <v>5340.5</v>
      </c>
    </row>
    <row r="189" spans="2:5" x14ac:dyDescent="0.25">
      <c r="B189" s="91" t="s">
        <v>380</v>
      </c>
      <c r="C189" s="91" t="s">
        <v>273</v>
      </c>
      <c r="D189" s="91" t="s">
        <v>269</v>
      </c>
      <c r="E189" s="92">
        <v>4462.2299999999996</v>
      </c>
    </row>
    <row r="190" spans="2:5" x14ac:dyDescent="0.25">
      <c r="B190" s="91" t="s">
        <v>380</v>
      </c>
      <c r="C190" s="91" t="s">
        <v>273</v>
      </c>
      <c r="D190" s="91" t="s">
        <v>269</v>
      </c>
      <c r="E190" s="92">
        <v>663.78400000000011</v>
      </c>
    </row>
    <row r="191" spans="2:5" x14ac:dyDescent="0.25">
      <c r="B191" s="91" t="s">
        <v>381</v>
      </c>
      <c r="C191" s="91" t="s">
        <v>273</v>
      </c>
      <c r="D191" s="91" t="s">
        <v>266</v>
      </c>
      <c r="E191" s="92">
        <v>115.1</v>
      </c>
    </row>
    <row r="192" spans="2:5" x14ac:dyDescent="0.25">
      <c r="B192" s="91" t="s">
        <v>381</v>
      </c>
      <c r="C192" s="91" t="s">
        <v>273</v>
      </c>
      <c r="D192" s="91" t="s">
        <v>266</v>
      </c>
      <c r="E192" s="92">
        <v>516.65</v>
      </c>
    </row>
    <row r="193" spans="2:5" x14ac:dyDescent="0.25">
      <c r="B193" s="91" t="s">
        <v>382</v>
      </c>
      <c r="C193" s="91" t="s">
        <v>273</v>
      </c>
      <c r="D193" s="91" t="s">
        <v>266</v>
      </c>
      <c r="E193" s="92">
        <v>374.78</v>
      </c>
    </row>
    <row r="194" spans="2:5" x14ac:dyDescent="0.25">
      <c r="B194" s="91" t="s">
        <v>383</v>
      </c>
      <c r="C194" s="91" t="s">
        <v>4</v>
      </c>
      <c r="D194" s="91" t="s">
        <v>270</v>
      </c>
      <c r="E194" s="92">
        <v>222.91</v>
      </c>
    </row>
    <row r="195" spans="2:5" x14ac:dyDescent="0.25">
      <c r="B195" s="91" t="s">
        <v>384</v>
      </c>
      <c r="C195" s="91" t="s">
        <v>265</v>
      </c>
      <c r="D195" s="91" t="s">
        <v>266</v>
      </c>
      <c r="E195" s="92">
        <v>129.1</v>
      </c>
    </row>
    <row r="196" spans="2:5" x14ac:dyDescent="0.25">
      <c r="B196" s="91" t="s">
        <v>385</v>
      </c>
      <c r="C196" s="91" t="s">
        <v>273</v>
      </c>
      <c r="D196" s="91" t="s">
        <v>269</v>
      </c>
      <c r="E196" s="92">
        <v>3532.96</v>
      </c>
    </row>
    <row r="197" spans="2:5" x14ac:dyDescent="0.25">
      <c r="B197" s="91" t="s">
        <v>386</v>
      </c>
      <c r="C197" s="91" t="s">
        <v>4</v>
      </c>
      <c r="D197" s="91" t="s">
        <v>270</v>
      </c>
      <c r="E197" s="92">
        <v>662.16</v>
      </c>
    </row>
    <row r="198" spans="2:5" x14ac:dyDescent="0.25">
      <c r="B198" s="91" t="s">
        <v>387</v>
      </c>
      <c r="C198" s="91" t="s">
        <v>4</v>
      </c>
      <c r="D198" s="91" t="s">
        <v>266</v>
      </c>
      <c r="E198" s="92">
        <v>46.46</v>
      </c>
    </row>
    <row r="199" spans="2:5" x14ac:dyDescent="0.25">
      <c r="B199" s="91" t="s">
        <v>388</v>
      </c>
      <c r="C199" s="91" t="s">
        <v>4</v>
      </c>
      <c r="D199" s="91" t="s">
        <v>266</v>
      </c>
      <c r="E199" s="92">
        <v>14.68</v>
      </c>
    </row>
    <row r="200" spans="2:5" x14ac:dyDescent="0.25">
      <c r="B200" s="91" t="s">
        <v>388</v>
      </c>
      <c r="C200" s="91" t="s">
        <v>4</v>
      </c>
      <c r="D200" s="91" t="s">
        <v>266</v>
      </c>
      <c r="E200" s="92">
        <v>10145.14</v>
      </c>
    </row>
    <row r="201" spans="2:5" x14ac:dyDescent="0.25">
      <c r="B201" s="91" t="s">
        <v>388</v>
      </c>
      <c r="C201" s="91" t="s">
        <v>4</v>
      </c>
      <c r="D201" s="91" t="s">
        <v>266</v>
      </c>
      <c r="E201" s="92">
        <v>68.45</v>
      </c>
    </row>
    <row r="202" spans="2:5" x14ac:dyDescent="0.25">
      <c r="B202" s="91" t="s">
        <v>389</v>
      </c>
      <c r="C202" s="91" t="s">
        <v>273</v>
      </c>
      <c r="D202" s="91" t="s">
        <v>266</v>
      </c>
      <c r="E202" s="92">
        <v>257.39</v>
      </c>
    </row>
    <row r="203" spans="2:5" x14ac:dyDescent="0.25">
      <c r="B203" s="91" t="s">
        <v>390</v>
      </c>
      <c r="C203" s="91" t="s">
        <v>276</v>
      </c>
      <c r="D203" s="91" t="s">
        <v>266</v>
      </c>
      <c r="E203" s="92">
        <v>494.34</v>
      </c>
    </row>
    <row r="204" spans="2:5" x14ac:dyDescent="0.25">
      <c r="B204" s="91" t="s">
        <v>377</v>
      </c>
      <c r="C204" s="91" t="s">
        <v>4</v>
      </c>
      <c r="D204" s="91" t="s">
        <v>270</v>
      </c>
      <c r="E204" s="92">
        <v>827.27</v>
      </c>
    </row>
    <row r="205" spans="2:5" x14ac:dyDescent="0.25">
      <c r="B205" s="91" t="s">
        <v>391</v>
      </c>
      <c r="C205" s="91" t="s">
        <v>273</v>
      </c>
      <c r="D205" s="91" t="s">
        <v>270</v>
      </c>
      <c r="E205" s="92">
        <v>892.38</v>
      </c>
    </row>
    <row r="206" spans="2:5" x14ac:dyDescent="0.25">
      <c r="B206" s="91" t="s">
        <v>391</v>
      </c>
      <c r="C206" s="91" t="s">
        <v>273</v>
      </c>
      <c r="D206" s="91" t="s">
        <v>266</v>
      </c>
      <c r="E206" s="92">
        <v>29.41</v>
      </c>
    </row>
    <row r="207" spans="2:5" x14ac:dyDescent="0.25">
      <c r="B207" s="91" t="s">
        <v>392</v>
      </c>
      <c r="C207" s="91" t="s">
        <v>4</v>
      </c>
      <c r="D207" s="91" t="s">
        <v>269</v>
      </c>
      <c r="E207" s="92">
        <v>3874.12</v>
      </c>
    </row>
    <row r="208" spans="2:5" x14ac:dyDescent="0.25">
      <c r="B208" s="91" t="s">
        <v>392</v>
      </c>
      <c r="C208" s="91" t="s">
        <v>4</v>
      </c>
      <c r="D208" s="91" t="s">
        <v>269</v>
      </c>
      <c r="E208" s="92">
        <v>1452.2160000000001</v>
      </c>
    </row>
    <row r="209" spans="2:5" x14ac:dyDescent="0.25">
      <c r="B209" s="91" t="s">
        <v>393</v>
      </c>
      <c r="C209" s="91" t="s">
        <v>273</v>
      </c>
      <c r="D209" s="91" t="s">
        <v>266</v>
      </c>
      <c r="E209" s="92">
        <v>234.37</v>
      </c>
    </row>
    <row r="210" spans="2:5" x14ac:dyDescent="0.25">
      <c r="B210" s="91" t="s">
        <v>393</v>
      </c>
      <c r="C210" s="91" t="s">
        <v>273</v>
      </c>
      <c r="D210" s="91" t="s">
        <v>270</v>
      </c>
      <c r="E210" s="92">
        <v>1000.3565000000001</v>
      </c>
    </row>
    <row r="211" spans="2:5" x14ac:dyDescent="0.25">
      <c r="B211" s="91" t="s">
        <v>394</v>
      </c>
      <c r="C211" s="91" t="s">
        <v>4</v>
      </c>
      <c r="D211" s="91" t="s">
        <v>269</v>
      </c>
      <c r="E211" s="92">
        <v>3908.65</v>
      </c>
    </row>
    <row r="212" spans="2:5" x14ac:dyDescent="0.25">
      <c r="B212" s="91" t="s">
        <v>392</v>
      </c>
      <c r="C212" s="91" t="s">
        <v>273</v>
      </c>
      <c r="D212" s="91" t="s">
        <v>266</v>
      </c>
      <c r="E212" s="92">
        <v>840.07</v>
      </c>
    </row>
    <row r="213" spans="2:5" x14ac:dyDescent="0.25">
      <c r="B213" s="91" t="s">
        <v>395</v>
      </c>
      <c r="C213" s="91" t="s">
        <v>4</v>
      </c>
      <c r="D213" s="91" t="s">
        <v>266</v>
      </c>
      <c r="E213" s="92">
        <v>42.58</v>
      </c>
    </row>
    <row r="214" spans="2:5" x14ac:dyDescent="0.25">
      <c r="B214" s="91" t="s">
        <v>396</v>
      </c>
      <c r="C214" s="91" t="s">
        <v>276</v>
      </c>
      <c r="D214" s="91" t="s">
        <v>266</v>
      </c>
      <c r="E214" s="92">
        <v>523.41999999999996</v>
      </c>
    </row>
    <row r="215" spans="2:5" x14ac:dyDescent="0.25">
      <c r="B215" s="91" t="s">
        <v>396</v>
      </c>
      <c r="C215" s="91" t="s">
        <v>276</v>
      </c>
      <c r="D215" s="91" t="s">
        <v>266</v>
      </c>
      <c r="E215" s="92">
        <v>192.54</v>
      </c>
    </row>
    <row r="216" spans="2:5" x14ac:dyDescent="0.25">
      <c r="B216" s="91" t="s">
        <v>396</v>
      </c>
      <c r="C216" s="91" t="s">
        <v>276</v>
      </c>
      <c r="D216" s="91" t="s">
        <v>266</v>
      </c>
      <c r="E216" s="92">
        <v>156.69999999999999</v>
      </c>
    </row>
    <row r="217" spans="2:5" x14ac:dyDescent="0.25">
      <c r="B217" s="91" t="s">
        <v>397</v>
      </c>
      <c r="C217" s="91" t="s">
        <v>4</v>
      </c>
      <c r="D217" s="91" t="s">
        <v>270</v>
      </c>
      <c r="E217" s="92">
        <v>834.904</v>
      </c>
    </row>
    <row r="218" spans="2:5" x14ac:dyDescent="0.25">
      <c r="B218" s="91" t="s">
        <v>397</v>
      </c>
      <c r="C218" s="91" t="s">
        <v>4</v>
      </c>
      <c r="D218" s="91" t="s">
        <v>270</v>
      </c>
      <c r="E218" s="92">
        <v>2480.9205000000002</v>
      </c>
    </row>
    <row r="219" spans="2:5" x14ac:dyDescent="0.25">
      <c r="B219" s="91" t="s">
        <v>398</v>
      </c>
      <c r="C219" s="91" t="s">
        <v>4</v>
      </c>
      <c r="D219" s="91" t="s">
        <v>269</v>
      </c>
      <c r="E219" s="92">
        <v>2443.85</v>
      </c>
    </row>
    <row r="220" spans="2:5" x14ac:dyDescent="0.25">
      <c r="B220" s="91" t="s">
        <v>399</v>
      </c>
      <c r="C220" s="91" t="s">
        <v>4</v>
      </c>
      <c r="D220" s="91" t="s">
        <v>269</v>
      </c>
      <c r="E220" s="92">
        <v>4789.8900000000003</v>
      </c>
    </row>
    <row r="221" spans="2:5" x14ac:dyDescent="0.25">
      <c r="B221" s="91" t="s">
        <v>400</v>
      </c>
      <c r="C221" s="91" t="s">
        <v>273</v>
      </c>
      <c r="D221" s="91" t="s">
        <v>270</v>
      </c>
      <c r="E221" s="92">
        <v>89.334999999999994</v>
      </c>
    </row>
    <row r="222" spans="2:5" x14ac:dyDescent="0.25">
      <c r="B222" s="91" t="s">
        <v>400</v>
      </c>
      <c r="C222" s="91" t="s">
        <v>273</v>
      </c>
      <c r="D222" s="91" t="s">
        <v>266</v>
      </c>
      <c r="E222" s="92">
        <v>158.46</v>
      </c>
    </row>
    <row r="223" spans="2:5" x14ac:dyDescent="0.25">
      <c r="B223" s="91" t="s">
        <v>400</v>
      </c>
      <c r="C223" s="91" t="s">
        <v>273</v>
      </c>
      <c r="D223" s="91" t="s">
        <v>269</v>
      </c>
      <c r="E223" s="92">
        <v>7180.83</v>
      </c>
    </row>
    <row r="224" spans="2:5" x14ac:dyDescent="0.25">
      <c r="B224" s="91" t="s">
        <v>401</v>
      </c>
      <c r="C224" s="91" t="s">
        <v>276</v>
      </c>
      <c r="D224" s="91" t="s">
        <v>266</v>
      </c>
      <c r="E224" s="92">
        <v>17129.97</v>
      </c>
    </row>
    <row r="225" spans="2:5" x14ac:dyDescent="0.25">
      <c r="B225" s="91" t="s">
        <v>402</v>
      </c>
      <c r="C225" s="91" t="s">
        <v>265</v>
      </c>
      <c r="D225" s="91" t="s">
        <v>269</v>
      </c>
      <c r="E225" s="92">
        <v>5748.2</v>
      </c>
    </row>
    <row r="226" spans="2:5" x14ac:dyDescent="0.25">
      <c r="B226" s="91" t="s">
        <v>402</v>
      </c>
      <c r="C226" s="91" t="s">
        <v>265</v>
      </c>
      <c r="D226" s="91" t="s">
        <v>270</v>
      </c>
      <c r="E226" s="92">
        <v>6717.9324999999999</v>
      </c>
    </row>
    <row r="227" spans="2:5" x14ac:dyDescent="0.25">
      <c r="B227" s="91" t="s">
        <v>325</v>
      </c>
      <c r="C227" s="91" t="s">
        <v>276</v>
      </c>
      <c r="D227" s="91" t="s">
        <v>266</v>
      </c>
      <c r="E227" s="92">
        <v>59.03</v>
      </c>
    </row>
    <row r="228" spans="2:5" x14ac:dyDescent="0.25">
      <c r="B228" s="91" t="s">
        <v>325</v>
      </c>
      <c r="C228" s="91" t="s">
        <v>276</v>
      </c>
      <c r="D228" s="91" t="s">
        <v>266</v>
      </c>
      <c r="E228" s="92">
        <v>97.48</v>
      </c>
    </row>
    <row r="229" spans="2:5" x14ac:dyDescent="0.25">
      <c r="B229" s="91" t="s">
        <v>403</v>
      </c>
      <c r="C229" s="91" t="s">
        <v>265</v>
      </c>
      <c r="D229" s="91" t="s">
        <v>269</v>
      </c>
      <c r="E229" s="92">
        <v>4530.96</v>
      </c>
    </row>
    <row r="230" spans="2:5" x14ac:dyDescent="0.25">
      <c r="B230" s="91" t="s">
        <v>404</v>
      </c>
      <c r="C230" s="91" t="s">
        <v>265</v>
      </c>
      <c r="D230" s="91" t="s">
        <v>269</v>
      </c>
      <c r="E230" s="92">
        <v>726.22</v>
      </c>
    </row>
    <row r="231" spans="2:5" x14ac:dyDescent="0.25">
      <c r="B231" s="91" t="s">
        <v>405</v>
      </c>
      <c r="C231" s="91" t="s">
        <v>273</v>
      </c>
      <c r="D231" s="91" t="s">
        <v>270</v>
      </c>
      <c r="E231" s="92">
        <v>21717.360000000001</v>
      </c>
    </row>
    <row r="232" spans="2:5" x14ac:dyDescent="0.25">
      <c r="B232" s="91" t="s">
        <v>405</v>
      </c>
      <c r="C232" s="91" t="s">
        <v>273</v>
      </c>
      <c r="D232" s="91" t="s">
        <v>270</v>
      </c>
      <c r="E232" s="92">
        <v>15823.27</v>
      </c>
    </row>
    <row r="233" spans="2:5" x14ac:dyDescent="0.25">
      <c r="B233" s="91" t="s">
        <v>405</v>
      </c>
      <c r="C233" s="91" t="s">
        <v>273</v>
      </c>
      <c r="D233" s="91" t="s">
        <v>266</v>
      </c>
      <c r="E233" s="92">
        <v>21.44</v>
      </c>
    </row>
    <row r="234" spans="2:5" x14ac:dyDescent="0.25">
      <c r="B234" s="91" t="s">
        <v>405</v>
      </c>
      <c r="C234" s="91" t="s">
        <v>273</v>
      </c>
      <c r="D234" s="91" t="s">
        <v>266</v>
      </c>
      <c r="E234" s="92">
        <v>416.4</v>
      </c>
    </row>
    <row r="235" spans="2:5" x14ac:dyDescent="0.25">
      <c r="B235" s="91" t="s">
        <v>405</v>
      </c>
      <c r="C235" s="91" t="s">
        <v>273</v>
      </c>
      <c r="D235" s="91" t="s">
        <v>266</v>
      </c>
      <c r="E235" s="92">
        <v>772.24</v>
      </c>
    </row>
    <row r="236" spans="2:5" x14ac:dyDescent="0.25">
      <c r="B236" s="91" t="s">
        <v>406</v>
      </c>
      <c r="C236" s="91" t="s">
        <v>4</v>
      </c>
      <c r="D236" s="91" t="s">
        <v>266</v>
      </c>
      <c r="E236" s="92">
        <v>1326.09</v>
      </c>
    </row>
    <row r="237" spans="2:5" x14ac:dyDescent="0.25">
      <c r="B237" s="91" t="s">
        <v>406</v>
      </c>
      <c r="C237" s="91" t="s">
        <v>4</v>
      </c>
      <c r="D237" s="91" t="s">
        <v>266</v>
      </c>
      <c r="E237" s="92">
        <v>339.49</v>
      </c>
    </row>
    <row r="238" spans="2:5" x14ac:dyDescent="0.25">
      <c r="B238" s="91" t="s">
        <v>407</v>
      </c>
      <c r="C238" s="91" t="s">
        <v>276</v>
      </c>
      <c r="D238" s="91" t="s">
        <v>270</v>
      </c>
      <c r="E238" s="92">
        <v>2135.9734999999996</v>
      </c>
    </row>
    <row r="239" spans="2:5" x14ac:dyDescent="0.25">
      <c r="B239" s="91" t="s">
        <v>408</v>
      </c>
      <c r="C239" s="91" t="s">
        <v>4</v>
      </c>
      <c r="D239" s="91" t="s">
        <v>270</v>
      </c>
      <c r="E239" s="92">
        <v>293.18</v>
      </c>
    </row>
    <row r="240" spans="2:5" x14ac:dyDescent="0.25">
      <c r="B240" s="91" t="s">
        <v>409</v>
      </c>
      <c r="C240" s="91" t="s">
        <v>273</v>
      </c>
      <c r="D240" s="91" t="s">
        <v>270</v>
      </c>
      <c r="E240" s="92">
        <v>4345.8599999999997</v>
      </c>
    </row>
    <row r="241" spans="2:5" x14ac:dyDescent="0.25">
      <c r="B241" s="91" t="s">
        <v>410</v>
      </c>
      <c r="C241" s="91" t="s">
        <v>4</v>
      </c>
      <c r="D241" s="91" t="s">
        <v>266</v>
      </c>
      <c r="E241" s="92">
        <v>16.600000000000001</v>
      </c>
    </row>
    <row r="242" spans="2:5" x14ac:dyDescent="0.25">
      <c r="B242" s="91" t="s">
        <v>411</v>
      </c>
      <c r="C242" s="91" t="s">
        <v>4</v>
      </c>
      <c r="D242" s="91" t="s">
        <v>270</v>
      </c>
      <c r="E242" s="92">
        <v>1297.3040000000001</v>
      </c>
    </row>
    <row r="243" spans="2:5" x14ac:dyDescent="0.25">
      <c r="B243" s="91" t="s">
        <v>412</v>
      </c>
      <c r="C243" s="91" t="s">
        <v>4</v>
      </c>
      <c r="D243" s="91" t="s">
        <v>266</v>
      </c>
      <c r="E243" s="92">
        <v>511.83</v>
      </c>
    </row>
    <row r="244" spans="2:5" x14ac:dyDescent="0.25">
      <c r="B244" s="91" t="s">
        <v>412</v>
      </c>
      <c r="C244" s="91" t="s">
        <v>4</v>
      </c>
      <c r="D244" s="91" t="s">
        <v>270</v>
      </c>
      <c r="E244" s="92">
        <v>184.99</v>
      </c>
    </row>
    <row r="245" spans="2:5" x14ac:dyDescent="0.25">
      <c r="B245" s="91" t="s">
        <v>413</v>
      </c>
      <c r="C245" s="91" t="s">
        <v>273</v>
      </c>
      <c r="D245" s="91" t="s">
        <v>266</v>
      </c>
      <c r="E245" s="92">
        <v>80.900000000000006</v>
      </c>
    </row>
    <row r="246" spans="2:5" x14ac:dyDescent="0.25">
      <c r="B246" s="91" t="s">
        <v>414</v>
      </c>
      <c r="C246" s="91" t="s">
        <v>276</v>
      </c>
      <c r="D246" s="91" t="s">
        <v>266</v>
      </c>
      <c r="E246" s="92">
        <v>2150.25</v>
      </c>
    </row>
    <row r="247" spans="2:5" x14ac:dyDescent="0.25">
      <c r="B247" s="91" t="s">
        <v>414</v>
      </c>
      <c r="C247" s="91" t="s">
        <v>276</v>
      </c>
      <c r="D247" s="91" t="s">
        <v>266</v>
      </c>
      <c r="E247" s="92">
        <v>448</v>
      </c>
    </row>
    <row r="248" spans="2:5" x14ac:dyDescent="0.25">
      <c r="B248" s="91" t="s">
        <v>415</v>
      </c>
      <c r="C248" s="91" t="s">
        <v>265</v>
      </c>
      <c r="D248" s="91" t="s">
        <v>269</v>
      </c>
      <c r="E248" s="92">
        <v>759.94</v>
      </c>
    </row>
    <row r="249" spans="2:5" x14ac:dyDescent="0.25">
      <c r="B249" s="91" t="s">
        <v>416</v>
      </c>
      <c r="C249" s="91" t="s">
        <v>265</v>
      </c>
      <c r="D249" s="91" t="s">
        <v>266</v>
      </c>
      <c r="E249" s="92">
        <v>133.65</v>
      </c>
    </row>
    <row r="250" spans="2:5" x14ac:dyDescent="0.25">
      <c r="B250" s="91" t="s">
        <v>416</v>
      </c>
      <c r="C250" s="91" t="s">
        <v>265</v>
      </c>
      <c r="D250" s="91" t="s">
        <v>270</v>
      </c>
      <c r="E250" s="92">
        <v>525.67399999999998</v>
      </c>
    </row>
    <row r="251" spans="2:5" x14ac:dyDescent="0.25">
      <c r="B251" s="91" t="s">
        <v>417</v>
      </c>
      <c r="C251" s="91" t="s">
        <v>4</v>
      </c>
      <c r="D251" s="91" t="s">
        <v>269</v>
      </c>
      <c r="E251" s="92">
        <v>303.58999999999997</v>
      </c>
    </row>
    <row r="252" spans="2:5" x14ac:dyDescent="0.25">
      <c r="B252" s="91" t="s">
        <v>417</v>
      </c>
      <c r="C252" s="91" t="s">
        <v>4</v>
      </c>
      <c r="D252" s="91" t="s">
        <v>266</v>
      </c>
      <c r="E252" s="92">
        <v>191.6</v>
      </c>
    </row>
    <row r="253" spans="2:5" x14ac:dyDescent="0.25">
      <c r="B253" s="91" t="s">
        <v>418</v>
      </c>
      <c r="C253" s="91" t="s">
        <v>276</v>
      </c>
      <c r="D253" s="91" t="s">
        <v>269</v>
      </c>
      <c r="E253" s="92">
        <v>622.82000000000005</v>
      </c>
    </row>
    <row r="254" spans="2:5" x14ac:dyDescent="0.25">
      <c r="B254" s="91" t="s">
        <v>419</v>
      </c>
      <c r="C254" s="91" t="s">
        <v>4</v>
      </c>
      <c r="D254" s="91" t="s">
        <v>266</v>
      </c>
      <c r="E254" s="92">
        <v>1225.52</v>
      </c>
    </row>
    <row r="255" spans="2:5" x14ac:dyDescent="0.25">
      <c r="B255" s="91" t="s">
        <v>419</v>
      </c>
      <c r="C255" s="91" t="s">
        <v>4</v>
      </c>
      <c r="D255" s="91" t="s">
        <v>270</v>
      </c>
      <c r="E255" s="92">
        <v>1024.29</v>
      </c>
    </row>
    <row r="256" spans="2:5" x14ac:dyDescent="0.25">
      <c r="B256" s="91" t="s">
        <v>419</v>
      </c>
      <c r="C256" s="91" t="s">
        <v>4</v>
      </c>
      <c r="D256" s="91" t="s">
        <v>266</v>
      </c>
      <c r="E256" s="92">
        <v>1348.57</v>
      </c>
    </row>
    <row r="257" spans="2:5" x14ac:dyDescent="0.25">
      <c r="B257" s="91" t="s">
        <v>420</v>
      </c>
      <c r="C257" s="91" t="s">
        <v>273</v>
      </c>
      <c r="D257" s="91" t="s">
        <v>266</v>
      </c>
      <c r="E257" s="92">
        <v>163.13999999999999</v>
      </c>
    </row>
    <row r="258" spans="2:5" x14ac:dyDescent="0.25">
      <c r="B258" s="91" t="s">
        <v>421</v>
      </c>
      <c r="C258" s="91" t="s">
        <v>4</v>
      </c>
      <c r="D258" s="91" t="s">
        <v>270</v>
      </c>
      <c r="E258" s="92">
        <v>755.60749999999996</v>
      </c>
    </row>
    <row r="259" spans="2:5" x14ac:dyDescent="0.25">
      <c r="B259" s="91" t="s">
        <v>422</v>
      </c>
      <c r="C259" s="91" t="s">
        <v>4</v>
      </c>
      <c r="D259" s="91" t="s">
        <v>266</v>
      </c>
      <c r="E259" s="92">
        <v>5642.18</v>
      </c>
    </row>
    <row r="260" spans="2:5" x14ac:dyDescent="0.25">
      <c r="B260" s="91" t="s">
        <v>423</v>
      </c>
      <c r="C260" s="91" t="s">
        <v>4</v>
      </c>
      <c r="D260" s="91" t="s">
        <v>266</v>
      </c>
      <c r="E260" s="92">
        <v>430.88</v>
      </c>
    </row>
    <row r="261" spans="2:5" x14ac:dyDescent="0.25">
      <c r="B261" s="91" t="s">
        <v>424</v>
      </c>
      <c r="C261" s="91" t="s">
        <v>276</v>
      </c>
      <c r="D261" s="91" t="s">
        <v>270</v>
      </c>
      <c r="E261" s="92">
        <v>2047.58</v>
      </c>
    </row>
    <row r="262" spans="2:5" x14ac:dyDescent="0.25">
      <c r="B262" s="91" t="s">
        <v>424</v>
      </c>
      <c r="C262" s="91" t="s">
        <v>276</v>
      </c>
      <c r="D262" s="91" t="s">
        <v>269</v>
      </c>
      <c r="E262" s="92">
        <v>56.61</v>
      </c>
    </row>
    <row r="263" spans="2:5" x14ac:dyDescent="0.25">
      <c r="B263" s="91" t="s">
        <v>425</v>
      </c>
      <c r="C263" s="91" t="s">
        <v>273</v>
      </c>
      <c r="D263" s="91" t="s">
        <v>266</v>
      </c>
      <c r="E263" s="92">
        <v>67.239999999999995</v>
      </c>
    </row>
    <row r="264" spans="2:5" x14ac:dyDescent="0.25">
      <c r="B264" s="91" t="s">
        <v>412</v>
      </c>
      <c r="C264" s="91" t="s">
        <v>4</v>
      </c>
      <c r="D264" s="91" t="s">
        <v>270</v>
      </c>
      <c r="E264" s="92">
        <v>12028.23</v>
      </c>
    </row>
    <row r="265" spans="2:5" x14ac:dyDescent="0.25">
      <c r="B265" s="91" t="s">
        <v>426</v>
      </c>
      <c r="C265" s="91" t="s">
        <v>273</v>
      </c>
      <c r="D265" s="91" t="s">
        <v>270</v>
      </c>
      <c r="E265" s="92">
        <v>857.11</v>
      </c>
    </row>
    <row r="266" spans="2:5" x14ac:dyDescent="0.25">
      <c r="B266" s="91" t="s">
        <v>426</v>
      </c>
      <c r="C266" s="91" t="s">
        <v>273</v>
      </c>
      <c r="D266" s="91" t="s">
        <v>266</v>
      </c>
      <c r="E266" s="92">
        <v>69.599999999999994</v>
      </c>
    </row>
    <row r="267" spans="2:5" x14ac:dyDescent="0.25">
      <c r="B267" s="91" t="s">
        <v>426</v>
      </c>
      <c r="C267" s="91" t="s">
        <v>273</v>
      </c>
      <c r="D267" s="91" t="s">
        <v>270</v>
      </c>
      <c r="E267" s="92">
        <v>1279.5050000000001</v>
      </c>
    </row>
    <row r="268" spans="2:5" x14ac:dyDescent="0.25">
      <c r="B268" s="91" t="s">
        <v>374</v>
      </c>
      <c r="C268" s="91" t="s">
        <v>265</v>
      </c>
      <c r="D268" s="91" t="s">
        <v>266</v>
      </c>
      <c r="E268" s="92">
        <v>59.99</v>
      </c>
    </row>
    <row r="269" spans="2:5" x14ac:dyDescent="0.25">
      <c r="B269" s="91" t="s">
        <v>427</v>
      </c>
      <c r="C269" s="91" t="s">
        <v>4</v>
      </c>
      <c r="D269" s="91" t="s">
        <v>266</v>
      </c>
      <c r="E269" s="92">
        <v>46.34</v>
      </c>
    </row>
    <row r="270" spans="2:5" x14ac:dyDescent="0.25">
      <c r="B270" s="91" t="s">
        <v>325</v>
      </c>
      <c r="C270" s="91" t="s">
        <v>276</v>
      </c>
      <c r="D270" s="91" t="s">
        <v>266</v>
      </c>
      <c r="E270" s="92">
        <v>370.48</v>
      </c>
    </row>
    <row r="271" spans="2:5" x14ac:dyDescent="0.25">
      <c r="B271" s="91" t="s">
        <v>428</v>
      </c>
      <c r="C271" s="91" t="s">
        <v>273</v>
      </c>
      <c r="D271" s="91" t="s">
        <v>266</v>
      </c>
      <c r="E271" s="92">
        <v>233.43</v>
      </c>
    </row>
    <row r="272" spans="2:5" x14ac:dyDescent="0.25">
      <c r="B272" s="91" t="s">
        <v>429</v>
      </c>
      <c r="C272" s="91" t="s">
        <v>4</v>
      </c>
      <c r="D272" s="91" t="s">
        <v>266</v>
      </c>
      <c r="E272" s="92">
        <v>183.41</v>
      </c>
    </row>
    <row r="273" spans="2:5" x14ac:dyDescent="0.25">
      <c r="B273" s="91" t="s">
        <v>430</v>
      </c>
      <c r="C273" s="91" t="s">
        <v>265</v>
      </c>
      <c r="D273" s="91" t="s">
        <v>269</v>
      </c>
      <c r="E273" s="92">
        <v>1187.1199999999999</v>
      </c>
    </row>
    <row r="274" spans="2:5" x14ac:dyDescent="0.25">
      <c r="B274" s="91" t="s">
        <v>430</v>
      </c>
      <c r="C274" s="91" t="s">
        <v>265</v>
      </c>
      <c r="D274" s="91" t="s">
        <v>266</v>
      </c>
      <c r="E274" s="92">
        <v>108.31</v>
      </c>
    </row>
    <row r="275" spans="2:5" x14ac:dyDescent="0.25">
      <c r="B275" s="91" t="s">
        <v>431</v>
      </c>
      <c r="C275" s="91" t="s">
        <v>4</v>
      </c>
      <c r="D275" s="91" t="s">
        <v>269</v>
      </c>
      <c r="E275" s="92">
        <v>10656.26</v>
      </c>
    </row>
    <row r="276" spans="2:5" x14ac:dyDescent="0.25">
      <c r="B276" s="91" t="s">
        <v>431</v>
      </c>
      <c r="C276" s="91" t="s">
        <v>4</v>
      </c>
      <c r="D276" s="91" t="s">
        <v>269</v>
      </c>
      <c r="E276" s="92">
        <v>17.059999999999999</v>
      </c>
    </row>
    <row r="277" spans="2:5" x14ac:dyDescent="0.25">
      <c r="B277" s="91" t="s">
        <v>384</v>
      </c>
      <c r="C277" s="91" t="s">
        <v>265</v>
      </c>
      <c r="D277" s="91" t="s">
        <v>266</v>
      </c>
      <c r="E277" s="92">
        <v>38.26</v>
      </c>
    </row>
    <row r="278" spans="2:5" x14ac:dyDescent="0.25">
      <c r="B278" s="91" t="s">
        <v>432</v>
      </c>
      <c r="C278" s="91" t="s">
        <v>4</v>
      </c>
      <c r="D278" s="91" t="s">
        <v>266</v>
      </c>
      <c r="E278" s="92">
        <v>28.32</v>
      </c>
    </row>
    <row r="279" spans="2:5" x14ac:dyDescent="0.25">
      <c r="B279" s="91" t="s">
        <v>433</v>
      </c>
      <c r="C279" s="91" t="s">
        <v>265</v>
      </c>
      <c r="D279" s="91" t="s">
        <v>266</v>
      </c>
      <c r="E279" s="92">
        <v>133.04</v>
      </c>
    </row>
    <row r="280" spans="2:5" x14ac:dyDescent="0.25">
      <c r="B280" s="91" t="s">
        <v>327</v>
      </c>
      <c r="C280" s="91" t="s">
        <v>273</v>
      </c>
      <c r="D280" s="91" t="s">
        <v>266</v>
      </c>
      <c r="E280" s="92">
        <v>12586.19</v>
      </c>
    </row>
    <row r="281" spans="2:5" x14ac:dyDescent="0.25">
      <c r="B281" s="91" t="s">
        <v>434</v>
      </c>
      <c r="C281" s="91" t="s">
        <v>273</v>
      </c>
      <c r="D281" s="91" t="s">
        <v>266</v>
      </c>
      <c r="E281" s="92">
        <v>1449.3</v>
      </c>
    </row>
    <row r="282" spans="2:5" x14ac:dyDescent="0.25">
      <c r="B282" s="91" t="s">
        <v>434</v>
      </c>
      <c r="C282" s="91" t="s">
        <v>273</v>
      </c>
      <c r="D282" s="91" t="s">
        <v>270</v>
      </c>
      <c r="E282" s="92">
        <v>4374.6864999999998</v>
      </c>
    </row>
    <row r="283" spans="2:5" x14ac:dyDescent="0.25">
      <c r="B283" s="91" t="s">
        <v>434</v>
      </c>
      <c r="C283" s="91" t="s">
        <v>273</v>
      </c>
      <c r="D283" s="91" t="s">
        <v>270</v>
      </c>
      <c r="E283" s="92">
        <v>4283.2350000000006</v>
      </c>
    </row>
    <row r="284" spans="2:5" x14ac:dyDescent="0.25">
      <c r="B284" s="91" t="s">
        <v>435</v>
      </c>
      <c r="C284" s="91" t="s">
        <v>276</v>
      </c>
      <c r="D284" s="91" t="s">
        <v>266</v>
      </c>
      <c r="E284" s="92">
        <v>199.76</v>
      </c>
    </row>
    <row r="285" spans="2:5" x14ac:dyDescent="0.25">
      <c r="B285" s="91" t="s">
        <v>436</v>
      </c>
      <c r="C285" s="91" t="s">
        <v>265</v>
      </c>
      <c r="D285" s="91" t="s">
        <v>269</v>
      </c>
      <c r="E285" s="92">
        <v>2415.38</v>
      </c>
    </row>
    <row r="286" spans="2:5" x14ac:dyDescent="0.25">
      <c r="B286" s="91" t="s">
        <v>437</v>
      </c>
      <c r="C286" s="91" t="s">
        <v>4</v>
      </c>
      <c r="D286" s="91" t="s">
        <v>269</v>
      </c>
      <c r="E286" s="92">
        <v>1264.46</v>
      </c>
    </row>
    <row r="287" spans="2:5" x14ac:dyDescent="0.25">
      <c r="B287" s="91" t="s">
        <v>437</v>
      </c>
      <c r="C287" s="91" t="s">
        <v>4</v>
      </c>
      <c r="D287" s="91" t="s">
        <v>266</v>
      </c>
      <c r="E287" s="92">
        <v>158.25</v>
      </c>
    </row>
    <row r="288" spans="2:5" x14ac:dyDescent="0.25">
      <c r="B288" s="91" t="s">
        <v>438</v>
      </c>
      <c r="C288" s="91" t="s">
        <v>265</v>
      </c>
      <c r="D288" s="91" t="s">
        <v>269</v>
      </c>
      <c r="E288" s="92">
        <v>302.36</v>
      </c>
    </row>
    <row r="289" spans="2:5" x14ac:dyDescent="0.25">
      <c r="B289" s="91" t="s">
        <v>439</v>
      </c>
      <c r="C289" s="91" t="s">
        <v>265</v>
      </c>
      <c r="D289" s="91" t="s">
        <v>266</v>
      </c>
      <c r="E289" s="92">
        <v>193.63</v>
      </c>
    </row>
    <row r="290" spans="2:5" x14ac:dyDescent="0.25">
      <c r="B290" s="91" t="s">
        <v>439</v>
      </c>
      <c r="C290" s="91" t="s">
        <v>265</v>
      </c>
      <c r="D290" s="91" t="s">
        <v>266</v>
      </c>
      <c r="E290" s="92">
        <v>64.290000000000006</v>
      </c>
    </row>
    <row r="291" spans="2:5" x14ac:dyDescent="0.25">
      <c r="B291" s="91" t="s">
        <v>394</v>
      </c>
      <c r="C291" s="91" t="s">
        <v>4</v>
      </c>
      <c r="D291" s="91" t="s">
        <v>266</v>
      </c>
      <c r="E291" s="92">
        <v>41.25</v>
      </c>
    </row>
    <row r="292" spans="2:5" x14ac:dyDescent="0.25">
      <c r="B292" s="91" t="s">
        <v>440</v>
      </c>
      <c r="C292" s="91" t="s">
        <v>265</v>
      </c>
      <c r="D292" s="91" t="s">
        <v>266</v>
      </c>
      <c r="E292" s="92">
        <v>7871.91</v>
      </c>
    </row>
    <row r="293" spans="2:5" x14ac:dyDescent="0.25">
      <c r="B293" s="91" t="s">
        <v>441</v>
      </c>
      <c r="C293" s="91" t="s">
        <v>4</v>
      </c>
      <c r="D293" s="91" t="s">
        <v>270</v>
      </c>
      <c r="E293" s="92">
        <v>909.82</v>
      </c>
    </row>
    <row r="294" spans="2:5" x14ac:dyDescent="0.25">
      <c r="B294" s="91" t="s">
        <v>441</v>
      </c>
      <c r="C294" s="91" t="s">
        <v>4</v>
      </c>
      <c r="D294" s="91" t="s">
        <v>269</v>
      </c>
      <c r="E294" s="92">
        <v>1874.37</v>
      </c>
    </row>
    <row r="295" spans="2:5" x14ac:dyDescent="0.25">
      <c r="B295" s="91" t="s">
        <v>442</v>
      </c>
      <c r="C295" s="91" t="s">
        <v>4</v>
      </c>
      <c r="D295" s="91" t="s">
        <v>269</v>
      </c>
      <c r="E295" s="92">
        <v>7287.55</v>
      </c>
    </row>
    <row r="296" spans="2:5" x14ac:dyDescent="0.25">
      <c r="B296" s="91" t="s">
        <v>443</v>
      </c>
      <c r="C296" s="91" t="s">
        <v>265</v>
      </c>
      <c r="D296" s="91" t="s">
        <v>266</v>
      </c>
      <c r="E296" s="92">
        <v>137.63999999999999</v>
      </c>
    </row>
    <row r="297" spans="2:5" x14ac:dyDescent="0.25">
      <c r="B297" s="91" t="s">
        <v>444</v>
      </c>
      <c r="C297" s="91" t="s">
        <v>273</v>
      </c>
      <c r="D297" s="91" t="s">
        <v>270</v>
      </c>
      <c r="E297" s="92">
        <v>15464.01</v>
      </c>
    </row>
    <row r="298" spans="2:5" x14ac:dyDescent="0.25">
      <c r="B298" s="91" t="s">
        <v>444</v>
      </c>
      <c r="C298" s="91" t="s">
        <v>273</v>
      </c>
      <c r="D298" s="91" t="s">
        <v>266</v>
      </c>
      <c r="E298" s="92">
        <v>11.35</v>
      </c>
    </row>
    <row r="299" spans="2:5" x14ac:dyDescent="0.25">
      <c r="B299" s="91" t="s">
        <v>445</v>
      </c>
      <c r="C299" s="91" t="s">
        <v>4</v>
      </c>
      <c r="D299" s="91" t="s">
        <v>266</v>
      </c>
      <c r="E299" s="92">
        <v>122.14</v>
      </c>
    </row>
    <row r="300" spans="2:5" x14ac:dyDescent="0.25">
      <c r="B300" s="91" t="s">
        <v>446</v>
      </c>
      <c r="C300" s="91" t="s">
        <v>4</v>
      </c>
      <c r="D300" s="91" t="s">
        <v>269</v>
      </c>
      <c r="E300" s="92">
        <v>3491.06</v>
      </c>
    </row>
    <row r="301" spans="2:5" x14ac:dyDescent="0.25">
      <c r="B301" s="91" t="s">
        <v>446</v>
      </c>
      <c r="C301" s="91" t="s">
        <v>4</v>
      </c>
      <c r="D301" s="91" t="s">
        <v>270</v>
      </c>
      <c r="E301" s="92">
        <v>14383.83</v>
      </c>
    </row>
    <row r="302" spans="2:5" x14ac:dyDescent="0.25">
      <c r="B302" s="91" t="s">
        <v>447</v>
      </c>
      <c r="C302" s="91" t="s">
        <v>273</v>
      </c>
      <c r="D302" s="91" t="s">
        <v>270</v>
      </c>
      <c r="E302" s="92">
        <v>213.75</v>
      </c>
    </row>
    <row r="303" spans="2:5" x14ac:dyDescent="0.25">
      <c r="B303" s="91" t="s">
        <v>448</v>
      </c>
      <c r="C303" s="91" t="s">
        <v>4</v>
      </c>
      <c r="D303" s="91" t="s">
        <v>266</v>
      </c>
      <c r="E303" s="92">
        <v>186.44</v>
      </c>
    </row>
    <row r="304" spans="2:5" x14ac:dyDescent="0.25">
      <c r="B304" s="91" t="s">
        <v>323</v>
      </c>
      <c r="C304" s="91" t="s">
        <v>273</v>
      </c>
      <c r="D304" s="91" t="s">
        <v>270</v>
      </c>
      <c r="E304" s="92">
        <v>294.89</v>
      </c>
    </row>
    <row r="305" spans="2:5" x14ac:dyDescent="0.25">
      <c r="B305" s="91" t="s">
        <v>323</v>
      </c>
      <c r="C305" s="91" t="s">
        <v>273</v>
      </c>
      <c r="D305" s="91" t="s">
        <v>266</v>
      </c>
      <c r="E305" s="92">
        <v>246.57</v>
      </c>
    </row>
    <row r="306" spans="2:5" x14ac:dyDescent="0.25">
      <c r="B306" s="91" t="s">
        <v>429</v>
      </c>
      <c r="C306" s="91" t="s">
        <v>4</v>
      </c>
      <c r="D306" s="91" t="s">
        <v>266</v>
      </c>
      <c r="E306" s="92">
        <v>3752.61</v>
      </c>
    </row>
    <row r="307" spans="2:5" x14ac:dyDescent="0.25">
      <c r="B307" s="91" t="s">
        <v>429</v>
      </c>
      <c r="C307" s="91" t="s">
        <v>4</v>
      </c>
      <c r="D307" s="91" t="s">
        <v>266</v>
      </c>
      <c r="E307" s="92">
        <v>548.36</v>
      </c>
    </row>
    <row r="308" spans="2:5" x14ac:dyDescent="0.25">
      <c r="B308" s="91" t="s">
        <v>449</v>
      </c>
      <c r="C308" s="91" t="s">
        <v>276</v>
      </c>
      <c r="D308" s="91" t="s">
        <v>266</v>
      </c>
      <c r="E308" s="92">
        <v>44.46</v>
      </c>
    </row>
    <row r="309" spans="2:5" x14ac:dyDescent="0.25">
      <c r="B309" s="91" t="s">
        <v>449</v>
      </c>
      <c r="C309" s="91" t="s">
        <v>276</v>
      </c>
      <c r="D309" s="91" t="s">
        <v>266</v>
      </c>
      <c r="E309" s="92">
        <v>542.11</v>
      </c>
    </row>
    <row r="310" spans="2:5" x14ac:dyDescent="0.25">
      <c r="B310" s="91" t="s">
        <v>450</v>
      </c>
      <c r="C310" s="91" t="s">
        <v>265</v>
      </c>
      <c r="D310" s="91" t="s">
        <v>266</v>
      </c>
      <c r="E310" s="92">
        <v>107.93</v>
      </c>
    </row>
    <row r="311" spans="2:5" x14ac:dyDescent="0.25">
      <c r="B311" s="91" t="s">
        <v>451</v>
      </c>
      <c r="C311" s="91" t="s">
        <v>276</v>
      </c>
      <c r="D311" s="91" t="s">
        <v>269</v>
      </c>
      <c r="E311" s="92">
        <v>19342.84</v>
      </c>
    </row>
    <row r="312" spans="2:5" x14ac:dyDescent="0.25">
      <c r="B312" s="91" t="s">
        <v>451</v>
      </c>
      <c r="C312" s="91" t="s">
        <v>276</v>
      </c>
      <c r="D312" s="91" t="s">
        <v>270</v>
      </c>
      <c r="E312" s="92">
        <v>771.78300000000002</v>
      </c>
    </row>
    <row r="313" spans="2:5" x14ac:dyDescent="0.25">
      <c r="B313" s="91" t="s">
        <v>452</v>
      </c>
      <c r="C313" s="91" t="s">
        <v>276</v>
      </c>
      <c r="D313" s="91" t="s">
        <v>266</v>
      </c>
      <c r="E313" s="92">
        <v>343.78</v>
      </c>
    </row>
    <row r="314" spans="2:5" x14ac:dyDescent="0.25">
      <c r="B314" s="91" t="s">
        <v>452</v>
      </c>
      <c r="C314" s="91" t="s">
        <v>276</v>
      </c>
      <c r="D314" s="91" t="s">
        <v>269</v>
      </c>
      <c r="E314" s="92">
        <v>826.09</v>
      </c>
    </row>
    <row r="315" spans="2:5" x14ac:dyDescent="0.25">
      <c r="B315" s="91" t="s">
        <v>453</v>
      </c>
      <c r="C315" s="91" t="s">
        <v>265</v>
      </c>
      <c r="D315" s="91" t="s">
        <v>266</v>
      </c>
      <c r="E315" s="92">
        <v>66.41</v>
      </c>
    </row>
    <row r="316" spans="2:5" x14ac:dyDescent="0.25">
      <c r="B316" s="91" t="s">
        <v>454</v>
      </c>
      <c r="C316" s="91" t="s">
        <v>4</v>
      </c>
      <c r="D316" s="91" t="s">
        <v>266</v>
      </c>
      <c r="E316" s="92">
        <v>692.73</v>
      </c>
    </row>
    <row r="317" spans="2:5" x14ac:dyDescent="0.25">
      <c r="B317" s="91" t="s">
        <v>441</v>
      </c>
      <c r="C317" s="91" t="s">
        <v>4</v>
      </c>
      <c r="D317" s="91" t="s">
        <v>266</v>
      </c>
      <c r="E317" s="92">
        <v>1411.58</v>
      </c>
    </row>
    <row r="318" spans="2:5" x14ac:dyDescent="0.25">
      <c r="B318" s="91" t="s">
        <v>441</v>
      </c>
      <c r="C318" s="91" t="s">
        <v>4</v>
      </c>
      <c r="D318" s="91" t="s">
        <v>270</v>
      </c>
      <c r="E318" s="92">
        <v>2115.2419999999997</v>
      </c>
    </row>
    <row r="319" spans="2:5" x14ac:dyDescent="0.25">
      <c r="B319" s="91" t="s">
        <v>441</v>
      </c>
      <c r="C319" s="91" t="s">
        <v>4</v>
      </c>
      <c r="D319" s="91" t="s">
        <v>269</v>
      </c>
      <c r="E319" s="92">
        <v>1246.68</v>
      </c>
    </row>
    <row r="320" spans="2:5" x14ac:dyDescent="0.25">
      <c r="B320" s="91" t="s">
        <v>277</v>
      </c>
      <c r="C320" s="91" t="s">
        <v>4</v>
      </c>
      <c r="D320" s="91" t="s">
        <v>270</v>
      </c>
      <c r="E320" s="92">
        <v>5945.3675000000003</v>
      </c>
    </row>
    <row r="321" spans="2:5" x14ac:dyDescent="0.25">
      <c r="B321" s="91" t="s">
        <v>451</v>
      </c>
      <c r="C321" s="91" t="s">
        <v>265</v>
      </c>
      <c r="D321" s="91" t="s">
        <v>270</v>
      </c>
      <c r="E321" s="92">
        <v>6111.1684999999998</v>
      </c>
    </row>
    <row r="322" spans="2:5" x14ac:dyDescent="0.25">
      <c r="B322" s="91" t="s">
        <v>451</v>
      </c>
      <c r="C322" s="91" t="s">
        <v>265</v>
      </c>
      <c r="D322" s="91" t="s">
        <v>266</v>
      </c>
      <c r="E322" s="92">
        <v>113.71</v>
      </c>
    </row>
    <row r="323" spans="2:5" x14ac:dyDescent="0.25">
      <c r="B323" s="91" t="s">
        <v>374</v>
      </c>
      <c r="C323" s="91" t="s">
        <v>273</v>
      </c>
      <c r="D323" s="91" t="s">
        <v>266</v>
      </c>
      <c r="E323" s="92">
        <v>605.1</v>
      </c>
    </row>
    <row r="324" spans="2:5" x14ac:dyDescent="0.25">
      <c r="B324" s="91" t="s">
        <v>455</v>
      </c>
      <c r="C324" s="91" t="s">
        <v>276</v>
      </c>
      <c r="D324" s="91" t="s">
        <v>269</v>
      </c>
      <c r="E324" s="92">
        <v>43.56</v>
      </c>
    </row>
    <row r="325" spans="2:5" x14ac:dyDescent="0.25">
      <c r="B325" s="91" t="s">
        <v>456</v>
      </c>
      <c r="C325" s="91" t="s">
        <v>4</v>
      </c>
      <c r="D325" s="91" t="s">
        <v>269</v>
      </c>
      <c r="E325" s="92">
        <v>3905.75</v>
      </c>
    </row>
    <row r="326" spans="2:5" x14ac:dyDescent="0.25">
      <c r="B326" s="91" t="s">
        <v>371</v>
      </c>
      <c r="C326" s="91" t="s">
        <v>273</v>
      </c>
      <c r="D326" s="91" t="s">
        <v>266</v>
      </c>
      <c r="E326" s="92">
        <v>102.56</v>
      </c>
    </row>
    <row r="327" spans="2:5" x14ac:dyDescent="0.25">
      <c r="B327" s="91" t="s">
        <v>371</v>
      </c>
      <c r="C327" s="91" t="s">
        <v>273</v>
      </c>
      <c r="D327" s="91" t="s">
        <v>266</v>
      </c>
      <c r="E327" s="92">
        <v>15.87</v>
      </c>
    </row>
    <row r="328" spans="2:5" x14ac:dyDescent="0.25">
      <c r="B328" s="91" t="s">
        <v>457</v>
      </c>
      <c r="C328" s="91" t="s">
        <v>273</v>
      </c>
      <c r="D328" s="91" t="s">
        <v>266</v>
      </c>
      <c r="E328" s="92">
        <v>82.06</v>
      </c>
    </row>
    <row r="329" spans="2:5" x14ac:dyDescent="0.25">
      <c r="B329" s="91" t="s">
        <v>457</v>
      </c>
      <c r="C329" s="91" t="s">
        <v>273</v>
      </c>
      <c r="D329" s="91" t="s">
        <v>270</v>
      </c>
      <c r="E329" s="92">
        <v>23281.05</v>
      </c>
    </row>
    <row r="330" spans="2:5" x14ac:dyDescent="0.25">
      <c r="B330" s="91" t="s">
        <v>458</v>
      </c>
      <c r="C330" s="91" t="s">
        <v>276</v>
      </c>
      <c r="D330" s="91" t="s">
        <v>269</v>
      </c>
      <c r="E330" s="92">
        <v>9418.73</v>
      </c>
    </row>
    <row r="331" spans="2:5" x14ac:dyDescent="0.25">
      <c r="B331" s="91" t="s">
        <v>458</v>
      </c>
      <c r="C331" s="91" t="s">
        <v>276</v>
      </c>
      <c r="D331" s="91" t="s">
        <v>266</v>
      </c>
      <c r="E331" s="92">
        <v>5.68</v>
      </c>
    </row>
    <row r="332" spans="2:5" x14ac:dyDescent="0.25">
      <c r="B332" s="91" t="s">
        <v>458</v>
      </c>
      <c r="C332" s="91" t="s">
        <v>276</v>
      </c>
      <c r="D332" s="91" t="s">
        <v>266</v>
      </c>
      <c r="E332" s="92">
        <v>174.59</v>
      </c>
    </row>
    <row r="333" spans="2:5" x14ac:dyDescent="0.25">
      <c r="B333" s="91" t="s">
        <v>458</v>
      </c>
      <c r="C333" s="91" t="s">
        <v>276</v>
      </c>
      <c r="D333" s="91" t="s">
        <v>270</v>
      </c>
      <c r="E333" s="92">
        <v>1265.4969999999998</v>
      </c>
    </row>
    <row r="334" spans="2:5" x14ac:dyDescent="0.25">
      <c r="B334" s="91" t="s">
        <v>456</v>
      </c>
      <c r="C334" s="91" t="s">
        <v>273</v>
      </c>
      <c r="D334" s="91" t="s">
        <v>270</v>
      </c>
      <c r="E334" s="92">
        <v>1651.09</v>
      </c>
    </row>
    <row r="335" spans="2:5" x14ac:dyDescent="0.25">
      <c r="B335" s="91" t="s">
        <v>456</v>
      </c>
      <c r="C335" s="91" t="s">
        <v>273</v>
      </c>
      <c r="D335" s="91" t="s">
        <v>266</v>
      </c>
      <c r="E335" s="92">
        <v>95.89</v>
      </c>
    </row>
    <row r="336" spans="2:5" x14ac:dyDescent="0.25">
      <c r="B336" s="91" t="s">
        <v>456</v>
      </c>
      <c r="C336" s="91" t="s">
        <v>273</v>
      </c>
      <c r="D336" s="91" t="s">
        <v>266</v>
      </c>
      <c r="E336" s="92">
        <v>80.38</v>
      </c>
    </row>
    <row r="337" spans="2:5" x14ac:dyDescent="0.25">
      <c r="B337" s="91" t="s">
        <v>443</v>
      </c>
      <c r="C337" s="91" t="s">
        <v>265</v>
      </c>
      <c r="D337" s="91" t="s">
        <v>266</v>
      </c>
      <c r="E337" s="92">
        <v>40.31</v>
      </c>
    </row>
    <row r="338" spans="2:5" x14ac:dyDescent="0.25">
      <c r="B338" s="91" t="s">
        <v>459</v>
      </c>
      <c r="C338" s="91" t="s">
        <v>276</v>
      </c>
      <c r="D338" s="91" t="s">
        <v>269</v>
      </c>
      <c r="E338" s="92">
        <v>186.02</v>
      </c>
    </row>
    <row r="339" spans="2:5" x14ac:dyDescent="0.25">
      <c r="B339" s="91" t="s">
        <v>459</v>
      </c>
      <c r="C339" s="91" t="s">
        <v>276</v>
      </c>
      <c r="D339" s="91" t="s">
        <v>266</v>
      </c>
      <c r="E339" s="92">
        <v>142.44</v>
      </c>
    </row>
    <row r="340" spans="2:5" x14ac:dyDescent="0.25">
      <c r="B340" s="91" t="s">
        <v>459</v>
      </c>
      <c r="C340" s="91" t="s">
        <v>276</v>
      </c>
      <c r="D340" s="91" t="s">
        <v>266</v>
      </c>
      <c r="E340" s="92">
        <v>967.78</v>
      </c>
    </row>
    <row r="341" spans="2:5" x14ac:dyDescent="0.25">
      <c r="B341" s="91" t="s">
        <v>460</v>
      </c>
      <c r="C341" s="91" t="s">
        <v>276</v>
      </c>
      <c r="D341" s="91" t="s">
        <v>266</v>
      </c>
      <c r="E341" s="92">
        <v>88.61</v>
      </c>
    </row>
    <row r="342" spans="2:5" x14ac:dyDescent="0.25">
      <c r="B342" s="91" t="s">
        <v>461</v>
      </c>
      <c r="C342" s="91" t="s">
        <v>265</v>
      </c>
      <c r="D342" s="91" t="s">
        <v>270</v>
      </c>
      <c r="E342" s="92">
        <v>21134.71</v>
      </c>
    </row>
    <row r="343" spans="2:5" x14ac:dyDescent="0.25">
      <c r="B343" s="91" t="s">
        <v>462</v>
      </c>
      <c r="C343" s="91" t="s">
        <v>276</v>
      </c>
      <c r="D343" s="91" t="s">
        <v>269</v>
      </c>
      <c r="E343" s="92">
        <v>7680.29</v>
      </c>
    </row>
    <row r="344" spans="2:5" x14ac:dyDescent="0.25">
      <c r="B344" s="91" t="s">
        <v>463</v>
      </c>
      <c r="C344" s="91" t="s">
        <v>265</v>
      </c>
      <c r="D344" s="91" t="s">
        <v>266</v>
      </c>
      <c r="E344" s="92">
        <v>278</v>
      </c>
    </row>
    <row r="345" spans="2:5" x14ac:dyDescent="0.25">
      <c r="B345" s="91" t="s">
        <v>413</v>
      </c>
      <c r="C345" s="91" t="s">
        <v>273</v>
      </c>
      <c r="D345" s="91" t="s">
        <v>270</v>
      </c>
      <c r="E345" s="92">
        <v>66.540000000000006</v>
      </c>
    </row>
    <row r="346" spans="2:5" x14ac:dyDescent="0.25">
      <c r="B346" s="91" t="s">
        <v>413</v>
      </c>
      <c r="C346" s="91" t="s">
        <v>273</v>
      </c>
      <c r="D346" s="91" t="s">
        <v>266</v>
      </c>
      <c r="E346" s="92">
        <v>845.32</v>
      </c>
    </row>
    <row r="347" spans="2:5" x14ac:dyDescent="0.25">
      <c r="B347" s="91" t="s">
        <v>464</v>
      </c>
      <c r="C347" s="91" t="s">
        <v>4</v>
      </c>
      <c r="D347" s="91" t="s">
        <v>269</v>
      </c>
      <c r="E347" s="92">
        <v>4577.18</v>
      </c>
    </row>
    <row r="348" spans="2:5" x14ac:dyDescent="0.25">
      <c r="B348" s="91" t="s">
        <v>464</v>
      </c>
      <c r="C348" s="91" t="s">
        <v>4</v>
      </c>
      <c r="D348" s="91" t="s">
        <v>266</v>
      </c>
      <c r="E348" s="92">
        <v>845.9</v>
      </c>
    </row>
    <row r="349" spans="2:5" x14ac:dyDescent="0.25">
      <c r="B349" s="91" t="s">
        <v>465</v>
      </c>
      <c r="C349" s="91" t="s">
        <v>273</v>
      </c>
      <c r="D349" s="91" t="s">
        <v>269</v>
      </c>
      <c r="E349" s="92">
        <v>3116.47</v>
      </c>
    </row>
    <row r="350" spans="2:5" x14ac:dyDescent="0.25">
      <c r="B350" s="91" t="s">
        <v>465</v>
      </c>
      <c r="C350" s="91" t="s">
        <v>273</v>
      </c>
      <c r="D350" s="91" t="s">
        <v>266</v>
      </c>
      <c r="E350" s="92">
        <v>12.41</v>
      </c>
    </row>
    <row r="351" spans="2:5" x14ac:dyDescent="0.25">
      <c r="B351" s="91" t="s">
        <v>465</v>
      </c>
      <c r="C351" s="91" t="s">
        <v>273</v>
      </c>
      <c r="D351" s="91" t="s">
        <v>266</v>
      </c>
      <c r="E351" s="92">
        <v>1382.8</v>
      </c>
    </row>
    <row r="352" spans="2:5" x14ac:dyDescent="0.25">
      <c r="B352" s="91" t="s">
        <v>466</v>
      </c>
      <c r="C352" s="91" t="s">
        <v>4</v>
      </c>
      <c r="D352" s="91" t="s">
        <v>266</v>
      </c>
      <c r="E352" s="92">
        <v>113.5</v>
      </c>
    </row>
    <row r="353" spans="2:5" x14ac:dyDescent="0.25">
      <c r="B353" s="91" t="s">
        <v>467</v>
      </c>
      <c r="C353" s="91" t="s">
        <v>4</v>
      </c>
      <c r="D353" s="91" t="s">
        <v>266</v>
      </c>
      <c r="E353" s="92">
        <v>182.33</v>
      </c>
    </row>
    <row r="354" spans="2:5" x14ac:dyDescent="0.25">
      <c r="B354" s="91" t="s">
        <v>468</v>
      </c>
      <c r="C354" s="91" t="s">
        <v>276</v>
      </c>
      <c r="D354" s="91" t="s">
        <v>266</v>
      </c>
      <c r="E354" s="92">
        <v>27.01</v>
      </c>
    </row>
    <row r="355" spans="2:5" x14ac:dyDescent="0.25">
      <c r="B355" s="91" t="s">
        <v>469</v>
      </c>
      <c r="C355" s="91" t="s">
        <v>273</v>
      </c>
      <c r="D355" s="91" t="s">
        <v>269</v>
      </c>
      <c r="E355" s="92">
        <v>1324.09</v>
      </c>
    </row>
    <row r="356" spans="2:5" x14ac:dyDescent="0.25">
      <c r="B356" s="91" t="s">
        <v>470</v>
      </c>
      <c r="C356" s="91" t="s">
        <v>265</v>
      </c>
      <c r="D356" s="91" t="s">
        <v>266</v>
      </c>
      <c r="E356" s="92">
        <v>1634.98</v>
      </c>
    </row>
    <row r="357" spans="2:5" x14ac:dyDescent="0.25">
      <c r="B357" s="91" t="s">
        <v>471</v>
      </c>
      <c r="C357" s="91" t="s">
        <v>265</v>
      </c>
      <c r="D357" s="91" t="s">
        <v>266</v>
      </c>
      <c r="E357" s="92">
        <v>157.49</v>
      </c>
    </row>
    <row r="358" spans="2:5" x14ac:dyDescent="0.25">
      <c r="B358" s="91" t="s">
        <v>472</v>
      </c>
      <c r="C358" s="91" t="s">
        <v>276</v>
      </c>
      <c r="D358" s="91" t="s">
        <v>266</v>
      </c>
      <c r="E358" s="92">
        <v>508.73</v>
      </c>
    </row>
    <row r="359" spans="2:5" x14ac:dyDescent="0.25">
      <c r="B359" s="91" t="s">
        <v>359</v>
      </c>
      <c r="C359" s="91" t="s">
        <v>276</v>
      </c>
      <c r="D359" s="91" t="s">
        <v>269</v>
      </c>
      <c r="E359" s="92">
        <v>679.6</v>
      </c>
    </row>
    <row r="360" spans="2:5" x14ac:dyDescent="0.25">
      <c r="B360" s="91" t="s">
        <v>359</v>
      </c>
      <c r="C360" s="91" t="s">
        <v>276</v>
      </c>
      <c r="D360" s="91" t="s">
        <v>266</v>
      </c>
      <c r="E360" s="92">
        <v>257.42</v>
      </c>
    </row>
    <row r="361" spans="2:5" x14ac:dyDescent="0.25">
      <c r="B361" s="91" t="s">
        <v>387</v>
      </c>
      <c r="C361" s="91" t="s">
        <v>4</v>
      </c>
      <c r="D361" s="91" t="s">
        <v>266</v>
      </c>
      <c r="E361" s="92">
        <v>317.58999999999997</v>
      </c>
    </row>
    <row r="362" spans="2:5" x14ac:dyDescent="0.25">
      <c r="B362" s="91" t="s">
        <v>473</v>
      </c>
      <c r="C362" s="91" t="s">
        <v>276</v>
      </c>
      <c r="D362" s="91" t="s">
        <v>266</v>
      </c>
      <c r="E362" s="92">
        <v>78.17</v>
      </c>
    </row>
    <row r="363" spans="2:5" x14ac:dyDescent="0.25">
      <c r="B363" s="91" t="s">
        <v>310</v>
      </c>
      <c r="C363" s="91" t="s">
        <v>4</v>
      </c>
      <c r="D363" s="91" t="s">
        <v>270</v>
      </c>
      <c r="E363" s="92">
        <v>24105.87</v>
      </c>
    </row>
    <row r="364" spans="2:5" x14ac:dyDescent="0.25">
      <c r="B364" s="91" t="s">
        <v>474</v>
      </c>
      <c r="C364" s="91" t="s">
        <v>4</v>
      </c>
      <c r="D364" s="91" t="s">
        <v>266</v>
      </c>
      <c r="E364" s="92">
        <v>330.21</v>
      </c>
    </row>
    <row r="365" spans="2:5" x14ac:dyDescent="0.25">
      <c r="B365" s="91" t="s">
        <v>475</v>
      </c>
      <c r="C365" s="91" t="s">
        <v>4</v>
      </c>
      <c r="D365" s="91" t="s">
        <v>266</v>
      </c>
      <c r="E365" s="92">
        <v>278.68</v>
      </c>
    </row>
    <row r="366" spans="2:5" x14ac:dyDescent="0.25">
      <c r="B366" s="91" t="s">
        <v>475</v>
      </c>
      <c r="C366" s="91" t="s">
        <v>4</v>
      </c>
      <c r="D366" s="91" t="s">
        <v>270</v>
      </c>
      <c r="E366" s="92">
        <v>717.46799999999996</v>
      </c>
    </row>
    <row r="367" spans="2:5" x14ac:dyDescent="0.25">
      <c r="B367" s="91" t="s">
        <v>464</v>
      </c>
      <c r="C367" s="91" t="s">
        <v>276</v>
      </c>
      <c r="D367" s="91" t="s">
        <v>270</v>
      </c>
      <c r="E367" s="92">
        <v>1082.45</v>
      </c>
    </row>
    <row r="368" spans="2:5" x14ac:dyDescent="0.25">
      <c r="B368" s="91" t="s">
        <v>476</v>
      </c>
      <c r="C368" s="91" t="s">
        <v>273</v>
      </c>
      <c r="D368" s="91" t="s">
        <v>269</v>
      </c>
      <c r="E368" s="92">
        <v>2553.84</v>
      </c>
    </row>
    <row r="369" spans="2:5" x14ac:dyDescent="0.25">
      <c r="B369" s="91" t="s">
        <v>340</v>
      </c>
      <c r="C369" s="91" t="s">
        <v>4</v>
      </c>
      <c r="D369" s="91" t="s">
        <v>270</v>
      </c>
      <c r="E369" s="92">
        <v>4147.47</v>
      </c>
    </row>
    <row r="370" spans="2:5" x14ac:dyDescent="0.25">
      <c r="B370" s="91" t="s">
        <v>477</v>
      </c>
      <c r="C370" s="91" t="s">
        <v>4</v>
      </c>
      <c r="D370" s="91" t="s">
        <v>270</v>
      </c>
      <c r="E370" s="92">
        <v>3629.1174999999998</v>
      </c>
    </row>
    <row r="371" spans="2:5" x14ac:dyDescent="0.25">
      <c r="B371" s="91" t="s">
        <v>478</v>
      </c>
      <c r="C371" s="91" t="s">
        <v>265</v>
      </c>
      <c r="D371" s="91" t="s">
        <v>266</v>
      </c>
      <c r="E371" s="92">
        <v>22.56</v>
      </c>
    </row>
    <row r="372" spans="2:5" x14ac:dyDescent="0.25">
      <c r="B372" s="91" t="s">
        <v>288</v>
      </c>
      <c r="C372" s="91" t="s">
        <v>4</v>
      </c>
      <c r="D372" s="91" t="s">
        <v>266</v>
      </c>
      <c r="E372" s="92">
        <v>91.15</v>
      </c>
    </row>
    <row r="373" spans="2:5" x14ac:dyDescent="0.25">
      <c r="B373" s="91" t="s">
        <v>288</v>
      </c>
      <c r="C373" s="91" t="s">
        <v>4</v>
      </c>
      <c r="D373" s="91" t="s">
        <v>266</v>
      </c>
      <c r="E373" s="92">
        <v>171.48</v>
      </c>
    </row>
    <row r="374" spans="2:5" x14ac:dyDescent="0.25">
      <c r="B374" s="91" t="s">
        <v>288</v>
      </c>
      <c r="C374" s="91" t="s">
        <v>4</v>
      </c>
      <c r="D374" s="91" t="s">
        <v>270</v>
      </c>
      <c r="E374" s="92">
        <v>162.15450000000001</v>
      </c>
    </row>
    <row r="375" spans="2:5" x14ac:dyDescent="0.25">
      <c r="B375" s="91" t="s">
        <v>464</v>
      </c>
      <c r="C375" s="91" t="s">
        <v>4</v>
      </c>
      <c r="D375" s="91" t="s">
        <v>266</v>
      </c>
      <c r="E375" s="92">
        <v>23.46</v>
      </c>
    </row>
    <row r="376" spans="2:5" x14ac:dyDescent="0.25">
      <c r="B376" s="91" t="s">
        <v>479</v>
      </c>
      <c r="C376" s="91" t="s">
        <v>4</v>
      </c>
      <c r="D376" s="91" t="s">
        <v>266</v>
      </c>
      <c r="E376" s="92">
        <v>282.07</v>
      </c>
    </row>
    <row r="377" spans="2:5" x14ac:dyDescent="0.25">
      <c r="B377" s="91" t="s">
        <v>479</v>
      </c>
      <c r="C377" s="91" t="s">
        <v>4</v>
      </c>
      <c r="D377" s="91" t="s">
        <v>270</v>
      </c>
      <c r="E377" s="92">
        <v>426.03700000000003</v>
      </c>
    </row>
    <row r="378" spans="2:5" x14ac:dyDescent="0.25">
      <c r="B378" s="91" t="s">
        <v>480</v>
      </c>
      <c r="C378" s="91" t="s">
        <v>4</v>
      </c>
      <c r="D378" s="91" t="s">
        <v>270</v>
      </c>
      <c r="E378" s="92">
        <v>82.72</v>
      </c>
    </row>
    <row r="379" spans="2:5" x14ac:dyDescent="0.25">
      <c r="B379" s="91" t="s">
        <v>409</v>
      </c>
      <c r="C379" s="91" t="s">
        <v>273</v>
      </c>
      <c r="D379" s="91" t="s">
        <v>270</v>
      </c>
      <c r="E379" s="92">
        <v>731.22</v>
      </c>
    </row>
    <row r="380" spans="2:5" x14ac:dyDescent="0.25">
      <c r="B380" s="91" t="s">
        <v>409</v>
      </c>
      <c r="C380" s="91" t="s">
        <v>273</v>
      </c>
      <c r="D380" s="91" t="s">
        <v>266</v>
      </c>
      <c r="E380" s="92">
        <v>114.14</v>
      </c>
    </row>
    <row r="381" spans="2:5" x14ac:dyDescent="0.25">
      <c r="B381" s="91" t="s">
        <v>481</v>
      </c>
      <c r="C381" s="91" t="s">
        <v>276</v>
      </c>
      <c r="D381" s="91" t="s">
        <v>270</v>
      </c>
      <c r="E381" s="92">
        <v>64.819999999999993</v>
      </c>
    </row>
    <row r="382" spans="2:5" x14ac:dyDescent="0.25">
      <c r="B382" s="91" t="s">
        <v>481</v>
      </c>
      <c r="C382" s="91" t="s">
        <v>276</v>
      </c>
      <c r="D382" s="91" t="s">
        <v>266</v>
      </c>
      <c r="E382" s="92">
        <v>77.599999999999994</v>
      </c>
    </row>
    <row r="383" spans="2:5" x14ac:dyDescent="0.25">
      <c r="B383" s="91" t="s">
        <v>481</v>
      </c>
      <c r="C383" s="91" t="s">
        <v>276</v>
      </c>
      <c r="D383" s="91" t="s">
        <v>266</v>
      </c>
      <c r="E383" s="92">
        <v>821.18</v>
      </c>
    </row>
    <row r="384" spans="2:5" x14ac:dyDescent="0.25">
      <c r="B384" s="91" t="s">
        <v>482</v>
      </c>
      <c r="C384" s="91" t="s">
        <v>265</v>
      </c>
      <c r="D384" s="91" t="s">
        <v>266</v>
      </c>
      <c r="E384" s="92">
        <v>31.77</v>
      </c>
    </row>
    <row r="385" spans="2:5" x14ac:dyDescent="0.25">
      <c r="B385" s="91" t="s">
        <v>482</v>
      </c>
      <c r="C385" s="91" t="s">
        <v>265</v>
      </c>
      <c r="D385" s="91" t="s">
        <v>266</v>
      </c>
      <c r="E385" s="92">
        <v>208.05</v>
      </c>
    </row>
    <row r="386" spans="2:5" x14ac:dyDescent="0.25">
      <c r="B386" s="91" t="s">
        <v>483</v>
      </c>
      <c r="C386" s="91" t="s">
        <v>4</v>
      </c>
      <c r="D386" s="91" t="s">
        <v>266</v>
      </c>
      <c r="E386" s="92">
        <v>2004.12</v>
      </c>
    </row>
    <row r="387" spans="2:5" x14ac:dyDescent="0.25">
      <c r="B387" s="91" t="s">
        <v>483</v>
      </c>
      <c r="C387" s="91" t="s">
        <v>4</v>
      </c>
      <c r="D387" s="91" t="s">
        <v>269</v>
      </c>
      <c r="E387" s="92">
        <v>3841.72</v>
      </c>
    </row>
    <row r="388" spans="2:5" x14ac:dyDescent="0.25">
      <c r="B388" s="91" t="s">
        <v>484</v>
      </c>
      <c r="C388" s="91" t="s">
        <v>4</v>
      </c>
      <c r="D388" s="91" t="s">
        <v>269</v>
      </c>
      <c r="E388" s="92">
        <v>11764.25</v>
      </c>
    </row>
    <row r="389" spans="2:5" x14ac:dyDescent="0.25">
      <c r="B389" s="91" t="s">
        <v>484</v>
      </c>
      <c r="C389" s="91" t="s">
        <v>4</v>
      </c>
      <c r="D389" s="91" t="s">
        <v>269</v>
      </c>
      <c r="E389" s="92">
        <v>25.17</v>
      </c>
    </row>
    <row r="390" spans="2:5" x14ac:dyDescent="0.25">
      <c r="B390" s="91" t="s">
        <v>484</v>
      </c>
      <c r="C390" s="91" t="s">
        <v>4</v>
      </c>
      <c r="D390" s="91" t="s">
        <v>266</v>
      </c>
      <c r="E390" s="92">
        <v>208.47</v>
      </c>
    </row>
    <row r="391" spans="2:5" x14ac:dyDescent="0.25">
      <c r="B391" s="91" t="s">
        <v>485</v>
      </c>
      <c r="C391" s="91" t="s">
        <v>265</v>
      </c>
      <c r="D391" s="91" t="s">
        <v>266</v>
      </c>
      <c r="E391" s="92">
        <v>48.37</v>
      </c>
    </row>
    <row r="392" spans="2:5" x14ac:dyDescent="0.25">
      <c r="B392" s="91" t="s">
        <v>486</v>
      </c>
      <c r="C392" s="91" t="s">
        <v>276</v>
      </c>
      <c r="D392" s="91" t="s">
        <v>266</v>
      </c>
      <c r="E392" s="92">
        <v>34.590000000000003</v>
      </c>
    </row>
    <row r="393" spans="2:5" x14ac:dyDescent="0.25">
      <c r="B393" s="91" t="s">
        <v>486</v>
      </c>
      <c r="C393" s="91" t="s">
        <v>276</v>
      </c>
      <c r="D393" s="91" t="s">
        <v>269</v>
      </c>
      <c r="E393" s="92">
        <v>5029.2160000000003</v>
      </c>
    </row>
    <row r="394" spans="2:5" x14ac:dyDescent="0.25">
      <c r="B394" s="91" t="s">
        <v>487</v>
      </c>
      <c r="C394" s="91" t="s">
        <v>4</v>
      </c>
      <c r="D394" s="91" t="s">
        <v>266</v>
      </c>
      <c r="E394" s="92">
        <v>146.51</v>
      </c>
    </row>
    <row r="395" spans="2:5" x14ac:dyDescent="0.25">
      <c r="B395" s="91" t="s">
        <v>488</v>
      </c>
      <c r="C395" s="91" t="s">
        <v>4</v>
      </c>
      <c r="D395" s="91" t="s">
        <v>270</v>
      </c>
      <c r="E395" s="92">
        <v>1078.49</v>
      </c>
    </row>
    <row r="396" spans="2:5" x14ac:dyDescent="0.25">
      <c r="B396" s="91" t="s">
        <v>489</v>
      </c>
      <c r="C396" s="91" t="s">
        <v>276</v>
      </c>
      <c r="D396" s="91" t="s">
        <v>269</v>
      </c>
      <c r="E396" s="92">
        <v>523.11</v>
      </c>
    </row>
    <row r="397" spans="2:5" x14ac:dyDescent="0.25">
      <c r="B397" s="91" t="s">
        <v>489</v>
      </c>
      <c r="C397" s="91" t="s">
        <v>276</v>
      </c>
      <c r="D397" s="91" t="s">
        <v>270</v>
      </c>
      <c r="E397" s="92">
        <v>913.41</v>
      </c>
    </row>
    <row r="398" spans="2:5" x14ac:dyDescent="0.25">
      <c r="B398" s="91" t="s">
        <v>490</v>
      </c>
      <c r="C398" s="91" t="s">
        <v>273</v>
      </c>
      <c r="D398" s="91" t="s">
        <v>266</v>
      </c>
      <c r="E398" s="92">
        <v>8316.76</v>
      </c>
    </row>
    <row r="399" spans="2:5" x14ac:dyDescent="0.25">
      <c r="B399" s="91" t="s">
        <v>490</v>
      </c>
      <c r="C399" s="91" t="s">
        <v>273</v>
      </c>
      <c r="D399" s="91" t="s">
        <v>270</v>
      </c>
      <c r="E399" s="92">
        <v>2143.2154999999998</v>
      </c>
    </row>
    <row r="400" spans="2:5" x14ac:dyDescent="0.25">
      <c r="B400" s="91" t="s">
        <v>491</v>
      </c>
      <c r="C400" s="91" t="s">
        <v>265</v>
      </c>
      <c r="D400" s="91" t="s">
        <v>266</v>
      </c>
      <c r="E400" s="92">
        <v>229.51</v>
      </c>
    </row>
    <row r="401" spans="2:5" x14ac:dyDescent="0.25">
      <c r="B401" s="91" t="s">
        <v>491</v>
      </c>
      <c r="C401" s="91" t="s">
        <v>265</v>
      </c>
      <c r="D401" s="91" t="s">
        <v>266</v>
      </c>
      <c r="E401" s="92">
        <v>473</v>
      </c>
    </row>
    <row r="402" spans="2:5" x14ac:dyDescent="0.25">
      <c r="B402" s="91" t="s">
        <v>352</v>
      </c>
      <c r="C402" s="91" t="s">
        <v>4</v>
      </c>
      <c r="D402" s="91" t="s">
        <v>266</v>
      </c>
      <c r="E402" s="92">
        <v>881.65</v>
      </c>
    </row>
    <row r="403" spans="2:5" x14ac:dyDescent="0.25">
      <c r="B403" s="91" t="s">
        <v>348</v>
      </c>
      <c r="C403" s="91" t="s">
        <v>265</v>
      </c>
      <c r="D403" s="91" t="s">
        <v>270</v>
      </c>
      <c r="E403" s="92">
        <v>2080.0349999999999</v>
      </c>
    </row>
    <row r="404" spans="2:5" x14ac:dyDescent="0.25">
      <c r="B404" s="91" t="s">
        <v>348</v>
      </c>
      <c r="C404" s="91" t="s">
        <v>265</v>
      </c>
      <c r="D404" s="91" t="s">
        <v>270</v>
      </c>
      <c r="E404" s="92">
        <v>145.41999999999999</v>
      </c>
    </row>
    <row r="405" spans="2:5" x14ac:dyDescent="0.25">
      <c r="B405" s="91" t="s">
        <v>348</v>
      </c>
      <c r="C405" s="91" t="s">
        <v>265</v>
      </c>
      <c r="D405" s="91" t="s">
        <v>270</v>
      </c>
      <c r="E405" s="92">
        <v>1559.4355</v>
      </c>
    </row>
    <row r="406" spans="2:5" x14ac:dyDescent="0.25">
      <c r="B406" s="91" t="s">
        <v>411</v>
      </c>
      <c r="C406" s="91" t="s">
        <v>4</v>
      </c>
      <c r="D406" s="91" t="s">
        <v>269</v>
      </c>
      <c r="E406" s="92">
        <v>3363.14</v>
      </c>
    </row>
    <row r="407" spans="2:5" x14ac:dyDescent="0.25">
      <c r="B407" s="91" t="s">
        <v>492</v>
      </c>
      <c r="C407" s="91" t="s">
        <v>265</v>
      </c>
      <c r="D407" s="91" t="s">
        <v>270</v>
      </c>
      <c r="E407" s="92">
        <v>2051.0160000000001</v>
      </c>
    </row>
    <row r="408" spans="2:5" x14ac:dyDescent="0.25">
      <c r="B408" s="91" t="s">
        <v>493</v>
      </c>
      <c r="C408" s="91" t="s">
        <v>276</v>
      </c>
      <c r="D408" s="91" t="s">
        <v>270</v>
      </c>
      <c r="E408" s="92">
        <v>1895.55</v>
      </c>
    </row>
    <row r="409" spans="2:5" x14ac:dyDescent="0.25">
      <c r="B409" s="91" t="s">
        <v>416</v>
      </c>
      <c r="C409" s="91" t="s">
        <v>265</v>
      </c>
      <c r="D409" s="91" t="s">
        <v>270</v>
      </c>
      <c r="E409" s="92">
        <v>2178.431</v>
      </c>
    </row>
    <row r="410" spans="2:5" x14ac:dyDescent="0.25">
      <c r="B410" s="91" t="s">
        <v>451</v>
      </c>
      <c r="C410" s="91" t="s">
        <v>265</v>
      </c>
      <c r="D410" s="91" t="s">
        <v>270</v>
      </c>
      <c r="E410" s="92">
        <v>695.47</v>
      </c>
    </row>
    <row r="411" spans="2:5" x14ac:dyDescent="0.25">
      <c r="B411" s="91" t="s">
        <v>451</v>
      </c>
      <c r="C411" s="91" t="s">
        <v>265</v>
      </c>
      <c r="D411" s="91" t="s">
        <v>266</v>
      </c>
      <c r="E411" s="92">
        <v>152.59</v>
      </c>
    </row>
    <row r="412" spans="2:5" x14ac:dyDescent="0.25">
      <c r="B412" s="91" t="s">
        <v>451</v>
      </c>
      <c r="C412" s="91" t="s">
        <v>265</v>
      </c>
      <c r="D412" s="91" t="s">
        <v>266</v>
      </c>
      <c r="E412" s="92">
        <v>365.62</v>
      </c>
    </row>
    <row r="413" spans="2:5" x14ac:dyDescent="0.25">
      <c r="B413" s="91" t="s">
        <v>451</v>
      </c>
      <c r="C413" s="91" t="s">
        <v>265</v>
      </c>
      <c r="D413" s="91" t="s">
        <v>270</v>
      </c>
      <c r="E413" s="92">
        <v>575.56899999999996</v>
      </c>
    </row>
    <row r="414" spans="2:5" x14ac:dyDescent="0.25">
      <c r="B414" s="91" t="s">
        <v>494</v>
      </c>
      <c r="C414" s="91" t="s">
        <v>273</v>
      </c>
      <c r="D414" s="91" t="s">
        <v>266</v>
      </c>
      <c r="E414" s="92">
        <v>1427.67</v>
      </c>
    </row>
    <row r="415" spans="2:5" x14ac:dyDescent="0.25">
      <c r="B415" s="91" t="s">
        <v>494</v>
      </c>
      <c r="C415" s="91" t="s">
        <v>273</v>
      </c>
      <c r="D415" s="91" t="s">
        <v>266</v>
      </c>
      <c r="E415" s="92">
        <v>499.26</v>
      </c>
    </row>
    <row r="416" spans="2:5" x14ac:dyDescent="0.25">
      <c r="B416" s="91" t="s">
        <v>495</v>
      </c>
      <c r="C416" s="91" t="s">
        <v>4</v>
      </c>
      <c r="D416" s="91" t="s">
        <v>266</v>
      </c>
      <c r="E416" s="92">
        <v>736.3</v>
      </c>
    </row>
    <row r="417" spans="2:5" x14ac:dyDescent="0.25">
      <c r="B417" s="91" t="s">
        <v>495</v>
      </c>
      <c r="C417" s="91" t="s">
        <v>4</v>
      </c>
      <c r="D417" s="91" t="s">
        <v>266</v>
      </c>
      <c r="E417" s="92">
        <v>346.06</v>
      </c>
    </row>
    <row r="418" spans="2:5" x14ac:dyDescent="0.25">
      <c r="B418" s="91" t="s">
        <v>496</v>
      </c>
      <c r="C418" s="91" t="s">
        <v>265</v>
      </c>
      <c r="D418" s="91" t="s">
        <v>270</v>
      </c>
      <c r="E418" s="92">
        <v>1344.88</v>
      </c>
    </row>
    <row r="419" spans="2:5" x14ac:dyDescent="0.25">
      <c r="B419" s="91" t="s">
        <v>496</v>
      </c>
      <c r="C419" s="91" t="s">
        <v>265</v>
      </c>
      <c r="D419" s="91" t="s">
        <v>266</v>
      </c>
      <c r="E419" s="92">
        <v>248.54</v>
      </c>
    </row>
    <row r="420" spans="2:5" x14ac:dyDescent="0.25">
      <c r="B420" s="91" t="s">
        <v>497</v>
      </c>
      <c r="C420" s="91" t="s">
        <v>4</v>
      </c>
      <c r="D420" s="91" t="s">
        <v>269</v>
      </c>
      <c r="E420" s="92">
        <v>3554.46</v>
      </c>
    </row>
    <row r="421" spans="2:5" x14ac:dyDescent="0.25">
      <c r="B421" s="91" t="s">
        <v>498</v>
      </c>
      <c r="C421" s="91" t="s">
        <v>4</v>
      </c>
      <c r="D421" s="91" t="s">
        <v>266</v>
      </c>
      <c r="E421" s="92">
        <v>569.32000000000005</v>
      </c>
    </row>
    <row r="422" spans="2:5" x14ac:dyDescent="0.25">
      <c r="B422" s="91" t="s">
        <v>482</v>
      </c>
      <c r="C422" s="91" t="s">
        <v>265</v>
      </c>
      <c r="D422" s="91" t="s">
        <v>270</v>
      </c>
      <c r="E422" s="92">
        <v>827.47</v>
      </c>
    </row>
    <row r="423" spans="2:5" x14ac:dyDescent="0.25">
      <c r="B423" s="91" t="s">
        <v>465</v>
      </c>
      <c r="C423" s="91" t="s">
        <v>273</v>
      </c>
      <c r="D423" s="91" t="s">
        <v>266</v>
      </c>
      <c r="E423" s="92">
        <v>45.91</v>
      </c>
    </row>
    <row r="424" spans="2:5" x14ac:dyDescent="0.25">
      <c r="B424" s="91" t="s">
        <v>465</v>
      </c>
      <c r="C424" s="91" t="s">
        <v>273</v>
      </c>
      <c r="D424" s="91" t="s">
        <v>270</v>
      </c>
      <c r="E424" s="92">
        <v>22319.58</v>
      </c>
    </row>
    <row r="425" spans="2:5" x14ac:dyDescent="0.25">
      <c r="B425" s="91" t="s">
        <v>465</v>
      </c>
      <c r="C425" s="91" t="s">
        <v>273</v>
      </c>
      <c r="D425" s="91" t="s">
        <v>266</v>
      </c>
      <c r="E425" s="92">
        <v>330.24</v>
      </c>
    </row>
    <row r="426" spans="2:5" x14ac:dyDescent="0.25">
      <c r="B426" s="91" t="s">
        <v>465</v>
      </c>
      <c r="C426" s="91" t="s">
        <v>273</v>
      </c>
      <c r="D426" s="91" t="s">
        <v>266</v>
      </c>
      <c r="E426" s="92">
        <v>520.65</v>
      </c>
    </row>
    <row r="427" spans="2:5" x14ac:dyDescent="0.25">
      <c r="B427" s="91" t="s">
        <v>499</v>
      </c>
      <c r="C427" s="91" t="s">
        <v>4</v>
      </c>
      <c r="D427" s="91" t="s">
        <v>266</v>
      </c>
      <c r="E427" s="92">
        <v>191.67</v>
      </c>
    </row>
    <row r="428" spans="2:5" x14ac:dyDescent="0.25">
      <c r="B428" s="91" t="s">
        <v>499</v>
      </c>
      <c r="C428" s="91" t="s">
        <v>4</v>
      </c>
      <c r="D428" s="91" t="s">
        <v>269</v>
      </c>
      <c r="E428" s="92">
        <v>5586.33</v>
      </c>
    </row>
    <row r="429" spans="2:5" x14ac:dyDescent="0.25">
      <c r="B429" s="91" t="s">
        <v>499</v>
      </c>
      <c r="C429" s="91" t="s">
        <v>4</v>
      </c>
      <c r="D429" s="91" t="s">
        <v>266</v>
      </c>
      <c r="E429" s="92">
        <v>507.64</v>
      </c>
    </row>
    <row r="430" spans="2:5" x14ac:dyDescent="0.25">
      <c r="B430" s="91" t="s">
        <v>500</v>
      </c>
      <c r="C430" s="91" t="s">
        <v>4</v>
      </c>
      <c r="D430" s="91" t="s">
        <v>266</v>
      </c>
      <c r="E430" s="92">
        <v>787.56</v>
      </c>
    </row>
    <row r="431" spans="2:5" x14ac:dyDescent="0.25">
      <c r="B431" s="91" t="s">
        <v>501</v>
      </c>
      <c r="C431" s="91" t="s">
        <v>273</v>
      </c>
      <c r="D431" s="91" t="s">
        <v>270</v>
      </c>
      <c r="E431" s="92">
        <v>3830.14</v>
      </c>
    </row>
    <row r="432" spans="2:5" x14ac:dyDescent="0.25">
      <c r="B432" s="91" t="s">
        <v>501</v>
      </c>
      <c r="C432" s="91" t="s">
        <v>273</v>
      </c>
      <c r="D432" s="91" t="s">
        <v>269</v>
      </c>
      <c r="E432" s="92">
        <v>1559.86</v>
      </c>
    </row>
    <row r="433" spans="2:5" x14ac:dyDescent="0.25">
      <c r="B433" s="91" t="s">
        <v>500</v>
      </c>
      <c r="C433" s="91" t="s">
        <v>4</v>
      </c>
      <c r="D433" s="91" t="s">
        <v>269</v>
      </c>
      <c r="E433" s="92">
        <v>565.91</v>
      </c>
    </row>
    <row r="434" spans="2:5" x14ac:dyDescent="0.25">
      <c r="B434" s="91" t="s">
        <v>500</v>
      </c>
      <c r="C434" s="91" t="s">
        <v>4</v>
      </c>
      <c r="D434" s="91" t="s">
        <v>269</v>
      </c>
      <c r="E434" s="92">
        <v>593.21</v>
      </c>
    </row>
    <row r="435" spans="2:5" x14ac:dyDescent="0.25">
      <c r="B435" s="91" t="s">
        <v>500</v>
      </c>
      <c r="C435" s="91" t="s">
        <v>4</v>
      </c>
      <c r="D435" s="91" t="s">
        <v>266</v>
      </c>
      <c r="E435" s="92">
        <v>89.23</v>
      </c>
    </row>
    <row r="436" spans="2:5" x14ac:dyDescent="0.25">
      <c r="B436" s="91" t="s">
        <v>502</v>
      </c>
      <c r="C436" s="91" t="s">
        <v>273</v>
      </c>
      <c r="D436" s="91" t="s">
        <v>270</v>
      </c>
      <c r="E436" s="92">
        <v>357.43</v>
      </c>
    </row>
    <row r="437" spans="2:5" x14ac:dyDescent="0.25">
      <c r="B437" s="91" t="s">
        <v>502</v>
      </c>
      <c r="C437" s="91" t="s">
        <v>273</v>
      </c>
      <c r="D437" s="91" t="s">
        <v>266</v>
      </c>
      <c r="E437" s="92">
        <v>4754.08</v>
      </c>
    </row>
    <row r="438" spans="2:5" x14ac:dyDescent="0.25">
      <c r="B438" s="91" t="s">
        <v>391</v>
      </c>
      <c r="C438" s="91" t="s">
        <v>273</v>
      </c>
      <c r="D438" s="91" t="s">
        <v>269</v>
      </c>
      <c r="E438" s="92">
        <v>1476.39</v>
      </c>
    </row>
    <row r="439" spans="2:5" x14ac:dyDescent="0.25">
      <c r="B439" s="91" t="s">
        <v>391</v>
      </c>
      <c r="C439" s="91" t="s">
        <v>273</v>
      </c>
      <c r="D439" s="91" t="s">
        <v>270</v>
      </c>
      <c r="E439" s="92">
        <v>863.58299999999997</v>
      </c>
    </row>
    <row r="440" spans="2:5" x14ac:dyDescent="0.25">
      <c r="B440" s="91" t="s">
        <v>501</v>
      </c>
      <c r="C440" s="91" t="s">
        <v>273</v>
      </c>
      <c r="D440" s="91" t="s">
        <v>266</v>
      </c>
      <c r="E440" s="92">
        <v>74.87</v>
      </c>
    </row>
    <row r="441" spans="2:5" x14ac:dyDescent="0.25">
      <c r="B441" s="91" t="s">
        <v>501</v>
      </c>
      <c r="C441" s="91" t="s">
        <v>273</v>
      </c>
      <c r="D441" s="91" t="s">
        <v>270</v>
      </c>
      <c r="E441" s="92">
        <v>3931.3179999999998</v>
      </c>
    </row>
    <row r="442" spans="2:5" x14ac:dyDescent="0.25">
      <c r="B442" s="91" t="s">
        <v>503</v>
      </c>
      <c r="C442" s="91" t="s">
        <v>276</v>
      </c>
      <c r="D442" s="91" t="s">
        <v>266</v>
      </c>
      <c r="E442" s="92">
        <v>4253.6499999999996</v>
      </c>
    </row>
    <row r="443" spans="2:5" x14ac:dyDescent="0.25">
      <c r="B443" s="91" t="s">
        <v>504</v>
      </c>
      <c r="C443" s="91" t="s">
        <v>276</v>
      </c>
      <c r="D443" s="91" t="s">
        <v>269</v>
      </c>
      <c r="E443" s="92">
        <v>3872.87</v>
      </c>
    </row>
    <row r="444" spans="2:5" x14ac:dyDescent="0.25">
      <c r="B444" s="91" t="s">
        <v>504</v>
      </c>
      <c r="C444" s="91" t="s">
        <v>276</v>
      </c>
      <c r="D444" s="91" t="s">
        <v>270</v>
      </c>
      <c r="E444" s="92">
        <v>356.72</v>
      </c>
    </row>
    <row r="445" spans="2:5" x14ac:dyDescent="0.25">
      <c r="B445" s="91" t="s">
        <v>464</v>
      </c>
      <c r="C445" s="91" t="s">
        <v>276</v>
      </c>
      <c r="D445" s="91" t="s">
        <v>266</v>
      </c>
      <c r="E445" s="92">
        <v>2154.34</v>
      </c>
    </row>
    <row r="446" spans="2:5" x14ac:dyDescent="0.25">
      <c r="B446" s="91" t="s">
        <v>505</v>
      </c>
      <c r="C446" s="91" t="s">
        <v>273</v>
      </c>
      <c r="D446" s="91" t="s">
        <v>266</v>
      </c>
      <c r="E446" s="92">
        <v>197.41</v>
      </c>
    </row>
    <row r="447" spans="2:5" x14ac:dyDescent="0.25">
      <c r="B447" s="91" t="s">
        <v>505</v>
      </c>
      <c r="C447" s="91" t="s">
        <v>273</v>
      </c>
      <c r="D447" s="91" t="s">
        <v>266</v>
      </c>
      <c r="E447" s="92">
        <v>712.18</v>
      </c>
    </row>
    <row r="448" spans="2:5" x14ac:dyDescent="0.25">
      <c r="B448" s="91" t="s">
        <v>274</v>
      </c>
      <c r="C448" s="91" t="s">
        <v>4</v>
      </c>
      <c r="D448" s="91" t="s">
        <v>270</v>
      </c>
      <c r="E448" s="92">
        <v>16587.13</v>
      </c>
    </row>
    <row r="449" spans="2:5" x14ac:dyDescent="0.25">
      <c r="B449" s="91" t="s">
        <v>274</v>
      </c>
      <c r="C449" s="91" t="s">
        <v>4</v>
      </c>
      <c r="D449" s="91" t="s">
        <v>266</v>
      </c>
      <c r="E449" s="92">
        <v>507.98</v>
      </c>
    </row>
    <row r="450" spans="2:5" x14ac:dyDescent="0.25">
      <c r="B450" s="91" t="s">
        <v>370</v>
      </c>
      <c r="C450" s="91" t="s">
        <v>276</v>
      </c>
      <c r="D450" s="91" t="s">
        <v>266</v>
      </c>
      <c r="E450" s="92">
        <v>62.88</v>
      </c>
    </row>
    <row r="451" spans="2:5" x14ac:dyDescent="0.25">
      <c r="B451" s="91" t="s">
        <v>506</v>
      </c>
      <c r="C451" s="91" t="s">
        <v>276</v>
      </c>
      <c r="D451" s="91" t="s">
        <v>266</v>
      </c>
      <c r="E451" s="92">
        <v>231.26</v>
      </c>
    </row>
    <row r="452" spans="2:5" x14ac:dyDescent="0.25">
      <c r="B452" s="91" t="s">
        <v>506</v>
      </c>
      <c r="C452" s="91" t="s">
        <v>276</v>
      </c>
      <c r="D452" s="91" t="s">
        <v>270</v>
      </c>
      <c r="E452" s="92">
        <v>987.17</v>
      </c>
    </row>
    <row r="453" spans="2:5" x14ac:dyDescent="0.25">
      <c r="B453" s="91" t="s">
        <v>458</v>
      </c>
      <c r="C453" s="91" t="s">
        <v>276</v>
      </c>
      <c r="D453" s="91" t="s">
        <v>266</v>
      </c>
      <c r="E453" s="92">
        <v>57.04</v>
      </c>
    </row>
    <row r="454" spans="2:5" x14ac:dyDescent="0.25">
      <c r="B454" s="91" t="s">
        <v>507</v>
      </c>
      <c r="C454" s="91" t="s">
        <v>276</v>
      </c>
      <c r="D454" s="91" t="s">
        <v>269</v>
      </c>
      <c r="E454" s="92">
        <v>14223.82</v>
      </c>
    </row>
    <row r="455" spans="2:5" x14ac:dyDescent="0.25">
      <c r="B455" s="91" t="s">
        <v>508</v>
      </c>
      <c r="C455" s="91" t="s">
        <v>4</v>
      </c>
      <c r="D455" s="91" t="s">
        <v>270</v>
      </c>
      <c r="E455" s="92">
        <v>6264.1854999999996</v>
      </c>
    </row>
    <row r="456" spans="2:5" x14ac:dyDescent="0.25">
      <c r="B456" s="91" t="s">
        <v>508</v>
      </c>
      <c r="C456" s="91" t="s">
        <v>4</v>
      </c>
      <c r="D456" s="91" t="s">
        <v>266</v>
      </c>
      <c r="E456" s="92">
        <v>5410.95</v>
      </c>
    </row>
    <row r="457" spans="2:5" x14ac:dyDescent="0.25">
      <c r="B457" s="91" t="s">
        <v>508</v>
      </c>
      <c r="C457" s="91" t="s">
        <v>4</v>
      </c>
      <c r="D457" s="91" t="s">
        <v>270</v>
      </c>
      <c r="E457" s="92">
        <v>4671.1495000000004</v>
      </c>
    </row>
    <row r="458" spans="2:5" x14ac:dyDescent="0.25">
      <c r="B458" s="91" t="s">
        <v>509</v>
      </c>
      <c r="C458" s="91" t="s">
        <v>276</v>
      </c>
      <c r="D458" s="91" t="s">
        <v>266</v>
      </c>
      <c r="E458" s="92">
        <v>6831.72</v>
      </c>
    </row>
    <row r="459" spans="2:5" x14ac:dyDescent="0.25">
      <c r="B459" s="91" t="s">
        <v>510</v>
      </c>
      <c r="C459" s="91" t="s">
        <v>4</v>
      </c>
      <c r="D459" s="91" t="s">
        <v>266</v>
      </c>
      <c r="E459" s="92">
        <v>120.03</v>
      </c>
    </row>
    <row r="460" spans="2:5" x14ac:dyDescent="0.25">
      <c r="B460" s="91" t="s">
        <v>344</v>
      </c>
      <c r="C460" s="91" t="s">
        <v>276</v>
      </c>
      <c r="D460" s="91" t="s">
        <v>266</v>
      </c>
      <c r="E460" s="92">
        <v>4002.14</v>
      </c>
    </row>
    <row r="461" spans="2:5" x14ac:dyDescent="0.25">
      <c r="B461" s="91" t="s">
        <v>511</v>
      </c>
      <c r="C461" s="91" t="s">
        <v>276</v>
      </c>
      <c r="D461" s="91" t="s">
        <v>266</v>
      </c>
      <c r="E461" s="92">
        <v>98.39</v>
      </c>
    </row>
    <row r="462" spans="2:5" x14ac:dyDescent="0.25">
      <c r="B462" s="91" t="s">
        <v>512</v>
      </c>
      <c r="C462" s="91" t="s">
        <v>276</v>
      </c>
      <c r="D462" s="91" t="s">
        <v>266</v>
      </c>
      <c r="E462" s="92">
        <v>103.87</v>
      </c>
    </row>
    <row r="463" spans="2:5" x14ac:dyDescent="0.25">
      <c r="B463" s="91" t="s">
        <v>436</v>
      </c>
      <c r="C463" s="91" t="s">
        <v>265</v>
      </c>
      <c r="D463" s="91" t="s">
        <v>266</v>
      </c>
      <c r="E463" s="92">
        <v>10094.43</v>
      </c>
    </row>
    <row r="464" spans="2:5" x14ac:dyDescent="0.25">
      <c r="B464" s="91" t="s">
        <v>513</v>
      </c>
      <c r="C464" s="91" t="s">
        <v>273</v>
      </c>
      <c r="D464" s="91" t="s">
        <v>266</v>
      </c>
      <c r="E464" s="92">
        <v>10.58</v>
      </c>
    </row>
    <row r="465" spans="2:5" x14ac:dyDescent="0.25">
      <c r="B465" s="91" t="s">
        <v>513</v>
      </c>
      <c r="C465" s="91" t="s">
        <v>273</v>
      </c>
      <c r="D465" s="91" t="s">
        <v>270</v>
      </c>
      <c r="E465" s="92">
        <v>2119.67</v>
      </c>
    </row>
    <row r="466" spans="2:5" x14ac:dyDescent="0.25">
      <c r="B466" s="91" t="s">
        <v>513</v>
      </c>
      <c r="C466" s="91" t="s">
        <v>273</v>
      </c>
      <c r="D466" s="91" t="s">
        <v>270</v>
      </c>
      <c r="E466" s="92">
        <v>45923.76</v>
      </c>
    </row>
    <row r="467" spans="2:5" x14ac:dyDescent="0.25">
      <c r="B467" s="91" t="s">
        <v>299</v>
      </c>
      <c r="C467" s="91" t="s">
        <v>4</v>
      </c>
      <c r="D467" s="91" t="s">
        <v>266</v>
      </c>
      <c r="E467" s="92">
        <v>33.86</v>
      </c>
    </row>
    <row r="468" spans="2:5" x14ac:dyDescent="0.25">
      <c r="B468" s="91" t="s">
        <v>299</v>
      </c>
      <c r="C468" s="91" t="s">
        <v>4</v>
      </c>
      <c r="D468" s="91" t="s">
        <v>269</v>
      </c>
      <c r="E468" s="92">
        <v>316.61</v>
      </c>
    </row>
    <row r="469" spans="2:5" x14ac:dyDescent="0.25">
      <c r="B469" s="91" t="s">
        <v>514</v>
      </c>
      <c r="C469" s="91" t="s">
        <v>276</v>
      </c>
      <c r="D469" s="91" t="s">
        <v>266</v>
      </c>
      <c r="E469" s="92">
        <v>336.06</v>
      </c>
    </row>
    <row r="470" spans="2:5" x14ac:dyDescent="0.25">
      <c r="B470" s="91" t="s">
        <v>514</v>
      </c>
      <c r="C470" s="91" t="s">
        <v>276</v>
      </c>
      <c r="D470" s="91" t="s">
        <v>266</v>
      </c>
      <c r="E470" s="92">
        <v>380.38</v>
      </c>
    </row>
    <row r="471" spans="2:5" x14ac:dyDescent="0.25">
      <c r="B471" s="91" t="s">
        <v>488</v>
      </c>
      <c r="C471" s="91" t="s">
        <v>4</v>
      </c>
      <c r="D471" s="91" t="s">
        <v>266</v>
      </c>
      <c r="E471" s="92">
        <v>65.39</v>
      </c>
    </row>
    <row r="472" spans="2:5" x14ac:dyDescent="0.25">
      <c r="B472" s="91" t="s">
        <v>417</v>
      </c>
      <c r="C472" s="91" t="s">
        <v>4</v>
      </c>
      <c r="D472" s="91" t="s">
        <v>269</v>
      </c>
      <c r="E472" s="92">
        <v>1005.74</v>
      </c>
    </row>
    <row r="473" spans="2:5" x14ac:dyDescent="0.25">
      <c r="B473" s="91" t="s">
        <v>417</v>
      </c>
      <c r="C473" s="91" t="s">
        <v>4</v>
      </c>
      <c r="D473" s="91" t="s">
        <v>270</v>
      </c>
      <c r="E473" s="92">
        <v>6477.7394999999997</v>
      </c>
    </row>
    <row r="474" spans="2:5" x14ac:dyDescent="0.25">
      <c r="B474" s="91" t="s">
        <v>515</v>
      </c>
      <c r="C474" s="91" t="s">
        <v>4</v>
      </c>
      <c r="D474" s="91" t="s">
        <v>270</v>
      </c>
      <c r="E474" s="92">
        <v>1601.32</v>
      </c>
    </row>
    <row r="475" spans="2:5" x14ac:dyDescent="0.25">
      <c r="B475" s="91" t="s">
        <v>516</v>
      </c>
      <c r="C475" s="91" t="s">
        <v>4</v>
      </c>
      <c r="D475" s="91" t="s">
        <v>266</v>
      </c>
      <c r="E475" s="92">
        <v>238.74</v>
      </c>
    </row>
    <row r="476" spans="2:5" x14ac:dyDescent="0.25">
      <c r="B476" s="91" t="s">
        <v>517</v>
      </c>
      <c r="C476" s="91" t="s">
        <v>276</v>
      </c>
      <c r="D476" s="91" t="s">
        <v>270</v>
      </c>
      <c r="E476" s="92">
        <v>718.03</v>
      </c>
    </row>
    <row r="477" spans="2:5" x14ac:dyDescent="0.25">
      <c r="B477" s="91" t="s">
        <v>518</v>
      </c>
      <c r="C477" s="91" t="s">
        <v>273</v>
      </c>
      <c r="D477" s="91" t="s">
        <v>270</v>
      </c>
      <c r="E477" s="92">
        <v>534.96</v>
      </c>
    </row>
    <row r="478" spans="2:5" x14ac:dyDescent="0.25">
      <c r="B478" s="91" t="s">
        <v>513</v>
      </c>
      <c r="C478" s="91" t="s">
        <v>273</v>
      </c>
      <c r="D478" s="91" t="s">
        <v>269</v>
      </c>
      <c r="E478" s="92">
        <v>80.599999999999994</v>
      </c>
    </row>
    <row r="479" spans="2:5" x14ac:dyDescent="0.25">
      <c r="B479" s="91" t="s">
        <v>519</v>
      </c>
      <c r="C479" s="91" t="s">
        <v>4</v>
      </c>
      <c r="D479" s="91" t="s">
        <v>266</v>
      </c>
      <c r="E479" s="92">
        <v>35.58</v>
      </c>
    </row>
    <row r="480" spans="2:5" x14ac:dyDescent="0.25">
      <c r="B480" s="91" t="s">
        <v>520</v>
      </c>
      <c r="C480" s="91" t="s">
        <v>276</v>
      </c>
      <c r="D480" s="91" t="s">
        <v>270</v>
      </c>
      <c r="E480" s="92">
        <v>584.51099999999997</v>
      </c>
    </row>
    <row r="481" spans="2:5" x14ac:dyDescent="0.25">
      <c r="B481" s="91" t="s">
        <v>521</v>
      </c>
      <c r="C481" s="91" t="s">
        <v>265</v>
      </c>
      <c r="D481" s="91" t="s">
        <v>266</v>
      </c>
      <c r="E481" s="92">
        <v>3553.62</v>
      </c>
    </row>
    <row r="482" spans="2:5" x14ac:dyDescent="0.25">
      <c r="B482" s="91" t="s">
        <v>522</v>
      </c>
      <c r="C482" s="91" t="s">
        <v>276</v>
      </c>
      <c r="D482" s="91" t="s">
        <v>270</v>
      </c>
      <c r="E482" s="92">
        <v>554.21</v>
      </c>
    </row>
    <row r="483" spans="2:5" x14ac:dyDescent="0.25">
      <c r="B483" s="91" t="s">
        <v>523</v>
      </c>
      <c r="C483" s="91" t="s">
        <v>276</v>
      </c>
      <c r="D483" s="91" t="s">
        <v>269</v>
      </c>
      <c r="E483" s="92">
        <v>136.61000000000001</v>
      </c>
    </row>
    <row r="484" spans="2:5" x14ac:dyDescent="0.25">
      <c r="B484" s="91" t="s">
        <v>523</v>
      </c>
      <c r="C484" s="91" t="s">
        <v>276</v>
      </c>
      <c r="D484" s="91" t="s">
        <v>269</v>
      </c>
      <c r="E484" s="92">
        <v>2907.63</v>
      </c>
    </row>
    <row r="485" spans="2:5" x14ac:dyDescent="0.25">
      <c r="B485" s="91" t="s">
        <v>524</v>
      </c>
      <c r="C485" s="91" t="s">
        <v>265</v>
      </c>
      <c r="D485" s="91" t="s">
        <v>266</v>
      </c>
      <c r="E485" s="92">
        <v>42.66</v>
      </c>
    </row>
    <row r="486" spans="2:5" x14ac:dyDescent="0.25">
      <c r="B486" s="91" t="s">
        <v>525</v>
      </c>
      <c r="C486" s="91" t="s">
        <v>4</v>
      </c>
      <c r="D486" s="91" t="s">
        <v>266</v>
      </c>
      <c r="E486" s="92">
        <v>142.97</v>
      </c>
    </row>
    <row r="487" spans="2:5" x14ac:dyDescent="0.25">
      <c r="B487" s="91" t="s">
        <v>526</v>
      </c>
      <c r="C487" s="91" t="s">
        <v>4</v>
      </c>
      <c r="D487" s="91" t="s">
        <v>266</v>
      </c>
      <c r="E487" s="92">
        <v>17.12</v>
      </c>
    </row>
    <row r="488" spans="2:5" x14ac:dyDescent="0.25">
      <c r="B488" s="91" t="s">
        <v>428</v>
      </c>
      <c r="C488" s="91" t="s">
        <v>273</v>
      </c>
      <c r="D488" s="91" t="s">
        <v>270</v>
      </c>
      <c r="E488" s="92">
        <v>11532.99</v>
      </c>
    </row>
    <row r="489" spans="2:5" x14ac:dyDescent="0.25">
      <c r="B489" s="91" t="s">
        <v>428</v>
      </c>
      <c r="C489" s="91" t="s">
        <v>273</v>
      </c>
      <c r="D489" s="91" t="s">
        <v>266</v>
      </c>
      <c r="E489" s="92">
        <v>146.1</v>
      </c>
    </row>
    <row r="490" spans="2:5" x14ac:dyDescent="0.25">
      <c r="B490" s="91" t="s">
        <v>527</v>
      </c>
      <c r="C490" s="91" t="s">
        <v>276</v>
      </c>
      <c r="D490" s="91" t="s">
        <v>266</v>
      </c>
      <c r="E490" s="92">
        <v>158.69999999999999</v>
      </c>
    </row>
    <row r="491" spans="2:5" x14ac:dyDescent="0.25">
      <c r="B491" s="91" t="s">
        <v>528</v>
      </c>
      <c r="C491" s="91" t="s">
        <v>273</v>
      </c>
      <c r="D491" s="91" t="s">
        <v>270</v>
      </c>
      <c r="E491" s="92">
        <v>92.02</v>
      </c>
    </row>
    <row r="492" spans="2:5" x14ac:dyDescent="0.25">
      <c r="B492" s="91" t="s">
        <v>474</v>
      </c>
      <c r="C492" s="91" t="s">
        <v>4</v>
      </c>
      <c r="D492" s="91" t="s">
        <v>269</v>
      </c>
      <c r="E492" s="92">
        <v>1736.41</v>
      </c>
    </row>
    <row r="493" spans="2:5" x14ac:dyDescent="0.25">
      <c r="B493" s="91" t="s">
        <v>529</v>
      </c>
      <c r="C493" s="91" t="s">
        <v>4</v>
      </c>
      <c r="D493" s="91" t="s">
        <v>266</v>
      </c>
      <c r="E493" s="92">
        <v>153.28</v>
      </c>
    </row>
    <row r="494" spans="2:5" x14ac:dyDescent="0.25">
      <c r="B494" s="91" t="s">
        <v>530</v>
      </c>
      <c r="C494" s="91" t="s">
        <v>4</v>
      </c>
      <c r="D494" s="91" t="s">
        <v>266</v>
      </c>
      <c r="E494" s="92">
        <v>22.19</v>
      </c>
    </row>
    <row r="495" spans="2:5" x14ac:dyDescent="0.25">
      <c r="B495" s="91" t="s">
        <v>531</v>
      </c>
      <c r="C495" s="91" t="s">
        <v>273</v>
      </c>
      <c r="D495" s="91" t="s">
        <v>266</v>
      </c>
      <c r="E495" s="92">
        <v>927.97</v>
      </c>
    </row>
    <row r="496" spans="2:5" x14ac:dyDescent="0.25">
      <c r="B496" s="91" t="s">
        <v>531</v>
      </c>
      <c r="C496" s="91" t="s">
        <v>273</v>
      </c>
      <c r="D496" s="91" t="s">
        <v>266</v>
      </c>
      <c r="E496" s="92">
        <v>59.05</v>
      </c>
    </row>
    <row r="497" spans="2:5" x14ac:dyDescent="0.25">
      <c r="B497" s="91" t="s">
        <v>532</v>
      </c>
      <c r="C497" s="91" t="s">
        <v>4</v>
      </c>
      <c r="D497" s="91" t="s">
        <v>266</v>
      </c>
      <c r="E497" s="92">
        <v>213.71</v>
      </c>
    </row>
    <row r="498" spans="2:5" x14ac:dyDescent="0.25">
      <c r="B498" s="91" t="s">
        <v>532</v>
      </c>
      <c r="C498" s="91" t="s">
        <v>4</v>
      </c>
      <c r="D498" s="91" t="s">
        <v>266</v>
      </c>
      <c r="E498" s="92">
        <v>133.66</v>
      </c>
    </row>
    <row r="499" spans="2:5" x14ac:dyDescent="0.25">
      <c r="B499" s="91" t="s">
        <v>533</v>
      </c>
      <c r="C499" s="91" t="s">
        <v>265</v>
      </c>
      <c r="D499" s="91" t="s">
        <v>270</v>
      </c>
      <c r="E499" s="92">
        <v>1699.52</v>
      </c>
    </row>
    <row r="500" spans="2:5" x14ac:dyDescent="0.25">
      <c r="B500" s="91" t="s">
        <v>533</v>
      </c>
      <c r="C500" s="91" t="s">
        <v>265</v>
      </c>
      <c r="D500" s="91" t="s">
        <v>266</v>
      </c>
      <c r="E500" s="92">
        <v>760.85</v>
      </c>
    </row>
    <row r="501" spans="2:5" x14ac:dyDescent="0.25">
      <c r="B501" s="91" t="s">
        <v>534</v>
      </c>
      <c r="C501" s="91" t="s">
        <v>273</v>
      </c>
      <c r="D501" s="91" t="s">
        <v>266</v>
      </c>
      <c r="E501" s="92">
        <v>8185.89</v>
      </c>
    </row>
    <row r="502" spans="2:5" x14ac:dyDescent="0.25">
      <c r="B502" s="91" t="s">
        <v>535</v>
      </c>
      <c r="C502" s="91" t="s">
        <v>276</v>
      </c>
      <c r="D502" s="91" t="s">
        <v>270</v>
      </c>
      <c r="E502" s="92">
        <v>127.74</v>
      </c>
    </row>
    <row r="503" spans="2:5" x14ac:dyDescent="0.25">
      <c r="B503" s="91" t="s">
        <v>535</v>
      </c>
      <c r="C503" s="91" t="s">
        <v>276</v>
      </c>
      <c r="D503" s="91" t="s">
        <v>269</v>
      </c>
      <c r="E503" s="92">
        <v>325.92</v>
      </c>
    </row>
    <row r="504" spans="2:5" x14ac:dyDescent="0.25">
      <c r="B504" s="91" t="s">
        <v>536</v>
      </c>
      <c r="C504" s="91" t="s">
        <v>276</v>
      </c>
      <c r="D504" s="91" t="s">
        <v>266</v>
      </c>
      <c r="E504" s="92">
        <v>181.17</v>
      </c>
    </row>
    <row r="505" spans="2:5" x14ac:dyDescent="0.25">
      <c r="B505" s="91" t="s">
        <v>536</v>
      </c>
      <c r="C505" s="91" t="s">
        <v>276</v>
      </c>
      <c r="D505" s="91" t="s">
        <v>266</v>
      </c>
      <c r="E505" s="92">
        <v>13.16</v>
      </c>
    </row>
    <row r="506" spans="2:5" x14ac:dyDescent="0.25">
      <c r="B506" s="91" t="s">
        <v>536</v>
      </c>
      <c r="C506" s="91" t="s">
        <v>276</v>
      </c>
      <c r="D506" s="91" t="s">
        <v>266</v>
      </c>
      <c r="E506" s="92">
        <v>107.88</v>
      </c>
    </row>
    <row r="507" spans="2:5" x14ac:dyDescent="0.25">
      <c r="B507" s="91" t="s">
        <v>536</v>
      </c>
      <c r="C507" s="91" t="s">
        <v>276</v>
      </c>
      <c r="D507" s="91" t="s">
        <v>266</v>
      </c>
      <c r="E507" s="92">
        <v>623.02</v>
      </c>
    </row>
    <row r="508" spans="2:5" x14ac:dyDescent="0.25">
      <c r="B508" s="91" t="s">
        <v>537</v>
      </c>
      <c r="C508" s="91" t="s">
        <v>276</v>
      </c>
      <c r="D508" s="91" t="s">
        <v>270</v>
      </c>
      <c r="E508" s="92">
        <v>815.89</v>
      </c>
    </row>
    <row r="509" spans="2:5" x14ac:dyDescent="0.25">
      <c r="B509" s="91" t="s">
        <v>537</v>
      </c>
      <c r="C509" s="91" t="s">
        <v>276</v>
      </c>
      <c r="D509" s="91" t="s">
        <v>266</v>
      </c>
      <c r="E509" s="92">
        <v>30.61</v>
      </c>
    </row>
    <row r="510" spans="2:5" x14ac:dyDescent="0.25">
      <c r="B510" s="91" t="s">
        <v>538</v>
      </c>
      <c r="C510" s="91" t="s">
        <v>265</v>
      </c>
      <c r="D510" s="91" t="s">
        <v>269</v>
      </c>
      <c r="E510" s="92">
        <v>5418.68</v>
      </c>
    </row>
    <row r="511" spans="2:5" x14ac:dyDescent="0.25">
      <c r="B511" s="91" t="s">
        <v>539</v>
      </c>
      <c r="C511" s="91" t="s">
        <v>4</v>
      </c>
      <c r="D511" s="91" t="s">
        <v>270</v>
      </c>
      <c r="E511" s="92">
        <v>627.91</v>
      </c>
    </row>
    <row r="512" spans="2:5" x14ac:dyDescent="0.25">
      <c r="B512" s="91" t="s">
        <v>539</v>
      </c>
      <c r="C512" s="91" t="s">
        <v>4</v>
      </c>
      <c r="D512" s="91" t="s">
        <v>266</v>
      </c>
      <c r="E512" s="92">
        <v>46.89</v>
      </c>
    </row>
    <row r="513" spans="2:5" x14ac:dyDescent="0.25">
      <c r="B513" s="91" t="s">
        <v>540</v>
      </c>
      <c r="C513" s="91" t="s">
        <v>273</v>
      </c>
      <c r="D513" s="91" t="s">
        <v>270</v>
      </c>
      <c r="E513" s="92">
        <v>2152.4039999999995</v>
      </c>
    </row>
    <row r="514" spans="2:5" x14ac:dyDescent="0.25">
      <c r="B514" s="91" t="s">
        <v>541</v>
      </c>
      <c r="C514" s="91" t="s">
        <v>276</v>
      </c>
      <c r="D514" s="91" t="s">
        <v>266</v>
      </c>
      <c r="E514" s="92">
        <v>153.22999999999999</v>
      </c>
    </row>
    <row r="515" spans="2:5" x14ac:dyDescent="0.25">
      <c r="B515" s="91" t="s">
        <v>542</v>
      </c>
      <c r="C515" s="91" t="s">
        <v>273</v>
      </c>
      <c r="D515" s="91" t="s">
        <v>270</v>
      </c>
      <c r="E515" s="92">
        <v>2053.3789999999999</v>
      </c>
    </row>
    <row r="516" spans="2:5" x14ac:dyDescent="0.25">
      <c r="B516" s="91" t="s">
        <v>542</v>
      </c>
      <c r="C516" s="91" t="s">
        <v>273</v>
      </c>
      <c r="D516" s="91" t="s">
        <v>270</v>
      </c>
      <c r="E516" s="92">
        <v>3206.3955000000001</v>
      </c>
    </row>
    <row r="517" spans="2:5" x14ac:dyDescent="0.25">
      <c r="B517" s="91" t="s">
        <v>543</v>
      </c>
      <c r="C517" s="91" t="s">
        <v>276</v>
      </c>
      <c r="D517" s="91" t="s">
        <v>266</v>
      </c>
      <c r="E517" s="92">
        <v>264.75</v>
      </c>
    </row>
    <row r="518" spans="2:5" x14ac:dyDescent="0.25">
      <c r="B518" s="91" t="s">
        <v>544</v>
      </c>
      <c r="C518" s="91" t="s">
        <v>273</v>
      </c>
      <c r="D518" s="91" t="s">
        <v>269</v>
      </c>
      <c r="E518" s="92">
        <v>4669.1899999999996</v>
      </c>
    </row>
    <row r="519" spans="2:5" x14ac:dyDescent="0.25">
      <c r="B519" s="91" t="s">
        <v>544</v>
      </c>
      <c r="C519" s="91" t="s">
        <v>273</v>
      </c>
      <c r="D519" s="91" t="s">
        <v>266</v>
      </c>
      <c r="E519" s="92">
        <v>133.4</v>
      </c>
    </row>
    <row r="520" spans="2:5" x14ac:dyDescent="0.25">
      <c r="B520" s="91" t="s">
        <v>545</v>
      </c>
      <c r="C520" s="91" t="s">
        <v>4</v>
      </c>
      <c r="D520" s="91" t="s">
        <v>266</v>
      </c>
      <c r="E520" s="92">
        <v>2393.63</v>
      </c>
    </row>
    <row r="521" spans="2:5" x14ac:dyDescent="0.25">
      <c r="B521" s="91" t="s">
        <v>545</v>
      </c>
      <c r="C521" s="91" t="s">
        <v>4</v>
      </c>
      <c r="D521" s="91" t="s">
        <v>269</v>
      </c>
      <c r="E521" s="92">
        <v>6177.53</v>
      </c>
    </row>
    <row r="522" spans="2:5" x14ac:dyDescent="0.25">
      <c r="B522" s="91" t="s">
        <v>545</v>
      </c>
      <c r="C522" s="91" t="s">
        <v>4</v>
      </c>
      <c r="D522" s="91" t="s">
        <v>266</v>
      </c>
      <c r="E522" s="92">
        <v>94.6</v>
      </c>
    </row>
    <row r="523" spans="2:5" x14ac:dyDescent="0.25">
      <c r="B523" s="91" t="s">
        <v>546</v>
      </c>
      <c r="C523" s="91" t="s">
        <v>273</v>
      </c>
      <c r="D523" s="91" t="s">
        <v>270</v>
      </c>
      <c r="E523" s="92">
        <v>7518.12</v>
      </c>
    </row>
    <row r="524" spans="2:5" x14ac:dyDescent="0.25">
      <c r="B524" s="91" t="s">
        <v>547</v>
      </c>
      <c r="C524" s="91" t="s">
        <v>273</v>
      </c>
      <c r="D524" s="91" t="s">
        <v>266</v>
      </c>
      <c r="E524" s="92">
        <v>204.11</v>
      </c>
    </row>
    <row r="525" spans="2:5" x14ac:dyDescent="0.25">
      <c r="B525" s="91" t="s">
        <v>449</v>
      </c>
      <c r="C525" s="91" t="s">
        <v>276</v>
      </c>
      <c r="D525" s="91" t="s">
        <v>266</v>
      </c>
      <c r="E525" s="92">
        <v>1935.17</v>
      </c>
    </row>
    <row r="526" spans="2:5" x14ac:dyDescent="0.25">
      <c r="B526" s="91" t="s">
        <v>449</v>
      </c>
      <c r="C526" s="91" t="s">
        <v>276</v>
      </c>
      <c r="D526" s="91" t="s">
        <v>270</v>
      </c>
      <c r="E526" s="92">
        <v>812.68</v>
      </c>
    </row>
    <row r="527" spans="2:5" x14ac:dyDescent="0.25">
      <c r="B527" s="91" t="s">
        <v>548</v>
      </c>
      <c r="C527" s="91" t="s">
        <v>265</v>
      </c>
      <c r="D527" s="91" t="s">
        <v>266</v>
      </c>
      <c r="E527" s="92">
        <v>427.32</v>
      </c>
    </row>
    <row r="528" spans="2:5" x14ac:dyDescent="0.25">
      <c r="B528" s="91" t="s">
        <v>528</v>
      </c>
      <c r="C528" s="91" t="s">
        <v>273</v>
      </c>
      <c r="D528" s="91" t="s">
        <v>266</v>
      </c>
      <c r="E528" s="92">
        <v>115.43</v>
      </c>
    </row>
    <row r="529" spans="2:5" x14ac:dyDescent="0.25">
      <c r="B529" s="91" t="s">
        <v>549</v>
      </c>
      <c r="C529" s="91" t="s">
        <v>265</v>
      </c>
      <c r="D529" s="91" t="s">
        <v>269</v>
      </c>
      <c r="E529" s="92">
        <v>246.06</v>
      </c>
    </row>
    <row r="530" spans="2:5" x14ac:dyDescent="0.25">
      <c r="B530" s="91" t="s">
        <v>545</v>
      </c>
      <c r="C530" s="91" t="s">
        <v>4</v>
      </c>
      <c r="D530" s="91" t="s">
        <v>266</v>
      </c>
      <c r="E530" s="92">
        <v>20.5</v>
      </c>
    </row>
    <row r="531" spans="2:5" x14ac:dyDescent="0.25">
      <c r="B531" s="91" t="s">
        <v>550</v>
      </c>
      <c r="C531" s="91" t="s">
        <v>4</v>
      </c>
      <c r="D531" s="91" t="s">
        <v>266</v>
      </c>
      <c r="E531" s="92">
        <v>288.91000000000003</v>
      </c>
    </row>
    <row r="532" spans="2:5" x14ac:dyDescent="0.25">
      <c r="B532" s="91" t="s">
        <v>538</v>
      </c>
      <c r="C532" s="91" t="s">
        <v>273</v>
      </c>
      <c r="D532" s="91" t="s">
        <v>266</v>
      </c>
      <c r="E532" s="92">
        <v>269.37</v>
      </c>
    </row>
    <row r="533" spans="2:5" x14ac:dyDescent="0.25">
      <c r="B533" s="91" t="s">
        <v>538</v>
      </c>
      <c r="C533" s="91" t="s">
        <v>273</v>
      </c>
      <c r="D533" s="91" t="s">
        <v>269</v>
      </c>
      <c r="E533" s="92">
        <v>4933.99</v>
      </c>
    </row>
    <row r="534" spans="2:5" x14ac:dyDescent="0.25">
      <c r="B534" s="91" t="s">
        <v>551</v>
      </c>
      <c r="C534" s="91" t="s">
        <v>4</v>
      </c>
      <c r="D534" s="91" t="s">
        <v>266</v>
      </c>
      <c r="E534" s="92">
        <v>136.66999999999999</v>
      </c>
    </row>
    <row r="535" spans="2:5" x14ac:dyDescent="0.25">
      <c r="B535" s="91" t="s">
        <v>552</v>
      </c>
      <c r="C535" s="91" t="s">
        <v>4</v>
      </c>
      <c r="D535" s="91" t="s">
        <v>266</v>
      </c>
      <c r="E535" s="92">
        <v>259.72000000000003</v>
      </c>
    </row>
    <row r="536" spans="2:5" x14ac:dyDescent="0.25">
      <c r="B536" s="91" t="s">
        <v>552</v>
      </c>
      <c r="C536" s="91" t="s">
        <v>4</v>
      </c>
      <c r="D536" s="91" t="s">
        <v>266</v>
      </c>
      <c r="E536" s="92">
        <v>54.69</v>
      </c>
    </row>
    <row r="537" spans="2:5" x14ac:dyDescent="0.25">
      <c r="B537" s="91" t="s">
        <v>553</v>
      </c>
      <c r="C537" s="91" t="s">
        <v>273</v>
      </c>
      <c r="D537" s="91" t="s">
        <v>269</v>
      </c>
      <c r="E537" s="92">
        <v>383.57</v>
      </c>
    </row>
    <row r="538" spans="2:5" x14ac:dyDescent="0.25">
      <c r="B538" s="91" t="s">
        <v>553</v>
      </c>
      <c r="C538" s="91" t="s">
        <v>273</v>
      </c>
      <c r="D538" s="91" t="s">
        <v>269</v>
      </c>
      <c r="E538" s="92">
        <v>461.1</v>
      </c>
    </row>
    <row r="539" spans="2:5" x14ac:dyDescent="0.25">
      <c r="B539" s="91" t="s">
        <v>546</v>
      </c>
      <c r="C539" s="91" t="s">
        <v>273</v>
      </c>
      <c r="D539" s="91" t="s">
        <v>266</v>
      </c>
      <c r="E539" s="92">
        <v>374.38</v>
      </c>
    </row>
    <row r="540" spans="2:5" x14ac:dyDescent="0.25">
      <c r="B540" s="91" t="s">
        <v>546</v>
      </c>
      <c r="C540" s="91" t="s">
        <v>273</v>
      </c>
      <c r="D540" s="91" t="s">
        <v>270</v>
      </c>
      <c r="E540" s="92">
        <v>1557.42</v>
      </c>
    </row>
    <row r="541" spans="2:5" x14ac:dyDescent="0.25">
      <c r="B541" s="91" t="s">
        <v>546</v>
      </c>
      <c r="C541" s="91" t="s">
        <v>273</v>
      </c>
      <c r="D541" s="91" t="s">
        <v>269</v>
      </c>
      <c r="E541" s="92">
        <v>410.27</v>
      </c>
    </row>
    <row r="542" spans="2:5" x14ac:dyDescent="0.25">
      <c r="B542" s="91" t="s">
        <v>546</v>
      </c>
      <c r="C542" s="91" t="s">
        <v>273</v>
      </c>
      <c r="D542" s="91" t="s">
        <v>270</v>
      </c>
      <c r="E542" s="92">
        <v>1531.93</v>
      </c>
    </row>
    <row r="543" spans="2:5" x14ac:dyDescent="0.25">
      <c r="B543" s="91" t="s">
        <v>554</v>
      </c>
      <c r="C543" s="91" t="s">
        <v>273</v>
      </c>
      <c r="D543" s="91" t="s">
        <v>266</v>
      </c>
      <c r="E543" s="92">
        <v>72.930000000000007</v>
      </c>
    </row>
    <row r="544" spans="2:5" x14ac:dyDescent="0.25">
      <c r="B544" s="91" t="s">
        <v>555</v>
      </c>
      <c r="C544" s="91" t="s">
        <v>265</v>
      </c>
      <c r="D544" s="91" t="s">
        <v>266</v>
      </c>
      <c r="E544" s="92">
        <v>321.57</v>
      </c>
    </row>
    <row r="545" spans="2:5" x14ac:dyDescent="0.25">
      <c r="B545" s="91" t="s">
        <v>555</v>
      </c>
      <c r="C545" s="91" t="s">
        <v>265</v>
      </c>
      <c r="D545" s="91" t="s">
        <v>269</v>
      </c>
      <c r="E545" s="92">
        <v>1085.1600000000001</v>
      </c>
    </row>
    <row r="546" spans="2:5" x14ac:dyDescent="0.25">
      <c r="B546" s="91" t="s">
        <v>468</v>
      </c>
      <c r="C546" s="91" t="s">
        <v>265</v>
      </c>
      <c r="D546" s="91" t="s">
        <v>266</v>
      </c>
      <c r="E546" s="92">
        <v>83.87</v>
      </c>
    </row>
    <row r="547" spans="2:5" x14ac:dyDescent="0.25">
      <c r="B547" s="91" t="s">
        <v>556</v>
      </c>
      <c r="C547" s="91" t="s">
        <v>276</v>
      </c>
      <c r="D547" s="91" t="s">
        <v>266</v>
      </c>
      <c r="E547" s="92">
        <v>76.599999999999994</v>
      </c>
    </row>
    <row r="548" spans="2:5" x14ac:dyDescent="0.25">
      <c r="B548" s="91" t="s">
        <v>494</v>
      </c>
      <c r="C548" s="91" t="s">
        <v>273</v>
      </c>
      <c r="D548" s="91" t="s">
        <v>266</v>
      </c>
      <c r="E548" s="92">
        <v>134.81</v>
      </c>
    </row>
    <row r="549" spans="2:5" x14ac:dyDescent="0.25">
      <c r="B549" s="91" t="s">
        <v>494</v>
      </c>
      <c r="C549" s="91" t="s">
        <v>273</v>
      </c>
      <c r="D549" s="91" t="s">
        <v>270</v>
      </c>
      <c r="E549" s="92">
        <v>5488.5264999999999</v>
      </c>
    </row>
    <row r="550" spans="2:5" x14ac:dyDescent="0.25">
      <c r="B550" s="91" t="s">
        <v>289</v>
      </c>
      <c r="C550" s="91" t="s">
        <v>273</v>
      </c>
      <c r="D550" s="91" t="s">
        <v>266</v>
      </c>
      <c r="E550" s="92">
        <v>79.42</v>
      </c>
    </row>
    <row r="551" spans="2:5" x14ac:dyDescent="0.25">
      <c r="B551" s="91" t="s">
        <v>289</v>
      </c>
      <c r="C551" s="91" t="s">
        <v>273</v>
      </c>
      <c r="D551" s="91" t="s">
        <v>266</v>
      </c>
      <c r="E551" s="92">
        <v>75.599999999999994</v>
      </c>
    </row>
    <row r="552" spans="2:5" x14ac:dyDescent="0.25">
      <c r="B552" s="91" t="s">
        <v>557</v>
      </c>
      <c r="C552" s="91" t="s">
        <v>273</v>
      </c>
      <c r="D552" s="91" t="s">
        <v>266</v>
      </c>
      <c r="E552" s="92">
        <v>139.94999999999999</v>
      </c>
    </row>
    <row r="553" spans="2:5" x14ac:dyDescent="0.25">
      <c r="B553" s="91" t="s">
        <v>557</v>
      </c>
      <c r="C553" s="91" t="s">
        <v>273</v>
      </c>
      <c r="D553" s="91" t="s">
        <v>269</v>
      </c>
      <c r="E553" s="92">
        <v>5207.5</v>
      </c>
    </row>
    <row r="554" spans="2:5" x14ac:dyDescent="0.25">
      <c r="B554" s="91" t="s">
        <v>558</v>
      </c>
      <c r="C554" s="91" t="s">
        <v>4</v>
      </c>
      <c r="D554" s="91" t="s">
        <v>266</v>
      </c>
      <c r="E554" s="92">
        <v>271.11</v>
      </c>
    </row>
    <row r="555" spans="2:5" x14ac:dyDescent="0.25">
      <c r="B555" s="91" t="s">
        <v>385</v>
      </c>
      <c r="C555" s="91" t="s">
        <v>4</v>
      </c>
      <c r="D555" s="91" t="s">
        <v>269</v>
      </c>
      <c r="E555" s="92">
        <v>95.73</v>
      </c>
    </row>
    <row r="556" spans="2:5" x14ac:dyDescent="0.25">
      <c r="B556" s="91" t="s">
        <v>385</v>
      </c>
      <c r="C556" s="91" t="s">
        <v>4</v>
      </c>
      <c r="D556" s="91" t="s">
        <v>270</v>
      </c>
      <c r="E556" s="92">
        <v>7338.79</v>
      </c>
    </row>
    <row r="557" spans="2:5" x14ac:dyDescent="0.25">
      <c r="B557" s="91" t="s">
        <v>385</v>
      </c>
      <c r="C557" s="91" t="s">
        <v>4</v>
      </c>
      <c r="D557" s="91" t="s">
        <v>266</v>
      </c>
      <c r="E557" s="92">
        <v>12569.31</v>
      </c>
    </row>
    <row r="558" spans="2:5" x14ac:dyDescent="0.25">
      <c r="B558" s="91" t="s">
        <v>316</v>
      </c>
      <c r="C558" s="91" t="s">
        <v>265</v>
      </c>
      <c r="D558" s="91" t="s">
        <v>266</v>
      </c>
      <c r="E558" s="92">
        <v>62.54</v>
      </c>
    </row>
    <row r="559" spans="2:5" x14ac:dyDescent="0.25">
      <c r="B559" s="91" t="s">
        <v>316</v>
      </c>
      <c r="C559" s="91" t="s">
        <v>265</v>
      </c>
      <c r="D559" s="91" t="s">
        <v>270</v>
      </c>
      <c r="E559" s="92">
        <v>2750.107</v>
      </c>
    </row>
    <row r="560" spans="2:5" x14ac:dyDescent="0.25">
      <c r="B560" s="91" t="s">
        <v>559</v>
      </c>
      <c r="C560" s="91" t="s">
        <v>4</v>
      </c>
      <c r="D560" s="91" t="s">
        <v>266</v>
      </c>
      <c r="E560" s="92">
        <v>177.95</v>
      </c>
    </row>
    <row r="561" spans="2:5" x14ac:dyDescent="0.25">
      <c r="B561" s="91" t="s">
        <v>559</v>
      </c>
      <c r="C561" s="91" t="s">
        <v>4</v>
      </c>
      <c r="D561" s="91" t="s">
        <v>266</v>
      </c>
      <c r="E561" s="92">
        <v>99.53</v>
      </c>
    </row>
    <row r="562" spans="2:5" x14ac:dyDescent="0.25">
      <c r="B562" s="91" t="s">
        <v>367</v>
      </c>
      <c r="C562" s="91" t="s">
        <v>265</v>
      </c>
      <c r="D562" s="91" t="s">
        <v>266</v>
      </c>
      <c r="E562" s="92">
        <v>106.78</v>
      </c>
    </row>
    <row r="563" spans="2:5" x14ac:dyDescent="0.25">
      <c r="B563" s="91" t="s">
        <v>560</v>
      </c>
      <c r="C563" s="91" t="s">
        <v>273</v>
      </c>
      <c r="D563" s="91" t="s">
        <v>266</v>
      </c>
      <c r="E563" s="92">
        <v>79.37</v>
      </c>
    </row>
    <row r="564" spans="2:5" x14ac:dyDescent="0.25">
      <c r="B564" s="91" t="s">
        <v>561</v>
      </c>
      <c r="C564" s="91" t="s">
        <v>273</v>
      </c>
      <c r="D564" s="91" t="s">
        <v>269</v>
      </c>
      <c r="E564" s="92">
        <v>1143.3499999999999</v>
      </c>
    </row>
    <row r="565" spans="2:5" x14ac:dyDescent="0.25">
      <c r="B565" s="91" t="s">
        <v>562</v>
      </c>
      <c r="C565" s="91" t="s">
        <v>4</v>
      </c>
      <c r="D565" s="91" t="s">
        <v>270</v>
      </c>
      <c r="E565" s="92">
        <v>1463.0964999999999</v>
      </c>
    </row>
    <row r="566" spans="2:5" x14ac:dyDescent="0.25">
      <c r="B566" s="91" t="s">
        <v>562</v>
      </c>
      <c r="C566" s="91" t="s">
        <v>4</v>
      </c>
      <c r="D566" s="91" t="s">
        <v>266</v>
      </c>
      <c r="E566" s="92">
        <v>246.3</v>
      </c>
    </row>
    <row r="567" spans="2:5" x14ac:dyDescent="0.25">
      <c r="B567" s="91" t="s">
        <v>563</v>
      </c>
      <c r="C567" s="91" t="s">
        <v>276</v>
      </c>
      <c r="D567" s="91" t="s">
        <v>266</v>
      </c>
      <c r="E567" s="92">
        <v>353.62</v>
      </c>
    </row>
    <row r="568" spans="2:5" x14ac:dyDescent="0.25">
      <c r="B568" s="91" t="s">
        <v>384</v>
      </c>
      <c r="C568" s="91" t="s">
        <v>265</v>
      </c>
      <c r="D568" s="91" t="s">
        <v>266</v>
      </c>
      <c r="E568" s="92">
        <v>76.16</v>
      </c>
    </row>
    <row r="569" spans="2:5" x14ac:dyDescent="0.25">
      <c r="B569" s="91" t="s">
        <v>485</v>
      </c>
      <c r="C569" s="91" t="s">
        <v>265</v>
      </c>
      <c r="D569" s="91" t="s">
        <v>269</v>
      </c>
      <c r="E569" s="92">
        <v>244.85</v>
      </c>
    </row>
    <row r="570" spans="2:5" x14ac:dyDescent="0.25">
      <c r="B570" s="91" t="s">
        <v>564</v>
      </c>
      <c r="C570" s="91" t="s">
        <v>273</v>
      </c>
      <c r="D570" s="91" t="s">
        <v>270</v>
      </c>
      <c r="E570" s="92">
        <v>268.08999999999997</v>
      </c>
    </row>
    <row r="571" spans="2:5" x14ac:dyDescent="0.25">
      <c r="B571" s="91" t="s">
        <v>564</v>
      </c>
      <c r="C571" s="91" t="s">
        <v>273</v>
      </c>
      <c r="D571" s="91" t="s">
        <v>270</v>
      </c>
      <c r="E571" s="92">
        <v>557.03</v>
      </c>
    </row>
    <row r="572" spans="2:5" x14ac:dyDescent="0.25">
      <c r="B572" s="91" t="s">
        <v>564</v>
      </c>
      <c r="C572" s="91" t="s">
        <v>273</v>
      </c>
      <c r="D572" s="91" t="s">
        <v>266</v>
      </c>
      <c r="E572" s="92">
        <v>26.53</v>
      </c>
    </row>
    <row r="573" spans="2:5" x14ac:dyDescent="0.25">
      <c r="B573" s="91" t="s">
        <v>564</v>
      </c>
      <c r="C573" s="91" t="s">
        <v>273</v>
      </c>
      <c r="D573" s="91" t="s">
        <v>270</v>
      </c>
      <c r="E573" s="92">
        <v>5133.9234999999999</v>
      </c>
    </row>
    <row r="574" spans="2:5" x14ac:dyDescent="0.25">
      <c r="B574" s="91" t="s">
        <v>277</v>
      </c>
      <c r="C574" s="91" t="s">
        <v>4</v>
      </c>
      <c r="D574" s="91" t="s">
        <v>270</v>
      </c>
      <c r="E574" s="92">
        <v>92.14</v>
      </c>
    </row>
    <row r="575" spans="2:5" x14ac:dyDescent="0.25">
      <c r="B575" s="91" t="s">
        <v>277</v>
      </c>
      <c r="C575" s="91" t="s">
        <v>4</v>
      </c>
      <c r="D575" s="91" t="s">
        <v>266</v>
      </c>
      <c r="E575" s="92">
        <v>257.43</v>
      </c>
    </row>
    <row r="576" spans="2:5" x14ac:dyDescent="0.25">
      <c r="B576" s="91" t="s">
        <v>558</v>
      </c>
      <c r="C576" s="91" t="s">
        <v>4</v>
      </c>
      <c r="D576" s="91" t="s">
        <v>266</v>
      </c>
      <c r="E576" s="92">
        <v>6.13</v>
      </c>
    </row>
    <row r="577" spans="2:5" x14ac:dyDescent="0.25">
      <c r="B577" s="91" t="s">
        <v>390</v>
      </c>
      <c r="C577" s="91" t="s">
        <v>4</v>
      </c>
      <c r="D577" s="91" t="s">
        <v>266</v>
      </c>
      <c r="E577" s="92">
        <v>221.86</v>
      </c>
    </row>
    <row r="578" spans="2:5" x14ac:dyDescent="0.25">
      <c r="B578" s="91" t="s">
        <v>390</v>
      </c>
      <c r="C578" s="91" t="s">
        <v>4</v>
      </c>
      <c r="D578" s="91" t="s">
        <v>266</v>
      </c>
      <c r="E578" s="92">
        <v>78.260000000000005</v>
      </c>
    </row>
    <row r="579" spans="2:5" x14ac:dyDescent="0.25">
      <c r="B579" s="91" t="s">
        <v>565</v>
      </c>
      <c r="C579" s="91" t="s">
        <v>276</v>
      </c>
      <c r="D579" s="91" t="s">
        <v>266</v>
      </c>
      <c r="E579" s="92">
        <v>1225.4100000000001</v>
      </c>
    </row>
    <row r="580" spans="2:5" x14ac:dyDescent="0.25">
      <c r="B580" s="91" t="s">
        <v>566</v>
      </c>
      <c r="C580" s="91" t="s">
        <v>265</v>
      </c>
      <c r="D580" s="91" t="s">
        <v>266</v>
      </c>
      <c r="E580" s="92">
        <v>1184.45</v>
      </c>
    </row>
    <row r="581" spans="2:5" x14ac:dyDescent="0.25">
      <c r="B581" s="91" t="s">
        <v>566</v>
      </c>
      <c r="C581" s="91" t="s">
        <v>265</v>
      </c>
      <c r="D581" s="91" t="s">
        <v>266</v>
      </c>
      <c r="E581" s="92">
        <v>25409.63</v>
      </c>
    </row>
    <row r="582" spans="2:5" x14ac:dyDescent="0.25">
      <c r="B582" s="91" t="s">
        <v>566</v>
      </c>
      <c r="C582" s="91" t="s">
        <v>265</v>
      </c>
      <c r="D582" s="91" t="s">
        <v>270</v>
      </c>
      <c r="E582" s="92">
        <v>7308.2829999999994</v>
      </c>
    </row>
    <row r="583" spans="2:5" x14ac:dyDescent="0.25">
      <c r="B583" s="91" t="s">
        <v>567</v>
      </c>
      <c r="C583" s="91" t="s">
        <v>276</v>
      </c>
      <c r="D583" s="91" t="s">
        <v>266</v>
      </c>
      <c r="E583" s="92">
        <v>3064.27</v>
      </c>
    </row>
    <row r="584" spans="2:5" x14ac:dyDescent="0.25">
      <c r="B584" s="91" t="s">
        <v>567</v>
      </c>
      <c r="C584" s="91" t="s">
        <v>276</v>
      </c>
      <c r="D584" s="91" t="s">
        <v>269</v>
      </c>
      <c r="E584" s="92">
        <v>475.72</v>
      </c>
    </row>
    <row r="585" spans="2:5" x14ac:dyDescent="0.25">
      <c r="B585" s="91" t="s">
        <v>567</v>
      </c>
      <c r="C585" s="91" t="s">
        <v>276</v>
      </c>
      <c r="D585" s="91" t="s">
        <v>269</v>
      </c>
      <c r="E585" s="92">
        <v>123.91</v>
      </c>
    </row>
    <row r="586" spans="2:5" x14ac:dyDescent="0.25">
      <c r="B586" s="91" t="s">
        <v>445</v>
      </c>
      <c r="C586" s="91" t="s">
        <v>4</v>
      </c>
      <c r="D586" s="91" t="s">
        <v>266</v>
      </c>
      <c r="E586" s="92">
        <v>700.46</v>
      </c>
    </row>
    <row r="587" spans="2:5" x14ac:dyDescent="0.25">
      <c r="B587" s="91" t="s">
        <v>568</v>
      </c>
      <c r="C587" s="91" t="s">
        <v>276</v>
      </c>
      <c r="D587" s="91" t="s">
        <v>269</v>
      </c>
      <c r="E587" s="92">
        <v>2537.88</v>
      </c>
    </row>
    <row r="588" spans="2:5" x14ac:dyDescent="0.25">
      <c r="B588" s="91" t="s">
        <v>492</v>
      </c>
      <c r="C588" s="91" t="s">
        <v>265</v>
      </c>
      <c r="D588" s="91" t="s">
        <v>266</v>
      </c>
      <c r="E588" s="92">
        <v>218.12</v>
      </c>
    </row>
    <row r="589" spans="2:5" x14ac:dyDescent="0.25">
      <c r="B589" s="91" t="s">
        <v>492</v>
      </c>
      <c r="C589" s="91" t="s">
        <v>265</v>
      </c>
      <c r="D589" s="91" t="s">
        <v>266</v>
      </c>
      <c r="E589" s="92">
        <v>729.83</v>
      </c>
    </row>
    <row r="590" spans="2:5" x14ac:dyDescent="0.25">
      <c r="B590" s="91" t="s">
        <v>492</v>
      </c>
      <c r="C590" s="91" t="s">
        <v>265</v>
      </c>
      <c r="D590" s="91" t="s">
        <v>270</v>
      </c>
      <c r="E590" s="92">
        <v>1083.19</v>
      </c>
    </row>
    <row r="591" spans="2:5" x14ac:dyDescent="0.25">
      <c r="B591" s="91" t="s">
        <v>569</v>
      </c>
      <c r="C591" s="91" t="s">
        <v>4</v>
      </c>
      <c r="D591" s="91" t="s">
        <v>270</v>
      </c>
      <c r="E591" s="92">
        <v>820.28399999999999</v>
      </c>
    </row>
    <row r="592" spans="2:5" x14ac:dyDescent="0.25">
      <c r="B592" s="91" t="s">
        <v>478</v>
      </c>
      <c r="C592" s="91" t="s">
        <v>265</v>
      </c>
      <c r="D592" s="91" t="s">
        <v>266</v>
      </c>
      <c r="E592" s="92">
        <v>370.72</v>
      </c>
    </row>
    <row r="593" spans="2:5" x14ac:dyDescent="0.25">
      <c r="B593" s="91" t="s">
        <v>570</v>
      </c>
      <c r="C593" s="91" t="s">
        <v>265</v>
      </c>
      <c r="D593" s="91" t="s">
        <v>266</v>
      </c>
      <c r="E593" s="92">
        <v>225.14</v>
      </c>
    </row>
    <row r="594" spans="2:5" x14ac:dyDescent="0.25">
      <c r="B594" s="91" t="s">
        <v>570</v>
      </c>
      <c r="C594" s="91" t="s">
        <v>265</v>
      </c>
      <c r="D594" s="91" t="s">
        <v>270</v>
      </c>
      <c r="E594" s="92">
        <v>1559.7755</v>
      </c>
    </row>
    <row r="595" spans="2:5" x14ac:dyDescent="0.25">
      <c r="B595" s="91" t="s">
        <v>571</v>
      </c>
      <c r="C595" s="91" t="s">
        <v>273</v>
      </c>
      <c r="D595" s="91" t="s">
        <v>270</v>
      </c>
      <c r="E595" s="92">
        <v>1032.97</v>
      </c>
    </row>
    <row r="596" spans="2:5" x14ac:dyDescent="0.25">
      <c r="B596" s="91" t="s">
        <v>571</v>
      </c>
      <c r="C596" s="91" t="s">
        <v>273</v>
      </c>
      <c r="D596" s="91" t="s">
        <v>266</v>
      </c>
      <c r="E596" s="92">
        <v>324.83</v>
      </c>
    </row>
    <row r="597" spans="2:5" x14ac:dyDescent="0.25">
      <c r="B597" s="91" t="s">
        <v>572</v>
      </c>
      <c r="C597" s="91" t="s">
        <v>4</v>
      </c>
      <c r="D597" s="91" t="s">
        <v>269</v>
      </c>
      <c r="E597" s="92">
        <v>316.35000000000002</v>
      </c>
    </row>
    <row r="598" spans="2:5" x14ac:dyDescent="0.25">
      <c r="B598" s="91" t="s">
        <v>329</v>
      </c>
      <c r="C598" s="91" t="s">
        <v>4</v>
      </c>
      <c r="D598" s="91" t="s">
        <v>266</v>
      </c>
      <c r="E598" s="92">
        <v>63.52</v>
      </c>
    </row>
    <row r="599" spans="2:5" x14ac:dyDescent="0.25">
      <c r="B599" s="91" t="s">
        <v>329</v>
      </c>
      <c r="C599" s="91" t="s">
        <v>4</v>
      </c>
      <c r="D599" s="91" t="s">
        <v>266</v>
      </c>
      <c r="E599" s="92">
        <v>1512.25</v>
      </c>
    </row>
    <row r="600" spans="2:5" x14ac:dyDescent="0.25">
      <c r="B600" s="91" t="s">
        <v>369</v>
      </c>
      <c r="C600" s="91" t="s">
        <v>4</v>
      </c>
      <c r="D600" s="91" t="s">
        <v>266</v>
      </c>
      <c r="E600" s="92">
        <v>1441.61</v>
      </c>
    </row>
    <row r="601" spans="2:5" x14ac:dyDescent="0.25">
      <c r="B601" s="91" t="s">
        <v>573</v>
      </c>
      <c r="C601" s="91" t="s">
        <v>4</v>
      </c>
      <c r="D601" s="91" t="s">
        <v>266</v>
      </c>
      <c r="E601" s="92">
        <v>1038.4000000000001</v>
      </c>
    </row>
    <row r="602" spans="2:5" x14ac:dyDescent="0.25">
      <c r="B602" s="91" t="s">
        <v>573</v>
      </c>
      <c r="C602" s="91" t="s">
        <v>4</v>
      </c>
      <c r="D602" s="91" t="s">
        <v>266</v>
      </c>
      <c r="E602" s="92">
        <v>305.82</v>
      </c>
    </row>
    <row r="603" spans="2:5" x14ac:dyDescent="0.25">
      <c r="B603" s="91" t="s">
        <v>503</v>
      </c>
      <c r="C603" s="91" t="s">
        <v>276</v>
      </c>
      <c r="D603" s="91" t="s">
        <v>266</v>
      </c>
      <c r="E603" s="92">
        <v>763.12</v>
      </c>
    </row>
    <row r="604" spans="2:5" x14ac:dyDescent="0.25">
      <c r="B604" s="91" t="s">
        <v>503</v>
      </c>
      <c r="C604" s="91" t="s">
        <v>276</v>
      </c>
      <c r="D604" s="91" t="s">
        <v>269</v>
      </c>
      <c r="E604" s="92">
        <v>19269.05</v>
      </c>
    </row>
    <row r="605" spans="2:5" x14ac:dyDescent="0.25">
      <c r="B605" s="91" t="s">
        <v>574</v>
      </c>
      <c r="C605" s="91" t="s">
        <v>265</v>
      </c>
      <c r="D605" s="91" t="s">
        <v>269</v>
      </c>
      <c r="E605" s="92">
        <v>3367.24</v>
      </c>
    </row>
    <row r="606" spans="2:5" x14ac:dyDescent="0.25">
      <c r="B606" s="91" t="s">
        <v>574</v>
      </c>
      <c r="C606" s="91" t="s">
        <v>265</v>
      </c>
      <c r="D606" s="91" t="s">
        <v>269</v>
      </c>
      <c r="E606" s="92">
        <v>5723.24</v>
      </c>
    </row>
    <row r="607" spans="2:5" x14ac:dyDescent="0.25">
      <c r="B607" s="91" t="s">
        <v>575</v>
      </c>
      <c r="C607" s="91" t="s">
        <v>4</v>
      </c>
      <c r="D607" s="91" t="s">
        <v>266</v>
      </c>
      <c r="E607" s="92">
        <v>188.07</v>
      </c>
    </row>
    <row r="608" spans="2:5" x14ac:dyDescent="0.25">
      <c r="B608" s="91" t="s">
        <v>406</v>
      </c>
      <c r="C608" s="91" t="s">
        <v>4</v>
      </c>
      <c r="D608" s="91" t="s">
        <v>266</v>
      </c>
      <c r="E608" s="92">
        <v>118.38</v>
      </c>
    </row>
    <row r="609" spans="2:5" x14ac:dyDescent="0.25">
      <c r="B609" s="91" t="s">
        <v>377</v>
      </c>
      <c r="C609" s="91" t="s">
        <v>276</v>
      </c>
      <c r="D609" s="91" t="s">
        <v>266</v>
      </c>
      <c r="E609" s="92">
        <v>54.43</v>
      </c>
    </row>
    <row r="610" spans="2:5" x14ac:dyDescent="0.25">
      <c r="B610" s="91" t="s">
        <v>377</v>
      </c>
      <c r="C610" s="91" t="s">
        <v>276</v>
      </c>
      <c r="D610" s="91" t="s">
        <v>266</v>
      </c>
      <c r="E610" s="92">
        <v>124.94</v>
      </c>
    </row>
    <row r="611" spans="2:5" x14ac:dyDescent="0.25">
      <c r="B611" s="91" t="s">
        <v>377</v>
      </c>
      <c r="C611" s="91" t="s">
        <v>276</v>
      </c>
      <c r="D611" s="91" t="s">
        <v>266</v>
      </c>
      <c r="E611" s="92">
        <v>78.459999999999994</v>
      </c>
    </row>
    <row r="612" spans="2:5" x14ac:dyDescent="0.25">
      <c r="B612" s="91" t="s">
        <v>328</v>
      </c>
      <c r="C612" s="91" t="s">
        <v>273</v>
      </c>
      <c r="D612" s="91" t="s">
        <v>270</v>
      </c>
      <c r="E612" s="92">
        <v>646.07000000000005</v>
      </c>
    </row>
    <row r="613" spans="2:5" x14ac:dyDescent="0.25">
      <c r="B613" s="91" t="s">
        <v>334</v>
      </c>
      <c r="C613" s="91" t="s">
        <v>4</v>
      </c>
      <c r="D613" s="91" t="s">
        <v>266</v>
      </c>
      <c r="E613" s="92">
        <v>128.28</v>
      </c>
    </row>
    <row r="614" spans="2:5" x14ac:dyDescent="0.25">
      <c r="B614" s="91" t="s">
        <v>379</v>
      </c>
      <c r="C614" s="91" t="s">
        <v>276</v>
      </c>
      <c r="D614" s="91" t="s">
        <v>266</v>
      </c>
      <c r="E614" s="92">
        <v>1691.51</v>
      </c>
    </row>
    <row r="615" spans="2:5" x14ac:dyDescent="0.25">
      <c r="B615" s="91" t="s">
        <v>379</v>
      </c>
      <c r="C615" s="91" t="s">
        <v>276</v>
      </c>
      <c r="D615" s="91" t="s">
        <v>266</v>
      </c>
      <c r="E615" s="92">
        <v>122.93</v>
      </c>
    </row>
    <row r="616" spans="2:5" x14ac:dyDescent="0.25">
      <c r="B616" s="91" t="s">
        <v>379</v>
      </c>
      <c r="C616" s="91" t="s">
        <v>276</v>
      </c>
      <c r="D616" s="91" t="s">
        <v>269</v>
      </c>
      <c r="E616" s="92">
        <v>47.86</v>
      </c>
    </row>
    <row r="617" spans="2:5" x14ac:dyDescent="0.25">
      <c r="B617" s="91" t="s">
        <v>379</v>
      </c>
      <c r="C617" s="91" t="s">
        <v>276</v>
      </c>
      <c r="D617" s="91" t="s">
        <v>270</v>
      </c>
      <c r="E617" s="92">
        <v>3607.8504999999996</v>
      </c>
    </row>
    <row r="618" spans="2:5" x14ac:dyDescent="0.25">
      <c r="B618" s="91" t="s">
        <v>554</v>
      </c>
      <c r="C618" s="91" t="s">
        <v>273</v>
      </c>
      <c r="D618" s="91" t="s">
        <v>266</v>
      </c>
      <c r="E618" s="92">
        <v>42.5</v>
      </c>
    </row>
    <row r="619" spans="2:5" x14ac:dyDescent="0.25">
      <c r="B619" s="91" t="s">
        <v>576</v>
      </c>
      <c r="C619" s="91" t="s">
        <v>276</v>
      </c>
      <c r="D619" s="91" t="s">
        <v>266</v>
      </c>
      <c r="E619" s="92">
        <v>391.42</v>
      </c>
    </row>
    <row r="620" spans="2:5" x14ac:dyDescent="0.25">
      <c r="B620" s="91" t="s">
        <v>577</v>
      </c>
      <c r="C620" s="91" t="s">
        <v>4</v>
      </c>
      <c r="D620" s="91" t="s">
        <v>266</v>
      </c>
      <c r="E620" s="92">
        <v>14.76</v>
      </c>
    </row>
    <row r="621" spans="2:5" x14ac:dyDescent="0.25">
      <c r="B621" s="91" t="s">
        <v>578</v>
      </c>
      <c r="C621" s="91" t="s">
        <v>265</v>
      </c>
      <c r="D621" s="91" t="s">
        <v>269</v>
      </c>
      <c r="E621" s="92">
        <v>6403.39</v>
      </c>
    </row>
    <row r="622" spans="2:5" x14ac:dyDescent="0.25">
      <c r="B622" s="91" t="s">
        <v>578</v>
      </c>
      <c r="C622" s="91" t="s">
        <v>265</v>
      </c>
      <c r="D622" s="91" t="s">
        <v>270</v>
      </c>
      <c r="E622" s="92">
        <v>757.91</v>
      </c>
    </row>
    <row r="623" spans="2:5" x14ac:dyDescent="0.25">
      <c r="B623" s="91" t="s">
        <v>579</v>
      </c>
      <c r="C623" s="91" t="s">
        <v>265</v>
      </c>
      <c r="D623" s="91" t="s">
        <v>266</v>
      </c>
      <c r="E623" s="92">
        <v>381.6</v>
      </c>
    </row>
    <row r="624" spans="2:5" x14ac:dyDescent="0.25">
      <c r="B624" s="91" t="s">
        <v>487</v>
      </c>
      <c r="C624" s="91" t="s">
        <v>4</v>
      </c>
      <c r="D624" s="91" t="s">
        <v>266</v>
      </c>
      <c r="E624" s="92">
        <v>138.85</v>
      </c>
    </row>
    <row r="625" spans="2:5" x14ac:dyDescent="0.25">
      <c r="B625" s="91" t="s">
        <v>531</v>
      </c>
      <c r="C625" s="91" t="s">
        <v>273</v>
      </c>
      <c r="D625" s="91" t="s">
        <v>266</v>
      </c>
      <c r="E625" s="92">
        <v>64.290000000000006</v>
      </c>
    </row>
    <row r="626" spans="2:5" x14ac:dyDescent="0.25">
      <c r="B626" s="91" t="s">
        <v>531</v>
      </c>
      <c r="C626" s="91" t="s">
        <v>273</v>
      </c>
      <c r="D626" s="91" t="s">
        <v>269</v>
      </c>
      <c r="E626" s="92">
        <v>75.77</v>
      </c>
    </row>
    <row r="627" spans="2:5" x14ac:dyDescent="0.25">
      <c r="B627" s="91" t="s">
        <v>484</v>
      </c>
      <c r="C627" s="91" t="s">
        <v>4</v>
      </c>
      <c r="D627" s="91" t="s">
        <v>270</v>
      </c>
      <c r="E627" s="92">
        <v>255.74</v>
      </c>
    </row>
    <row r="628" spans="2:5" x14ac:dyDescent="0.25">
      <c r="B628" s="91" t="s">
        <v>580</v>
      </c>
      <c r="C628" s="91" t="s">
        <v>4</v>
      </c>
      <c r="D628" s="91" t="s">
        <v>269</v>
      </c>
      <c r="E628" s="92">
        <v>639.71</v>
      </c>
    </row>
    <row r="629" spans="2:5" x14ac:dyDescent="0.25">
      <c r="B629" s="91" t="s">
        <v>581</v>
      </c>
      <c r="C629" s="91" t="s">
        <v>4</v>
      </c>
      <c r="D629" s="91" t="s">
        <v>269</v>
      </c>
      <c r="E629" s="92">
        <v>409.16</v>
      </c>
    </row>
    <row r="630" spans="2:5" x14ac:dyDescent="0.25">
      <c r="B630" s="91" t="s">
        <v>581</v>
      </c>
      <c r="C630" s="91" t="s">
        <v>4</v>
      </c>
      <c r="D630" s="91" t="s">
        <v>270</v>
      </c>
      <c r="E630" s="92">
        <v>2508.3159999999998</v>
      </c>
    </row>
    <row r="631" spans="2:5" x14ac:dyDescent="0.25">
      <c r="B631" s="91" t="s">
        <v>582</v>
      </c>
      <c r="C631" s="91" t="s">
        <v>276</v>
      </c>
      <c r="D631" s="91" t="s">
        <v>266</v>
      </c>
      <c r="E631" s="92">
        <v>253.89</v>
      </c>
    </row>
    <row r="632" spans="2:5" x14ac:dyDescent="0.25">
      <c r="B632" s="91" t="s">
        <v>388</v>
      </c>
      <c r="C632" s="91" t="s">
        <v>4</v>
      </c>
      <c r="D632" s="91" t="s">
        <v>266</v>
      </c>
      <c r="E632" s="92">
        <v>1556.87</v>
      </c>
    </row>
    <row r="633" spans="2:5" x14ac:dyDescent="0.25">
      <c r="B633" s="91" t="s">
        <v>388</v>
      </c>
      <c r="C633" s="91" t="s">
        <v>4</v>
      </c>
      <c r="D633" s="91" t="s">
        <v>266</v>
      </c>
      <c r="E633" s="92">
        <v>195.98</v>
      </c>
    </row>
    <row r="634" spans="2:5" x14ac:dyDescent="0.25">
      <c r="B634" s="91" t="s">
        <v>388</v>
      </c>
      <c r="C634" s="91" t="s">
        <v>4</v>
      </c>
      <c r="D634" s="91" t="s">
        <v>266</v>
      </c>
      <c r="E634" s="92">
        <v>9235.9699999999993</v>
      </c>
    </row>
    <row r="635" spans="2:5" x14ac:dyDescent="0.25">
      <c r="B635" s="91" t="s">
        <v>388</v>
      </c>
      <c r="C635" s="91" t="s">
        <v>4</v>
      </c>
      <c r="D635" s="91" t="s">
        <v>266</v>
      </c>
      <c r="E635" s="92">
        <v>274.38</v>
      </c>
    </row>
    <row r="636" spans="2:5" x14ac:dyDescent="0.25">
      <c r="B636" s="91" t="s">
        <v>367</v>
      </c>
      <c r="C636" s="91" t="s">
        <v>265</v>
      </c>
      <c r="D636" s="91" t="s">
        <v>269</v>
      </c>
      <c r="E636" s="92">
        <v>17.72</v>
      </c>
    </row>
    <row r="637" spans="2:5" x14ac:dyDescent="0.25">
      <c r="B637" s="91" t="s">
        <v>281</v>
      </c>
      <c r="C637" s="91" t="s">
        <v>4</v>
      </c>
      <c r="D637" s="91" t="s">
        <v>266</v>
      </c>
      <c r="E637" s="92">
        <v>1505.57</v>
      </c>
    </row>
    <row r="638" spans="2:5" x14ac:dyDescent="0.25">
      <c r="B638" s="91" t="s">
        <v>583</v>
      </c>
      <c r="C638" s="91" t="s">
        <v>265</v>
      </c>
      <c r="D638" s="91" t="s">
        <v>266</v>
      </c>
      <c r="E638" s="92">
        <v>1165.33</v>
      </c>
    </row>
    <row r="639" spans="2:5" x14ac:dyDescent="0.25">
      <c r="B639" s="91" t="s">
        <v>295</v>
      </c>
      <c r="C639" s="91" t="s">
        <v>4</v>
      </c>
      <c r="D639" s="91" t="s">
        <v>269</v>
      </c>
      <c r="E639" s="92">
        <v>49.04</v>
      </c>
    </row>
    <row r="640" spans="2:5" x14ac:dyDescent="0.25">
      <c r="B640" s="91" t="s">
        <v>584</v>
      </c>
      <c r="C640" s="91" t="s">
        <v>273</v>
      </c>
      <c r="D640" s="91" t="s">
        <v>266</v>
      </c>
      <c r="E640" s="92">
        <v>215.76</v>
      </c>
    </row>
    <row r="641" spans="2:5" x14ac:dyDescent="0.25">
      <c r="B641" s="91" t="s">
        <v>531</v>
      </c>
      <c r="C641" s="91" t="s">
        <v>4</v>
      </c>
      <c r="D641" s="91" t="s">
        <v>269</v>
      </c>
      <c r="E641" s="92">
        <v>640.21</v>
      </c>
    </row>
    <row r="642" spans="2:5" x14ac:dyDescent="0.25">
      <c r="B642" s="91" t="s">
        <v>585</v>
      </c>
      <c r="C642" s="91" t="s">
        <v>4</v>
      </c>
      <c r="D642" s="91" t="s">
        <v>266</v>
      </c>
      <c r="E642" s="92">
        <v>179.45</v>
      </c>
    </row>
    <row r="643" spans="2:5" x14ac:dyDescent="0.25">
      <c r="B643" s="91" t="s">
        <v>585</v>
      </c>
      <c r="C643" s="91" t="s">
        <v>4</v>
      </c>
      <c r="D643" s="91" t="s">
        <v>269</v>
      </c>
      <c r="E643" s="92">
        <v>7987.43</v>
      </c>
    </row>
    <row r="644" spans="2:5" x14ac:dyDescent="0.25">
      <c r="B644" s="91" t="s">
        <v>585</v>
      </c>
      <c r="C644" s="91" t="s">
        <v>4</v>
      </c>
      <c r="D644" s="91" t="s">
        <v>270</v>
      </c>
      <c r="E644" s="92">
        <v>2455.2759999999998</v>
      </c>
    </row>
    <row r="645" spans="2:5" x14ac:dyDescent="0.25">
      <c r="B645" s="91" t="s">
        <v>354</v>
      </c>
      <c r="C645" s="91" t="s">
        <v>273</v>
      </c>
      <c r="D645" s="91" t="s">
        <v>270</v>
      </c>
      <c r="E645" s="92">
        <v>2592.4319999999998</v>
      </c>
    </row>
    <row r="646" spans="2:5" x14ac:dyDescent="0.25">
      <c r="B646" s="91" t="s">
        <v>586</v>
      </c>
      <c r="C646" s="91" t="s">
        <v>4</v>
      </c>
      <c r="D646" s="91" t="s">
        <v>266</v>
      </c>
      <c r="E646" s="92">
        <v>7441.29</v>
      </c>
    </row>
    <row r="647" spans="2:5" x14ac:dyDescent="0.25">
      <c r="B647" s="91" t="s">
        <v>587</v>
      </c>
      <c r="C647" s="91" t="s">
        <v>276</v>
      </c>
      <c r="D647" s="91" t="s">
        <v>269</v>
      </c>
      <c r="E647" s="92">
        <v>313.43</v>
      </c>
    </row>
    <row r="648" spans="2:5" x14ac:dyDescent="0.25">
      <c r="B648" s="91" t="s">
        <v>587</v>
      </c>
      <c r="C648" s="91" t="s">
        <v>276</v>
      </c>
      <c r="D648" s="91" t="s">
        <v>266</v>
      </c>
      <c r="E648" s="92">
        <v>390.11</v>
      </c>
    </row>
    <row r="649" spans="2:5" x14ac:dyDescent="0.25">
      <c r="B649" s="91" t="s">
        <v>390</v>
      </c>
      <c r="C649" s="91" t="s">
        <v>4</v>
      </c>
      <c r="D649" s="91" t="s">
        <v>266</v>
      </c>
      <c r="E649" s="92">
        <v>992.95</v>
      </c>
    </row>
    <row r="650" spans="2:5" x14ac:dyDescent="0.25">
      <c r="B650" s="91" t="s">
        <v>586</v>
      </c>
      <c r="C650" s="91" t="s">
        <v>4</v>
      </c>
      <c r="D650" s="91" t="s">
        <v>266</v>
      </c>
      <c r="E650" s="92">
        <v>55.45</v>
      </c>
    </row>
    <row r="651" spans="2:5" x14ac:dyDescent="0.25">
      <c r="B651" s="91" t="s">
        <v>588</v>
      </c>
      <c r="C651" s="91" t="s">
        <v>265</v>
      </c>
      <c r="D651" s="91" t="s">
        <v>269</v>
      </c>
      <c r="E651" s="92">
        <v>279.29000000000002</v>
      </c>
    </row>
    <row r="652" spans="2:5" x14ac:dyDescent="0.25">
      <c r="B652" s="91" t="s">
        <v>589</v>
      </c>
      <c r="C652" s="91" t="s">
        <v>265</v>
      </c>
      <c r="D652" s="91" t="s">
        <v>266</v>
      </c>
      <c r="E652" s="92">
        <v>325.24</v>
      </c>
    </row>
    <row r="653" spans="2:5" x14ac:dyDescent="0.25">
      <c r="B653" s="91" t="s">
        <v>531</v>
      </c>
      <c r="C653" s="91" t="s">
        <v>273</v>
      </c>
      <c r="D653" s="91" t="s">
        <v>269</v>
      </c>
      <c r="E653" s="92">
        <v>6077.11</v>
      </c>
    </row>
    <row r="654" spans="2:5" x14ac:dyDescent="0.25">
      <c r="B654" s="91" t="s">
        <v>504</v>
      </c>
      <c r="C654" s="91" t="s">
        <v>276</v>
      </c>
      <c r="D654" s="91" t="s">
        <v>270</v>
      </c>
      <c r="E654" s="92">
        <v>2841.4395</v>
      </c>
    </row>
    <row r="655" spans="2:5" x14ac:dyDescent="0.25">
      <c r="B655" s="91" t="s">
        <v>456</v>
      </c>
      <c r="C655" s="91" t="s">
        <v>276</v>
      </c>
      <c r="D655" s="91" t="s">
        <v>270</v>
      </c>
      <c r="E655" s="92">
        <v>887.94</v>
      </c>
    </row>
    <row r="656" spans="2:5" x14ac:dyDescent="0.25">
      <c r="B656" s="91" t="s">
        <v>590</v>
      </c>
      <c r="C656" s="91" t="s">
        <v>265</v>
      </c>
      <c r="D656" s="91" t="s">
        <v>266</v>
      </c>
      <c r="E656" s="92">
        <v>294.77999999999997</v>
      </c>
    </row>
    <row r="657" spans="2:5" x14ac:dyDescent="0.25">
      <c r="B657" s="91" t="s">
        <v>281</v>
      </c>
      <c r="C657" s="91" t="s">
        <v>265</v>
      </c>
      <c r="D657" s="91" t="s">
        <v>266</v>
      </c>
      <c r="E657" s="92">
        <v>126.38</v>
      </c>
    </row>
    <row r="658" spans="2:5" x14ac:dyDescent="0.25">
      <c r="B658" s="91" t="s">
        <v>281</v>
      </c>
      <c r="C658" s="91" t="s">
        <v>265</v>
      </c>
      <c r="D658" s="91" t="s">
        <v>266</v>
      </c>
      <c r="E658" s="92">
        <v>33.1</v>
      </c>
    </row>
    <row r="659" spans="2:5" x14ac:dyDescent="0.25">
      <c r="B659" s="91" t="s">
        <v>534</v>
      </c>
      <c r="C659" s="91" t="s">
        <v>273</v>
      </c>
      <c r="D659" s="91" t="s">
        <v>270</v>
      </c>
      <c r="E659" s="92">
        <v>3730.54</v>
      </c>
    </row>
    <row r="660" spans="2:5" x14ac:dyDescent="0.25">
      <c r="B660" s="91" t="s">
        <v>545</v>
      </c>
      <c r="C660" s="91" t="s">
        <v>4</v>
      </c>
      <c r="D660" s="91" t="s">
        <v>266</v>
      </c>
      <c r="E660" s="92">
        <v>282.70999999999998</v>
      </c>
    </row>
    <row r="661" spans="2:5" x14ac:dyDescent="0.25">
      <c r="B661" s="91" t="s">
        <v>545</v>
      </c>
      <c r="C661" s="91" t="s">
        <v>4</v>
      </c>
      <c r="D661" s="91" t="s">
        <v>266</v>
      </c>
      <c r="E661" s="92">
        <v>724.13</v>
      </c>
    </row>
    <row r="662" spans="2:5" x14ac:dyDescent="0.25">
      <c r="B662" s="91" t="s">
        <v>545</v>
      </c>
      <c r="C662" s="91" t="s">
        <v>4</v>
      </c>
      <c r="D662" s="91" t="s">
        <v>269</v>
      </c>
      <c r="E662" s="92">
        <v>294.66000000000003</v>
      </c>
    </row>
    <row r="663" spans="2:5" x14ac:dyDescent="0.25">
      <c r="B663" s="91" t="s">
        <v>591</v>
      </c>
      <c r="C663" s="91" t="s">
        <v>265</v>
      </c>
      <c r="D663" s="91" t="s">
        <v>266</v>
      </c>
      <c r="E663" s="92">
        <v>1765.05</v>
      </c>
    </row>
    <row r="664" spans="2:5" x14ac:dyDescent="0.25">
      <c r="B664" s="91" t="s">
        <v>592</v>
      </c>
      <c r="C664" s="91" t="s">
        <v>276</v>
      </c>
      <c r="D664" s="91" t="s">
        <v>269</v>
      </c>
      <c r="E664" s="92">
        <v>7384.54</v>
      </c>
    </row>
    <row r="665" spans="2:5" x14ac:dyDescent="0.25">
      <c r="B665" s="91" t="s">
        <v>381</v>
      </c>
      <c r="C665" s="91" t="s">
        <v>273</v>
      </c>
      <c r="D665" s="91" t="s">
        <v>266</v>
      </c>
      <c r="E665" s="92">
        <v>2325.42</v>
      </c>
    </row>
    <row r="666" spans="2:5" x14ac:dyDescent="0.25">
      <c r="B666" s="91" t="s">
        <v>510</v>
      </c>
      <c r="C666" s="91" t="s">
        <v>4</v>
      </c>
      <c r="D666" s="91" t="s">
        <v>269</v>
      </c>
      <c r="E666" s="92">
        <v>3021.64</v>
      </c>
    </row>
    <row r="667" spans="2:5" x14ac:dyDescent="0.25">
      <c r="B667" s="91" t="s">
        <v>593</v>
      </c>
      <c r="C667" s="91" t="s">
        <v>265</v>
      </c>
      <c r="D667" s="91" t="s">
        <v>270</v>
      </c>
      <c r="E667" s="92">
        <v>66.88</v>
      </c>
    </row>
    <row r="668" spans="2:5" x14ac:dyDescent="0.25">
      <c r="B668" s="91" t="s">
        <v>593</v>
      </c>
      <c r="C668" s="91" t="s">
        <v>265</v>
      </c>
      <c r="D668" s="91" t="s">
        <v>266</v>
      </c>
      <c r="E668" s="92">
        <v>447.34</v>
      </c>
    </row>
    <row r="669" spans="2:5" x14ac:dyDescent="0.25">
      <c r="B669" s="91" t="s">
        <v>556</v>
      </c>
      <c r="C669" s="91" t="s">
        <v>276</v>
      </c>
      <c r="D669" s="91" t="s">
        <v>270</v>
      </c>
      <c r="E669" s="92">
        <v>16172.44</v>
      </c>
    </row>
    <row r="670" spans="2:5" x14ac:dyDescent="0.25">
      <c r="B670" s="91" t="s">
        <v>397</v>
      </c>
      <c r="C670" s="91" t="s">
        <v>4</v>
      </c>
      <c r="D670" s="91" t="s">
        <v>266</v>
      </c>
      <c r="E670" s="92">
        <v>89.55</v>
      </c>
    </row>
    <row r="671" spans="2:5" x14ac:dyDescent="0.25">
      <c r="B671" s="91" t="s">
        <v>406</v>
      </c>
      <c r="C671" s="91" t="s">
        <v>4</v>
      </c>
      <c r="D671" s="91" t="s">
        <v>270</v>
      </c>
      <c r="E671" s="92">
        <v>65.61</v>
      </c>
    </row>
    <row r="672" spans="2:5" x14ac:dyDescent="0.25">
      <c r="B672" s="91" t="s">
        <v>406</v>
      </c>
      <c r="C672" s="91" t="s">
        <v>4</v>
      </c>
      <c r="D672" s="91" t="s">
        <v>266</v>
      </c>
      <c r="E672" s="92">
        <v>309.62</v>
      </c>
    </row>
    <row r="673" spans="2:5" x14ac:dyDescent="0.25">
      <c r="B673" s="91" t="s">
        <v>594</v>
      </c>
      <c r="C673" s="91" t="s">
        <v>265</v>
      </c>
      <c r="D673" s="91" t="s">
        <v>270</v>
      </c>
      <c r="E673" s="92">
        <v>920</v>
      </c>
    </row>
    <row r="674" spans="2:5" x14ac:dyDescent="0.25">
      <c r="B674" s="91" t="s">
        <v>594</v>
      </c>
      <c r="C674" s="91" t="s">
        <v>265</v>
      </c>
      <c r="D674" s="91" t="s">
        <v>266</v>
      </c>
      <c r="E674" s="92">
        <v>104.2</v>
      </c>
    </row>
    <row r="675" spans="2:5" x14ac:dyDescent="0.25">
      <c r="B675" s="91" t="s">
        <v>594</v>
      </c>
      <c r="C675" s="91" t="s">
        <v>265</v>
      </c>
      <c r="D675" s="91" t="s">
        <v>270</v>
      </c>
      <c r="E675" s="92">
        <v>3563.88</v>
      </c>
    </row>
    <row r="676" spans="2:5" x14ac:dyDescent="0.25">
      <c r="B676" s="91" t="s">
        <v>592</v>
      </c>
      <c r="C676" s="91" t="s">
        <v>4</v>
      </c>
      <c r="D676" s="91" t="s">
        <v>270</v>
      </c>
      <c r="E676" s="92">
        <v>1590.163</v>
      </c>
    </row>
    <row r="677" spans="2:5" x14ac:dyDescent="0.25">
      <c r="B677" s="91" t="s">
        <v>592</v>
      </c>
      <c r="C677" s="91" t="s">
        <v>4</v>
      </c>
      <c r="D677" s="91" t="s">
        <v>266</v>
      </c>
      <c r="E677" s="92">
        <v>482.93</v>
      </c>
    </row>
    <row r="678" spans="2:5" x14ac:dyDescent="0.25">
      <c r="B678" s="91" t="s">
        <v>592</v>
      </c>
      <c r="C678" s="91" t="s">
        <v>4</v>
      </c>
      <c r="D678" s="91" t="s">
        <v>266</v>
      </c>
      <c r="E678" s="92">
        <v>1203.73</v>
      </c>
    </row>
    <row r="679" spans="2:5" x14ac:dyDescent="0.25">
      <c r="B679" s="91" t="s">
        <v>592</v>
      </c>
      <c r="C679" s="91" t="s">
        <v>4</v>
      </c>
      <c r="D679" s="91" t="s">
        <v>266</v>
      </c>
      <c r="E679" s="92">
        <v>75.19</v>
      </c>
    </row>
    <row r="680" spans="2:5" x14ac:dyDescent="0.25">
      <c r="B680" s="91" t="s">
        <v>562</v>
      </c>
      <c r="C680" s="91" t="s">
        <v>4</v>
      </c>
      <c r="D680" s="91" t="s">
        <v>269</v>
      </c>
      <c r="E680" s="92">
        <v>152.44</v>
      </c>
    </row>
    <row r="681" spans="2:5" x14ac:dyDescent="0.25">
      <c r="B681" s="91" t="s">
        <v>595</v>
      </c>
      <c r="C681" s="91" t="s">
        <v>4</v>
      </c>
      <c r="D681" s="91" t="s">
        <v>269</v>
      </c>
      <c r="E681" s="92">
        <v>3041.33</v>
      </c>
    </row>
    <row r="682" spans="2:5" x14ac:dyDescent="0.25">
      <c r="B682" s="91" t="s">
        <v>418</v>
      </c>
      <c r="C682" s="91" t="s">
        <v>276</v>
      </c>
      <c r="D682" s="91" t="s">
        <v>266</v>
      </c>
      <c r="E682" s="92">
        <v>17.89</v>
      </c>
    </row>
    <row r="683" spans="2:5" x14ac:dyDescent="0.25">
      <c r="B683" s="91" t="s">
        <v>425</v>
      </c>
      <c r="C683" s="91" t="s">
        <v>273</v>
      </c>
      <c r="D683" s="91" t="s">
        <v>270</v>
      </c>
      <c r="E683" s="92">
        <v>1210.0514999999998</v>
      </c>
    </row>
    <row r="684" spans="2:5" x14ac:dyDescent="0.25">
      <c r="B684" s="91" t="s">
        <v>425</v>
      </c>
      <c r="C684" s="91" t="s">
        <v>273</v>
      </c>
      <c r="D684" s="91" t="s">
        <v>266</v>
      </c>
      <c r="E684" s="92">
        <v>187.83</v>
      </c>
    </row>
    <row r="685" spans="2:5" x14ac:dyDescent="0.25">
      <c r="B685" s="91" t="s">
        <v>425</v>
      </c>
      <c r="C685" s="91" t="s">
        <v>273</v>
      </c>
      <c r="D685" s="91" t="s">
        <v>266</v>
      </c>
      <c r="E685" s="92">
        <v>49.59</v>
      </c>
    </row>
    <row r="686" spans="2:5" x14ac:dyDescent="0.25">
      <c r="B686" s="91" t="s">
        <v>425</v>
      </c>
      <c r="C686" s="91" t="s">
        <v>273</v>
      </c>
      <c r="D686" s="91" t="s">
        <v>270</v>
      </c>
      <c r="E686" s="92">
        <v>4253.009</v>
      </c>
    </row>
    <row r="687" spans="2:5" x14ac:dyDescent="0.25">
      <c r="B687" s="91" t="s">
        <v>596</v>
      </c>
      <c r="C687" s="91" t="s">
        <v>4</v>
      </c>
      <c r="D687" s="91" t="s">
        <v>266</v>
      </c>
      <c r="E687" s="92">
        <v>123.85</v>
      </c>
    </row>
    <row r="688" spans="2:5" x14ac:dyDescent="0.25">
      <c r="B688" s="91" t="s">
        <v>521</v>
      </c>
      <c r="C688" s="91" t="s">
        <v>265</v>
      </c>
      <c r="D688" s="91" t="s">
        <v>266</v>
      </c>
      <c r="E688" s="92">
        <v>2116.6999999999998</v>
      </c>
    </row>
    <row r="689" spans="2:5" x14ac:dyDescent="0.25">
      <c r="B689" s="91" t="s">
        <v>306</v>
      </c>
      <c r="C689" s="91" t="s">
        <v>4</v>
      </c>
      <c r="D689" s="91" t="s">
        <v>266</v>
      </c>
      <c r="E689" s="92">
        <v>180.38</v>
      </c>
    </row>
    <row r="690" spans="2:5" x14ac:dyDescent="0.25">
      <c r="B690" s="91" t="s">
        <v>282</v>
      </c>
      <c r="C690" s="91" t="s">
        <v>4</v>
      </c>
      <c r="D690" s="91" t="s">
        <v>266</v>
      </c>
      <c r="E690" s="92">
        <v>314.20999999999998</v>
      </c>
    </row>
    <row r="691" spans="2:5" x14ac:dyDescent="0.25">
      <c r="B691" s="91" t="s">
        <v>357</v>
      </c>
      <c r="C691" s="91" t="s">
        <v>273</v>
      </c>
      <c r="D691" s="91" t="s">
        <v>266</v>
      </c>
      <c r="E691" s="92">
        <v>10.39</v>
      </c>
    </row>
    <row r="692" spans="2:5" x14ac:dyDescent="0.25">
      <c r="B692" s="91" t="s">
        <v>558</v>
      </c>
      <c r="C692" s="91" t="s">
        <v>4</v>
      </c>
      <c r="D692" s="91" t="s">
        <v>266</v>
      </c>
      <c r="E692" s="92">
        <v>48.57</v>
      </c>
    </row>
    <row r="693" spans="2:5" x14ac:dyDescent="0.25">
      <c r="B693" s="91" t="s">
        <v>362</v>
      </c>
      <c r="C693" s="91" t="s">
        <v>276</v>
      </c>
      <c r="D693" s="91" t="s">
        <v>269</v>
      </c>
      <c r="E693" s="92">
        <v>342.97</v>
      </c>
    </row>
    <row r="694" spans="2:5" x14ac:dyDescent="0.25">
      <c r="B694" s="91" t="s">
        <v>534</v>
      </c>
      <c r="C694" s="91" t="s">
        <v>273</v>
      </c>
      <c r="D694" s="91" t="s">
        <v>266</v>
      </c>
      <c r="E694" s="92">
        <v>352.55</v>
      </c>
    </row>
    <row r="695" spans="2:5" x14ac:dyDescent="0.25">
      <c r="B695" s="91" t="s">
        <v>534</v>
      </c>
      <c r="C695" s="91" t="s">
        <v>273</v>
      </c>
      <c r="D695" s="91" t="s">
        <v>266</v>
      </c>
      <c r="E695" s="92">
        <v>719.64</v>
      </c>
    </row>
    <row r="696" spans="2:5" x14ac:dyDescent="0.25">
      <c r="B696" s="91" t="s">
        <v>597</v>
      </c>
      <c r="C696" s="91" t="s">
        <v>273</v>
      </c>
      <c r="D696" s="91" t="s">
        <v>266</v>
      </c>
      <c r="E696" s="92">
        <v>117.4</v>
      </c>
    </row>
    <row r="697" spans="2:5" x14ac:dyDescent="0.25">
      <c r="B697" s="91" t="s">
        <v>512</v>
      </c>
      <c r="C697" s="91" t="s">
        <v>276</v>
      </c>
      <c r="D697" s="91" t="s">
        <v>269</v>
      </c>
      <c r="E697" s="92">
        <v>135.928</v>
      </c>
    </row>
    <row r="698" spans="2:5" x14ac:dyDescent="0.25">
      <c r="B698" s="91" t="s">
        <v>529</v>
      </c>
      <c r="C698" s="91" t="s">
        <v>4</v>
      </c>
      <c r="D698" s="91" t="s">
        <v>270</v>
      </c>
      <c r="E698" s="92">
        <v>1560.617</v>
      </c>
    </row>
    <row r="699" spans="2:5" x14ac:dyDescent="0.25">
      <c r="B699" s="91" t="s">
        <v>297</v>
      </c>
      <c r="C699" s="91" t="s">
        <v>273</v>
      </c>
      <c r="D699" s="91" t="s">
        <v>269</v>
      </c>
      <c r="E699" s="92">
        <v>6746.3119999999999</v>
      </c>
    </row>
    <row r="700" spans="2:5" x14ac:dyDescent="0.25">
      <c r="B700" s="91" t="s">
        <v>297</v>
      </c>
      <c r="C700" s="91" t="s">
        <v>273</v>
      </c>
      <c r="D700" s="91" t="s">
        <v>266</v>
      </c>
      <c r="E700" s="92">
        <v>311.38</v>
      </c>
    </row>
    <row r="701" spans="2:5" x14ac:dyDescent="0.25">
      <c r="B701" s="91" t="s">
        <v>598</v>
      </c>
      <c r="C701" s="91" t="s">
        <v>4</v>
      </c>
      <c r="D701" s="91" t="s">
        <v>270</v>
      </c>
      <c r="E701" s="92">
        <v>126.87</v>
      </c>
    </row>
    <row r="702" spans="2:5" x14ac:dyDescent="0.25">
      <c r="B702" s="91" t="s">
        <v>599</v>
      </c>
      <c r="C702" s="91" t="s">
        <v>4</v>
      </c>
      <c r="D702" s="91" t="s">
        <v>266</v>
      </c>
      <c r="E702" s="92">
        <v>41.94</v>
      </c>
    </row>
    <row r="703" spans="2:5" x14ac:dyDescent="0.25">
      <c r="B703" s="91" t="s">
        <v>599</v>
      </c>
      <c r="C703" s="91" t="s">
        <v>4</v>
      </c>
      <c r="D703" s="91" t="s">
        <v>266</v>
      </c>
      <c r="E703" s="92">
        <v>89.25</v>
      </c>
    </row>
    <row r="704" spans="2:5" x14ac:dyDescent="0.25">
      <c r="B704" s="91" t="s">
        <v>599</v>
      </c>
      <c r="C704" s="91" t="s">
        <v>4</v>
      </c>
      <c r="D704" s="91" t="s">
        <v>266</v>
      </c>
      <c r="E704" s="92">
        <v>79.81</v>
      </c>
    </row>
    <row r="705" spans="2:5" x14ac:dyDescent="0.25">
      <c r="B705" s="91" t="s">
        <v>437</v>
      </c>
      <c r="C705" s="91" t="s">
        <v>4</v>
      </c>
      <c r="D705" s="91" t="s">
        <v>270</v>
      </c>
      <c r="E705" s="92">
        <v>463.83</v>
      </c>
    </row>
    <row r="706" spans="2:5" x14ac:dyDescent="0.25">
      <c r="B706" s="91" t="s">
        <v>316</v>
      </c>
      <c r="C706" s="91" t="s">
        <v>265</v>
      </c>
      <c r="D706" s="91" t="s">
        <v>266</v>
      </c>
      <c r="E706" s="92">
        <v>55.38</v>
      </c>
    </row>
    <row r="707" spans="2:5" x14ac:dyDescent="0.25">
      <c r="B707" s="91" t="s">
        <v>354</v>
      </c>
      <c r="C707" s="91" t="s">
        <v>273</v>
      </c>
      <c r="D707" s="91" t="s">
        <v>266</v>
      </c>
      <c r="E707" s="92">
        <v>9.4</v>
      </c>
    </row>
    <row r="708" spans="2:5" x14ac:dyDescent="0.25">
      <c r="B708" s="91" t="s">
        <v>472</v>
      </c>
      <c r="C708" s="91" t="s">
        <v>276</v>
      </c>
      <c r="D708" s="91" t="s">
        <v>266</v>
      </c>
      <c r="E708" s="92">
        <v>159.43</v>
      </c>
    </row>
    <row r="709" spans="2:5" x14ac:dyDescent="0.25">
      <c r="B709" s="91" t="s">
        <v>600</v>
      </c>
      <c r="C709" s="91" t="s">
        <v>4</v>
      </c>
      <c r="D709" s="91" t="s">
        <v>266</v>
      </c>
      <c r="E709" s="92">
        <v>4901.99</v>
      </c>
    </row>
    <row r="710" spans="2:5" x14ac:dyDescent="0.25">
      <c r="B710" s="91" t="s">
        <v>363</v>
      </c>
      <c r="C710" s="91" t="s">
        <v>4</v>
      </c>
      <c r="D710" s="91" t="s">
        <v>269</v>
      </c>
      <c r="E710" s="92">
        <v>17248.09</v>
      </c>
    </row>
    <row r="711" spans="2:5" x14ac:dyDescent="0.25">
      <c r="B711" s="91" t="s">
        <v>601</v>
      </c>
      <c r="C711" s="91" t="s">
        <v>276</v>
      </c>
      <c r="D711" s="91" t="s">
        <v>269</v>
      </c>
      <c r="E711" s="92">
        <v>775.74</v>
      </c>
    </row>
    <row r="712" spans="2:5" x14ac:dyDescent="0.25">
      <c r="B712" s="91" t="s">
        <v>601</v>
      </c>
      <c r="C712" s="91" t="s">
        <v>276</v>
      </c>
      <c r="D712" s="91" t="s">
        <v>266</v>
      </c>
      <c r="E712" s="92">
        <v>238.34</v>
      </c>
    </row>
    <row r="713" spans="2:5" x14ac:dyDescent="0.25">
      <c r="B713" s="91" t="s">
        <v>602</v>
      </c>
      <c r="C713" s="91" t="s">
        <v>265</v>
      </c>
      <c r="D713" s="91" t="s">
        <v>270</v>
      </c>
      <c r="E713" s="92">
        <v>831.52</v>
      </c>
    </row>
    <row r="714" spans="2:5" x14ac:dyDescent="0.25">
      <c r="B714" s="91" t="s">
        <v>602</v>
      </c>
      <c r="C714" s="91" t="s">
        <v>265</v>
      </c>
      <c r="D714" s="91" t="s">
        <v>270</v>
      </c>
      <c r="E714" s="92">
        <v>1089.8699999999999</v>
      </c>
    </row>
    <row r="715" spans="2:5" x14ac:dyDescent="0.25">
      <c r="B715" s="91" t="s">
        <v>602</v>
      </c>
      <c r="C715" s="91" t="s">
        <v>265</v>
      </c>
      <c r="D715" s="91" t="s">
        <v>266</v>
      </c>
      <c r="E715" s="92">
        <v>121.3</v>
      </c>
    </row>
    <row r="716" spans="2:5" x14ac:dyDescent="0.25">
      <c r="B716" s="91" t="s">
        <v>603</v>
      </c>
      <c r="C716" s="91" t="s">
        <v>4</v>
      </c>
      <c r="D716" s="91" t="s">
        <v>266</v>
      </c>
      <c r="E716" s="92">
        <v>168.31</v>
      </c>
    </row>
    <row r="717" spans="2:5" x14ac:dyDescent="0.25">
      <c r="B717" s="91" t="s">
        <v>603</v>
      </c>
      <c r="C717" s="91" t="s">
        <v>4</v>
      </c>
      <c r="D717" s="91" t="s">
        <v>270</v>
      </c>
      <c r="E717" s="92">
        <v>4282.7249999999995</v>
      </c>
    </row>
    <row r="718" spans="2:5" x14ac:dyDescent="0.25">
      <c r="B718" s="91" t="s">
        <v>572</v>
      </c>
      <c r="C718" s="91" t="s">
        <v>4</v>
      </c>
      <c r="D718" s="91" t="s">
        <v>266</v>
      </c>
      <c r="E718" s="92">
        <v>109.37</v>
      </c>
    </row>
    <row r="719" spans="2:5" x14ac:dyDescent="0.25">
      <c r="B719" s="91" t="s">
        <v>604</v>
      </c>
      <c r="C719" s="91" t="s">
        <v>4</v>
      </c>
      <c r="D719" s="91" t="s">
        <v>266</v>
      </c>
      <c r="E719" s="92">
        <v>106.64</v>
      </c>
    </row>
    <row r="720" spans="2:5" x14ac:dyDescent="0.25">
      <c r="B720" s="91" t="s">
        <v>605</v>
      </c>
      <c r="C720" s="91" t="s">
        <v>4</v>
      </c>
      <c r="D720" s="91" t="s">
        <v>266</v>
      </c>
      <c r="E720" s="92">
        <v>40.869999999999997</v>
      </c>
    </row>
    <row r="721" spans="2:5" x14ac:dyDescent="0.25">
      <c r="B721" s="91" t="s">
        <v>605</v>
      </c>
      <c r="C721" s="91" t="s">
        <v>4</v>
      </c>
      <c r="D721" s="91" t="s">
        <v>269</v>
      </c>
      <c r="E721" s="92">
        <v>8363.65</v>
      </c>
    </row>
    <row r="722" spans="2:5" x14ac:dyDescent="0.25">
      <c r="B722" s="91" t="s">
        <v>299</v>
      </c>
      <c r="C722" s="91" t="s">
        <v>4</v>
      </c>
      <c r="D722" s="91" t="s">
        <v>266</v>
      </c>
      <c r="E722" s="92">
        <v>1068.79</v>
      </c>
    </row>
    <row r="723" spans="2:5" x14ac:dyDescent="0.25">
      <c r="B723" s="91" t="s">
        <v>299</v>
      </c>
      <c r="C723" s="91" t="s">
        <v>4</v>
      </c>
      <c r="D723" s="91" t="s">
        <v>266</v>
      </c>
      <c r="E723" s="92">
        <v>287.13</v>
      </c>
    </row>
    <row r="724" spans="2:5" x14ac:dyDescent="0.25">
      <c r="B724" s="91" t="s">
        <v>606</v>
      </c>
      <c r="C724" s="91" t="s">
        <v>4</v>
      </c>
      <c r="D724" s="91" t="s">
        <v>266</v>
      </c>
      <c r="E724" s="92">
        <v>4305.79</v>
      </c>
    </row>
    <row r="725" spans="2:5" x14ac:dyDescent="0.25">
      <c r="B725" s="91" t="s">
        <v>484</v>
      </c>
      <c r="C725" s="91" t="s">
        <v>4</v>
      </c>
      <c r="D725" s="91" t="s">
        <v>269</v>
      </c>
      <c r="E725" s="92">
        <v>79.680000000000007</v>
      </c>
    </row>
    <row r="726" spans="2:5" x14ac:dyDescent="0.25">
      <c r="B726" s="91" t="s">
        <v>607</v>
      </c>
      <c r="C726" s="91" t="s">
        <v>265</v>
      </c>
      <c r="D726" s="91" t="s">
        <v>266</v>
      </c>
      <c r="E726" s="92">
        <v>41.18</v>
      </c>
    </row>
    <row r="727" spans="2:5" x14ac:dyDescent="0.25">
      <c r="B727" s="91" t="s">
        <v>608</v>
      </c>
      <c r="C727" s="91" t="s">
        <v>4</v>
      </c>
      <c r="D727" s="91" t="s">
        <v>266</v>
      </c>
      <c r="E727" s="92">
        <v>12.8</v>
      </c>
    </row>
    <row r="728" spans="2:5" x14ac:dyDescent="0.25">
      <c r="B728" s="91" t="s">
        <v>609</v>
      </c>
      <c r="C728" s="91" t="s">
        <v>276</v>
      </c>
      <c r="D728" s="91" t="s">
        <v>269</v>
      </c>
      <c r="E728" s="92">
        <v>709.04</v>
      </c>
    </row>
    <row r="729" spans="2:5" x14ac:dyDescent="0.25">
      <c r="B729" s="91" t="s">
        <v>609</v>
      </c>
      <c r="C729" s="91" t="s">
        <v>276</v>
      </c>
      <c r="D729" s="91" t="s">
        <v>266</v>
      </c>
      <c r="E729" s="92">
        <v>978.77</v>
      </c>
    </row>
    <row r="730" spans="2:5" x14ac:dyDescent="0.25">
      <c r="B730" s="91" t="s">
        <v>610</v>
      </c>
      <c r="C730" s="91" t="s">
        <v>265</v>
      </c>
      <c r="D730" s="91" t="s">
        <v>266</v>
      </c>
      <c r="E730" s="92">
        <v>79.58</v>
      </c>
    </row>
    <row r="731" spans="2:5" x14ac:dyDescent="0.25">
      <c r="B731" s="91" t="s">
        <v>611</v>
      </c>
      <c r="C731" s="91" t="s">
        <v>4</v>
      </c>
      <c r="D731" s="91" t="s">
        <v>270</v>
      </c>
      <c r="E731" s="92">
        <v>786.67499999999995</v>
      </c>
    </row>
    <row r="732" spans="2:5" x14ac:dyDescent="0.25">
      <c r="B732" s="91" t="s">
        <v>600</v>
      </c>
      <c r="C732" s="91" t="s">
        <v>4</v>
      </c>
      <c r="D732" s="91" t="s">
        <v>270</v>
      </c>
      <c r="E732" s="92">
        <v>1991.7029999999997</v>
      </c>
    </row>
    <row r="733" spans="2:5" x14ac:dyDescent="0.25">
      <c r="B733" s="91" t="s">
        <v>345</v>
      </c>
      <c r="C733" s="91" t="s">
        <v>273</v>
      </c>
      <c r="D733" s="91" t="s">
        <v>269</v>
      </c>
      <c r="E733" s="92">
        <v>4896.93</v>
      </c>
    </row>
    <row r="734" spans="2:5" x14ac:dyDescent="0.25">
      <c r="B734" s="91" t="s">
        <v>612</v>
      </c>
      <c r="C734" s="91" t="s">
        <v>4</v>
      </c>
      <c r="D734" s="91" t="s">
        <v>270</v>
      </c>
      <c r="E734" s="92">
        <v>569.21</v>
      </c>
    </row>
    <row r="735" spans="2:5" x14ac:dyDescent="0.25">
      <c r="B735" s="91" t="s">
        <v>521</v>
      </c>
      <c r="C735" s="91" t="s">
        <v>265</v>
      </c>
      <c r="D735" s="91" t="s">
        <v>266</v>
      </c>
      <c r="E735" s="92">
        <v>192.8</v>
      </c>
    </row>
    <row r="736" spans="2:5" x14ac:dyDescent="0.25">
      <c r="B736" s="91" t="s">
        <v>559</v>
      </c>
      <c r="C736" s="91" t="s">
        <v>4</v>
      </c>
      <c r="D736" s="91" t="s">
        <v>270</v>
      </c>
      <c r="E736" s="92">
        <v>900.06</v>
      </c>
    </row>
    <row r="737" spans="2:5" x14ac:dyDescent="0.25">
      <c r="B737" s="91" t="s">
        <v>559</v>
      </c>
      <c r="C737" s="91" t="s">
        <v>4</v>
      </c>
      <c r="D737" s="91" t="s">
        <v>266</v>
      </c>
      <c r="E737" s="92">
        <v>2066.63</v>
      </c>
    </row>
    <row r="738" spans="2:5" x14ac:dyDescent="0.25">
      <c r="B738" s="91" t="s">
        <v>559</v>
      </c>
      <c r="C738" s="91" t="s">
        <v>4</v>
      </c>
      <c r="D738" s="91" t="s">
        <v>266</v>
      </c>
      <c r="E738" s="92">
        <v>24.72</v>
      </c>
    </row>
    <row r="739" spans="2:5" x14ac:dyDescent="0.25">
      <c r="B739" s="91" t="s">
        <v>498</v>
      </c>
      <c r="C739" s="91" t="s">
        <v>273</v>
      </c>
      <c r="D739" s="91" t="s">
        <v>266</v>
      </c>
      <c r="E739" s="92">
        <v>339.35</v>
      </c>
    </row>
    <row r="740" spans="2:5" x14ac:dyDescent="0.25">
      <c r="B740" s="91" t="s">
        <v>498</v>
      </c>
      <c r="C740" s="91" t="s">
        <v>273</v>
      </c>
      <c r="D740" s="91" t="s">
        <v>266</v>
      </c>
      <c r="E740" s="92">
        <v>33.67</v>
      </c>
    </row>
    <row r="741" spans="2:5" x14ac:dyDescent="0.25">
      <c r="B741" s="91" t="s">
        <v>613</v>
      </c>
      <c r="C741" s="91" t="s">
        <v>4</v>
      </c>
      <c r="D741" s="91" t="s">
        <v>270</v>
      </c>
      <c r="E741" s="92">
        <v>1347.63</v>
      </c>
    </row>
    <row r="742" spans="2:5" x14ac:dyDescent="0.25">
      <c r="B742" s="91" t="s">
        <v>614</v>
      </c>
      <c r="C742" s="91" t="s">
        <v>276</v>
      </c>
      <c r="D742" s="91" t="s">
        <v>269</v>
      </c>
      <c r="E742" s="92">
        <v>14451.75</v>
      </c>
    </row>
    <row r="743" spans="2:5" x14ac:dyDescent="0.25">
      <c r="B743" s="91" t="s">
        <v>274</v>
      </c>
      <c r="C743" s="91" t="s">
        <v>4</v>
      </c>
      <c r="D743" s="91" t="s">
        <v>270</v>
      </c>
      <c r="E743" s="92">
        <v>3821.0390000000002</v>
      </c>
    </row>
    <row r="744" spans="2:5" x14ac:dyDescent="0.25">
      <c r="B744" s="91" t="s">
        <v>615</v>
      </c>
      <c r="C744" s="91" t="s">
        <v>4</v>
      </c>
      <c r="D744" s="91" t="s">
        <v>270</v>
      </c>
      <c r="E744" s="92">
        <v>1735.3515</v>
      </c>
    </row>
    <row r="745" spans="2:5" x14ac:dyDescent="0.25">
      <c r="B745" s="91" t="s">
        <v>616</v>
      </c>
      <c r="C745" s="91" t="s">
        <v>276</v>
      </c>
      <c r="D745" s="91" t="s">
        <v>269</v>
      </c>
      <c r="E745" s="92">
        <v>4733.7</v>
      </c>
    </row>
    <row r="746" spans="2:5" x14ac:dyDescent="0.25">
      <c r="B746" s="91" t="s">
        <v>616</v>
      </c>
      <c r="C746" s="91" t="s">
        <v>276</v>
      </c>
      <c r="D746" s="91" t="s">
        <v>269</v>
      </c>
      <c r="E746" s="92">
        <v>2718.07</v>
      </c>
    </row>
    <row r="747" spans="2:5" x14ac:dyDescent="0.25">
      <c r="B747" s="91" t="s">
        <v>534</v>
      </c>
      <c r="C747" s="91" t="s">
        <v>273</v>
      </c>
      <c r="D747" s="91" t="s">
        <v>270</v>
      </c>
      <c r="E747" s="92">
        <v>2508.6730000000002</v>
      </c>
    </row>
    <row r="748" spans="2:5" x14ac:dyDescent="0.25">
      <c r="B748" s="91" t="s">
        <v>425</v>
      </c>
      <c r="C748" s="91" t="s">
        <v>273</v>
      </c>
      <c r="D748" s="91" t="s">
        <v>266</v>
      </c>
      <c r="E748" s="92">
        <v>59.38</v>
      </c>
    </row>
    <row r="749" spans="2:5" x14ac:dyDescent="0.25">
      <c r="B749" s="91" t="s">
        <v>321</v>
      </c>
      <c r="C749" s="91" t="s">
        <v>4</v>
      </c>
      <c r="D749" s="91" t="s">
        <v>270</v>
      </c>
      <c r="E749" s="92">
        <v>1285.3699999999999</v>
      </c>
    </row>
    <row r="750" spans="2:5" x14ac:dyDescent="0.25">
      <c r="B750" s="91" t="s">
        <v>492</v>
      </c>
      <c r="C750" s="91" t="s">
        <v>265</v>
      </c>
      <c r="D750" s="91" t="s">
        <v>266</v>
      </c>
      <c r="E750" s="92">
        <v>212.57</v>
      </c>
    </row>
    <row r="751" spans="2:5" x14ac:dyDescent="0.25">
      <c r="B751" s="91" t="s">
        <v>492</v>
      </c>
      <c r="C751" s="91" t="s">
        <v>265</v>
      </c>
      <c r="D751" s="91" t="s">
        <v>269</v>
      </c>
      <c r="E751" s="92">
        <v>1469.48</v>
      </c>
    </row>
    <row r="752" spans="2:5" x14ac:dyDescent="0.25">
      <c r="B752" s="91" t="s">
        <v>492</v>
      </c>
      <c r="C752" s="91" t="s">
        <v>265</v>
      </c>
      <c r="D752" s="91" t="s">
        <v>270</v>
      </c>
      <c r="E752" s="92">
        <v>4279.24</v>
      </c>
    </row>
    <row r="753" spans="2:5" x14ac:dyDescent="0.25">
      <c r="B753" s="91" t="s">
        <v>318</v>
      </c>
      <c r="C753" s="91" t="s">
        <v>276</v>
      </c>
      <c r="D753" s="91" t="s">
        <v>266</v>
      </c>
      <c r="E753" s="92">
        <v>1042.25</v>
      </c>
    </row>
    <row r="754" spans="2:5" x14ac:dyDescent="0.25">
      <c r="B754" s="91" t="s">
        <v>318</v>
      </c>
      <c r="C754" s="91" t="s">
        <v>276</v>
      </c>
      <c r="D754" s="91" t="s">
        <v>270</v>
      </c>
      <c r="E754" s="92">
        <v>5010.7415000000001</v>
      </c>
    </row>
    <row r="755" spans="2:5" x14ac:dyDescent="0.25">
      <c r="B755" s="91" t="s">
        <v>617</v>
      </c>
      <c r="C755" s="91" t="s">
        <v>273</v>
      </c>
      <c r="D755" s="91" t="s">
        <v>269</v>
      </c>
      <c r="E755" s="92">
        <v>2932.99</v>
      </c>
    </row>
    <row r="756" spans="2:5" x14ac:dyDescent="0.25">
      <c r="B756" s="91" t="s">
        <v>617</v>
      </c>
      <c r="C756" s="91" t="s">
        <v>273</v>
      </c>
      <c r="D756" s="91" t="s">
        <v>269</v>
      </c>
      <c r="E756" s="92">
        <v>9194.7999999999993</v>
      </c>
    </row>
    <row r="757" spans="2:5" x14ac:dyDescent="0.25">
      <c r="B757" s="91" t="s">
        <v>617</v>
      </c>
      <c r="C757" s="91" t="s">
        <v>273</v>
      </c>
      <c r="D757" s="91" t="s">
        <v>269</v>
      </c>
      <c r="E757" s="92">
        <v>2285.12</v>
      </c>
    </row>
    <row r="758" spans="2:5" x14ac:dyDescent="0.25">
      <c r="B758" s="91" t="s">
        <v>618</v>
      </c>
      <c r="C758" s="91" t="s">
        <v>4</v>
      </c>
      <c r="D758" s="91" t="s">
        <v>270</v>
      </c>
      <c r="E758" s="92">
        <v>525.55499999999995</v>
      </c>
    </row>
    <row r="759" spans="2:5" x14ac:dyDescent="0.25">
      <c r="B759" s="91" t="s">
        <v>618</v>
      </c>
      <c r="C759" s="91" t="s">
        <v>4</v>
      </c>
      <c r="D759" s="91" t="s">
        <v>270</v>
      </c>
      <c r="E759" s="92">
        <v>276.029</v>
      </c>
    </row>
    <row r="760" spans="2:5" x14ac:dyDescent="0.25">
      <c r="B760" s="91" t="s">
        <v>618</v>
      </c>
      <c r="C760" s="91" t="s">
        <v>4</v>
      </c>
      <c r="D760" s="91" t="s">
        <v>270</v>
      </c>
      <c r="E760" s="92">
        <v>187.20400000000001</v>
      </c>
    </row>
    <row r="761" spans="2:5" x14ac:dyDescent="0.25">
      <c r="B761" s="91" t="s">
        <v>619</v>
      </c>
      <c r="C761" s="91" t="s">
        <v>276</v>
      </c>
      <c r="D761" s="91" t="s">
        <v>266</v>
      </c>
      <c r="E761" s="92">
        <v>434.73</v>
      </c>
    </row>
    <row r="762" spans="2:5" x14ac:dyDescent="0.25">
      <c r="B762" s="91" t="s">
        <v>619</v>
      </c>
      <c r="C762" s="91" t="s">
        <v>276</v>
      </c>
      <c r="D762" s="91" t="s">
        <v>266</v>
      </c>
      <c r="E762" s="92">
        <v>7017.42</v>
      </c>
    </row>
    <row r="763" spans="2:5" x14ac:dyDescent="0.25">
      <c r="B763" s="91" t="s">
        <v>620</v>
      </c>
      <c r="C763" s="91" t="s">
        <v>4</v>
      </c>
      <c r="D763" s="91" t="s">
        <v>269</v>
      </c>
      <c r="E763" s="92">
        <v>54.28</v>
      </c>
    </row>
    <row r="764" spans="2:5" x14ac:dyDescent="0.25">
      <c r="B764" s="91" t="s">
        <v>358</v>
      </c>
      <c r="C764" s="91" t="s">
        <v>273</v>
      </c>
      <c r="D764" s="91" t="s">
        <v>269</v>
      </c>
      <c r="E764" s="92">
        <v>4888.1400000000003</v>
      </c>
    </row>
    <row r="765" spans="2:5" x14ac:dyDescent="0.25">
      <c r="B765" s="91" t="s">
        <v>358</v>
      </c>
      <c r="C765" s="91" t="s">
        <v>273</v>
      </c>
      <c r="D765" s="91" t="s">
        <v>266</v>
      </c>
      <c r="E765" s="92">
        <v>63.87</v>
      </c>
    </row>
    <row r="766" spans="2:5" x14ac:dyDescent="0.25">
      <c r="B766" s="91" t="s">
        <v>306</v>
      </c>
      <c r="C766" s="91" t="s">
        <v>276</v>
      </c>
      <c r="D766" s="91" t="s">
        <v>269</v>
      </c>
      <c r="E766" s="92">
        <v>260.12</v>
      </c>
    </row>
    <row r="767" spans="2:5" x14ac:dyDescent="0.25">
      <c r="B767" s="91" t="s">
        <v>478</v>
      </c>
      <c r="C767" s="91" t="s">
        <v>265</v>
      </c>
      <c r="D767" s="91" t="s">
        <v>266</v>
      </c>
      <c r="E767" s="92">
        <v>88.82</v>
      </c>
    </row>
    <row r="768" spans="2:5" x14ac:dyDescent="0.25">
      <c r="B768" s="91" t="s">
        <v>478</v>
      </c>
      <c r="C768" s="91" t="s">
        <v>265</v>
      </c>
      <c r="D768" s="91" t="s">
        <v>269</v>
      </c>
      <c r="E768" s="92">
        <v>2392.23</v>
      </c>
    </row>
    <row r="769" spans="2:5" x14ac:dyDescent="0.25">
      <c r="B769" s="91" t="s">
        <v>621</v>
      </c>
      <c r="C769" s="91" t="s">
        <v>4</v>
      </c>
      <c r="D769" s="91" t="s">
        <v>266</v>
      </c>
      <c r="E769" s="92">
        <v>48.91</v>
      </c>
    </row>
    <row r="770" spans="2:5" x14ac:dyDescent="0.25">
      <c r="B770" s="91" t="s">
        <v>306</v>
      </c>
      <c r="C770" s="91" t="s">
        <v>4</v>
      </c>
      <c r="D770" s="91" t="s">
        <v>266</v>
      </c>
      <c r="E770" s="92">
        <v>284.62</v>
      </c>
    </row>
    <row r="771" spans="2:5" x14ac:dyDescent="0.25">
      <c r="B771" s="91" t="s">
        <v>622</v>
      </c>
      <c r="C771" s="91" t="s">
        <v>276</v>
      </c>
      <c r="D771" s="91" t="s">
        <v>266</v>
      </c>
      <c r="E771" s="92">
        <v>226.83</v>
      </c>
    </row>
    <row r="772" spans="2:5" x14ac:dyDescent="0.25">
      <c r="B772" s="91" t="s">
        <v>622</v>
      </c>
      <c r="C772" s="91" t="s">
        <v>276</v>
      </c>
      <c r="D772" s="91" t="s">
        <v>266</v>
      </c>
      <c r="E772" s="92">
        <v>278.92</v>
      </c>
    </row>
    <row r="773" spans="2:5" x14ac:dyDescent="0.25">
      <c r="B773" s="91" t="s">
        <v>623</v>
      </c>
      <c r="C773" s="91" t="s">
        <v>265</v>
      </c>
      <c r="D773" s="91" t="s">
        <v>270</v>
      </c>
      <c r="E773" s="92">
        <v>885.94</v>
      </c>
    </row>
    <row r="774" spans="2:5" x14ac:dyDescent="0.25">
      <c r="B774" s="91" t="s">
        <v>284</v>
      </c>
      <c r="C774" s="91" t="s">
        <v>273</v>
      </c>
      <c r="D774" s="91" t="s">
        <v>266</v>
      </c>
      <c r="E774" s="92">
        <v>29.42</v>
      </c>
    </row>
    <row r="775" spans="2:5" x14ac:dyDescent="0.25">
      <c r="B775" s="91" t="s">
        <v>284</v>
      </c>
      <c r="C775" s="91" t="s">
        <v>273</v>
      </c>
      <c r="D775" s="91" t="s">
        <v>266</v>
      </c>
      <c r="E775" s="92">
        <v>46.48</v>
      </c>
    </row>
    <row r="776" spans="2:5" x14ac:dyDescent="0.25">
      <c r="B776" s="91" t="s">
        <v>383</v>
      </c>
      <c r="C776" s="91" t="s">
        <v>4</v>
      </c>
      <c r="D776" s="91" t="s">
        <v>266</v>
      </c>
      <c r="E776" s="92">
        <v>433.68</v>
      </c>
    </row>
    <row r="777" spans="2:5" x14ac:dyDescent="0.25">
      <c r="B777" s="91" t="s">
        <v>385</v>
      </c>
      <c r="C777" s="91" t="s">
        <v>4</v>
      </c>
      <c r="D777" s="91" t="s">
        <v>266</v>
      </c>
      <c r="E777" s="92">
        <v>216.08</v>
      </c>
    </row>
    <row r="778" spans="2:5" x14ac:dyDescent="0.25">
      <c r="B778" s="91" t="s">
        <v>385</v>
      </c>
      <c r="C778" s="91" t="s">
        <v>4</v>
      </c>
      <c r="D778" s="91" t="s">
        <v>266</v>
      </c>
      <c r="E778" s="92">
        <v>339.03</v>
      </c>
    </row>
    <row r="779" spans="2:5" x14ac:dyDescent="0.25">
      <c r="B779" s="91" t="s">
        <v>385</v>
      </c>
      <c r="C779" s="91" t="s">
        <v>4</v>
      </c>
      <c r="D779" s="91" t="s">
        <v>270</v>
      </c>
      <c r="E779" s="92">
        <v>1098.1490000000001</v>
      </c>
    </row>
    <row r="780" spans="2:5" x14ac:dyDescent="0.25">
      <c r="B780" s="91" t="s">
        <v>624</v>
      </c>
      <c r="C780" s="91" t="s">
        <v>265</v>
      </c>
      <c r="D780" s="91" t="s">
        <v>266</v>
      </c>
      <c r="E780" s="92">
        <v>355.69</v>
      </c>
    </row>
    <row r="781" spans="2:5" x14ac:dyDescent="0.25">
      <c r="B781" s="91" t="s">
        <v>625</v>
      </c>
      <c r="C781" s="91" t="s">
        <v>265</v>
      </c>
      <c r="D781" s="91" t="s">
        <v>266</v>
      </c>
      <c r="E781" s="92">
        <v>49.55</v>
      </c>
    </row>
    <row r="782" spans="2:5" x14ac:dyDescent="0.25">
      <c r="B782" s="91" t="s">
        <v>625</v>
      </c>
      <c r="C782" s="91" t="s">
        <v>265</v>
      </c>
      <c r="D782" s="91" t="s">
        <v>270</v>
      </c>
      <c r="E782" s="92">
        <v>606.55999999999995</v>
      </c>
    </row>
    <row r="783" spans="2:5" x14ac:dyDescent="0.25">
      <c r="B783" s="91" t="s">
        <v>626</v>
      </c>
      <c r="C783" s="91" t="s">
        <v>4</v>
      </c>
      <c r="D783" s="91" t="s">
        <v>266</v>
      </c>
      <c r="E783" s="92">
        <v>129.62</v>
      </c>
    </row>
    <row r="784" spans="2:5" x14ac:dyDescent="0.25">
      <c r="B784" s="91" t="s">
        <v>627</v>
      </c>
      <c r="C784" s="91" t="s">
        <v>273</v>
      </c>
      <c r="D784" s="91" t="s">
        <v>266</v>
      </c>
      <c r="E784" s="92">
        <v>68.459999999999994</v>
      </c>
    </row>
    <row r="785" spans="2:5" x14ac:dyDescent="0.25">
      <c r="B785" s="91" t="s">
        <v>627</v>
      </c>
      <c r="C785" s="91" t="s">
        <v>273</v>
      </c>
      <c r="D785" s="91" t="s">
        <v>269</v>
      </c>
      <c r="E785" s="92">
        <v>885.23</v>
      </c>
    </row>
    <row r="786" spans="2:5" x14ac:dyDescent="0.25">
      <c r="B786" s="91" t="s">
        <v>554</v>
      </c>
      <c r="C786" s="91" t="s">
        <v>273</v>
      </c>
      <c r="D786" s="91" t="s">
        <v>266</v>
      </c>
      <c r="E786" s="92">
        <v>116.38</v>
      </c>
    </row>
    <row r="787" spans="2:5" x14ac:dyDescent="0.25">
      <c r="B787" s="91" t="s">
        <v>423</v>
      </c>
      <c r="C787" s="91" t="s">
        <v>4</v>
      </c>
      <c r="D787" s="91" t="s">
        <v>266</v>
      </c>
      <c r="E787" s="92">
        <v>129.44</v>
      </c>
    </row>
    <row r="788" spans="2:5" x14ac:dyDescent="0.25">
      <c r="B788" s="91" t="s">
        <v>423</v>
      </c>
      <c r="C788" s="91" t="s">
        <v>4</v>
      </c>
      <c r="D788" s="91" t="s">
        <v>270</v>
      </c>
      <c r="E788" s="92">
        <v>1829.3869999999997</v>
      </c>
    </row>
    <row r="789" spans="2:5" x14ac:dyDescent="0.25">
      <c r="B789" s="91" t="s">
        <v>543</v>
      </c>
      <c r="C789" s="91" t="s">
        <v>276</v>
      </c>
      <c r="D789" s="91" t="s">
        <v>266</v>
      </c>
      <c r="E789" s="92">
        <v>1281.28</v>
      </c>
    </row>
    <row r="790" spans="2:5" x14ac:dyDescent="0.25">
      <c r="B790" s="91" t="s">
        <v>543</v>
      </c>
      <c r="C790" s="91" t="s">
        <v>276</v>
      </c>
      <c r="D790" s="91" t="s">
        <v>269</v>
      </c>
      <c r="E790" s="92">
        <v>1940.31</v>
      </c>
    </row>
    <row r="791" spans="2:5" x14ac:dyDescent="0.25">
      <c r="B791" s="91" t="s">
        <v>543</v>
      </c>
      <c r="C791" s="91" t="s">
        <v>276</v>
      </c>
      <c r="D791" s="91" t="s">
        <v>270</v>
      </c>
      <c r="E791" s="92">
        <v>430.84800000000001</v>
      </c>
    </row>
    <row r="792" spans="2:5" x14ac:dyDescent="0.25">
      <c r="B792" s="91" t="s">
        <v>628</v>
      </c>
      <c r="C792" s="91" t="s">
        <v>4</v>
      </c>
      <c r="D792" s="91" t="s">
        <v>266</v>
      </c>
      <c r="E792" s="92">
        <v>703.54</v>
      </c>
    </row>
    <row r="793" spans="2:5" x14ac:dyDescent="0.25">
      <c r="B793" s="91" t="s">
        <v>628</v>
      </c>
      <c r="C793" s="91" t="s">
        <v>4</v>
      </c>
      <c r="D793" s="91" t="s">
        <v>266</v>
      </c>
      <c r="E793" s="92">
        <v>65.930000000000007</v>
      </c>
    </row>
    <row r="794" spans="2:5" x14ac:dyDescent="0.25">
      <c r="B794" s="91" t="s">
        <v>628</v>
      </c>
      <c r="C794" s="91" t="s">
        <v>4</v>
      </c>
      <c r="D794" s="91" t="s">
        <v>266</v>
      </c>
      <c r="E794" s="92">
        <v>67.3</v>
      </c>
    </row>
    <row r="795" spans="2:5" x14ac:dyDescent="0.25">
      <c r="B795" s="91" t="s">
        <v>629</v>
      </c>
      <c r="C795" s="91" t="s">
        <v>273</v>
      </c>
      <c r="D795" s="91" t="s">
        <v>269</v>
      </c>
      <c r="E795" s="92">
        <v>120.22</v>
      </c>
    </row>
    <row r="796" spans="2:5" x14ac:dyDescent="0.25">
      <c r="B796" s="91" t="s">
        <v>630</v>
      </c>
      <c r="C796" s="91" t="s">
        <v>4</v>
      </c>
      <c r="D796" s="91" t="s">
        <v>269</v>
      </c>
      <c r="E796" s="92">
        <v>118.97</v>
      </c>
    </row>
    <row r="797" spans="2:5" x14ac:dyDescent="0.25">
      <c r="B797" s="91" t="s">
        <v>631</v>
      </c>
      <c r="C797" s="91" t="s">
        <v>4</v>
      </c>
      <c r="D797" s="91" t="s">
        <v>270</v>
      </c>
      <c r="E797" s="92">
        <v>288.55</v>
      </c>
    </row>
    <row r="798" spans="2:5" x14ac:dyDescent="0.25">
      <c r="B798" s="91" t="s">
        <v>632</v>
      </c>
      <c r="C798" s="91" t="s">
        <v>4</v>
      </c>
      <c r="D798" s="91" t="s">
        <v>266</v>
      </c>
      <c r="E798" s="92">
        <v>254.69</v>
      </c>
    </row>
    <row r="799" spans="2:5" x14ac:dyDescent="0.25">
      <c r="B799" s="91" t="s">
        <v>633</v>
      </c>
      <c r="C799" s="91" t="s">
        <v>276</v>
      </c>
      <c r="D799" s="91" t="s">
        <v>269</v>
      </c>
      <c r="E799" s="92">
        <v>120.53</v>
      </c>
    </row>
    <row r="800" spans="2:5" x14ac:dyDescent="0.25">
      <c r="B800" s="91" t="s">
        <v>634</v>
      </c>
      <c r="C800" s="91" t="s">
        <v>273</v>
      </c>
      <c r="D800" s="91" t="s">
        <v>270</v>
      </c>
      <c r="E800" s="92">
        <v>61.871500000000005</v>
      </c>
    </row>
    <row r="801" spans="2:5" x14ac:dyDescent="0.25">
      <c r="B801" s="91" t="s">
        <v>635</v>
      </c>
      <c r="C801" s="91" t="s">
        <v>4</v>
      </c>
      <c r="D801" s="91" t="s">
        <v>266</v>
      </c>
      <c r="E801" s="92">
        <v>198.78</v>
      </c>
    </row>
    <row r="802" spans="2:5" x14ac:dyDescent="0.25">
      <c r="B802" s="91" t="s">
        <v>635</v>
      </c>
      <c r="C802" s="91" t="s">
        <v>4</v>
      </c>
      <c r="D802" s="91" t="s">
        <v>269</v>
      </c>
      <c r="E802" s="92">
        <v>281.58</v>
      </c>
    </row>
    <row r="803" spans="2:5" x14ac:dyDescent="0.25">
      <c r="B803" s="91" t="s">
        <v>636</v>
      </c>
      <c r="C803" s="91" t="s">
        <v>265</v>
      </c>
      <c r="D803" s="91" t="s">
        <v>266</v>
      </c>
      <c r="E803" s="92">
        <v>138.16999999999999</v>
      </c>
    </row>
    <row r="804" spans="2:5" x14ac:dyDescent="0.25">
      <c r="B804" s="91" t="s">
        <v>637</v>
      </c>
      <c r="C804" s="91" t="s">
        <v>265</v>
      </c>
      <c r="D804" s="91" t="s">
        <v>266</v>
      </c>
      <c r="E804" s="92">
        <v>501.38</v>
      </c>
    </row>
    <row r="805" spans="2:5" x14ac:dyDescent="0.25">
      <c r="B805" s="91" t="s">
        <v>638</v>
      </c>
      <c r="C805" s="91" t="s">
        <v>276</v>
      </c>
      <c r="D805" s="91" t="s">
        <v>266</v>
      </c>
      <c r="E805" s="92">
        <v>2206.17</v>
      </c>
    </row>
    <row r="806" spans="2:5" x14ac:dyDescent="0.25">
      <c r="B806" s="91" t="s">
        <v>638</v>
      </c>
      <c r="C806" s="91" t="s">
        <v>276</v>
      </c>
      <c r="D806" s="91" t="s">
        <v>266</v>
      </c>
      <c r="E806" s="92">
        <v>621.12</v>
      </c>
    </row>
    <row r="807" spans="2:5" x14ac:dyDescent="0.25">
      <c r="B807" s="91" t="s">
        <v>638</v>
      </c>
      <c r="C807" s="91" t="s">
        <v>276</v>
      </c>
      <c r="D807" s="91" t="s">
        <v>270</v>
      </c>
      <c r="E807" s="92">
        <v>175.92</v>
      </c>
    </row>
    <row r="808" spans="2:5" x14ac:dyDescent="0.25">
      <c r="B808" s="91" t="s">
        <v>373</v>
      </c>
      <c r="C808" s="91" t="s">
        <v>273</v>
      </c>
      <c r="D808" s="91" t="s">
        <v>266</v>
      </c>
      <c r="E808" s="92">
        <v>371.68</v>
      </c>
    </row>
    <row r="809" spans="2:5" x14ac:dyDescent="0.25">
      <c r="B809" s="91" t="s">
        <v>639</v>
      </c>
      <c r="C809" s="91" t="s">
        <v>276</v>
      </c>
      <c r="D809" s="91" t="s">
        <v>266</v>
      </c>
      <c r="E809" s="92">
        <v>297.05</v>
      </c>
    </row>
    <row r="810" spans="2:5" x14ac:dyDescent="0.25">
      <c r="B810" s="91" t="s">
        <v>639</v>
      </c>
      <c r="C810" s="91" t="s">
        <v>276</v>
      </c>
      <c r="D810" s="91" t="s">
        <v>266</v>
      </c>
      <c r="E810" s="92">
        <v>108.26</v>
      </c>
    </row>
    <row r="811" spans="2:5" x14ac:dyDescent="0.25">
      <c r="B811" s="91" t="s">
        <v>640</v>
      </c>
      <c r="C811" s="91" t="s">
        <v>265</v>
      </c>
      <c r="D811" s="91" t="s">
        <v>266</v>
      </c>
      <c r="E811" s="92">
        <v>9.25</v>
      </c>
    </row>
    <row r="812" spans="2:5" x14ac:dyDescent="0.25">
      <c r="B812" s="91" t="s">
        <v>640</v>
      </c>
      <c r="C812" s="91" t="s">
        <v>265</v>
      </c>
      <c r="D812" s="91" t="s">
        <v>266</v>
      </c>
      <c r="E812" s="92">
        <v>573.89</v>
      </c>
    </row>
    <row r="813" spans="2:5" x14ac:dyDescent="0.25">
      <c r="B813" s="91" t="s">
        <v>410</v>
      </c>
      <c r="C813" s="91" t="s">
        <v>4</v>
      </c>
      <c r="D813" s="91" t="s">
        <v>270</v>
      </c>
      <c r="E813" s="92">
        <v>2039.39</v>
      </c>
    </row>
    <row r="814" spans="2:5" x14ac:dyDescent="0.25">
      <c r="B814" s="91" t="s">
        <v>428</v>
      </c>
      <c r="C814" s="91" t="s">
        <v>276</v>
      </c>
      <c r="D814" s="91" t="s">
        <v>266</v>
      </c>
      <c r="E814" s="92">
        <v>357.96</v>
      </c>
    </row>
    <row r="815" spans="2:5" x14ac:dyDescent="0.25">
      <c r="B815" s="91" t="s">
        <v>320</v>
      </c>
      <c r="C815" s="91" t="s">
        <v>273</v>
      </c>
      <c r="D815" s="91" t="s">
        <v>269</v>
      </c>
      <c r="E815" s="92">
        <v>2665.64</v>
      </c>
    </row>
    <row r="816" spans="2:5" x14ac:dyDescent="0.25">
      <c r="B816" s="91" t="s">
        <v>641</v>
      </c>
      <c r="C816" s="91" t="s">
        <v>273</v>
      </c>
      <c r="D816" s="91" t="s">
        <v>269</v>
      </c>
      <c r="E816" s="92">
        <v>5261.73</v>
      </c>
    </row>
    <row r="817" spans="2:5" x14ac:dyDescent="0.25">
      <c r="B817" s="91" t="s">
        <v>642</v>
      </c>
      <c r="C817" s="91" t="s">
        <v>265</v>
      </c>
      <c r="D817" s="91" t="s">
        <v>266</v>
      </c>
      <c r="E817" s="92">
        <v>193.79</v>
      </c>
    </row>
    <row r="818" spans="2:5" x14ac:dyDescent="0.25">
      <c r="B818" s="91" t="s">
        <v>277</v>
      </c>
      <c r="C818" s="91" t="s">
        <v>4</v>
      </c>
      <c r="D818" s="91" t="s">
        <v>266</v>
      </c>
      <c r="E818" s="92">
        <v>849.46</v>
      </c>
    </row>
    <row r="819" spans="2:5" x14ac:dyDescent="0.25">
      <c r="B819" s="91" t="s">
        <v>643</v>
      </c>
      <c r="C819" s="91" t="s">
        <v>265</v>
      </c>
      <c r="D819" s="91" t="s">
        <v>266</v>
      </c>
      <c r="E819" s="92">
        <v>163.54</v>
      </c>
    </row>
    <row r="820" spans="2:5" x14ac:dyDescent="0.25">
      <c r="B820" s="91" t="s">
        <v>643</v>
      </c>
      <c r="C820" s="91" t="s">
        <v>265</v>
      </c>
      <c r="D820" s="91" t="s">
        <v>270</v>
      </c>
      <c r="E820" s="92">
        <v>2390.54</v>
      </c>
    </row>
    <row r="821" spans="2:5" x14ac:dyDescent="0.25">
      <c r="B821" s="91" t="s">
        <v>457</v>
      </c>
      <c r="C821" s="91" t="s">
        <v>265</v>
      </c>
      <c r="D821" s="91" t="s">
        <v>266</v>
      </c>
      <c r="E821" s="92">
        <v>9626.86</v>
      </c>
    </row>
    <row r="822" spans="2:5" x14ac:dyDescent="0.25">
      <c r="B822" s="91" t="s">
        <v>571</v>
      </c>
      <c r="C822" s="91" t="s">
        <v>273</v>
      </c>
      <c r="D822" s="91" t="s">
        <v>269</v>
      </c>
      <c r="E822" s="92">
        <v>6005.21</v>
      </c>
    </row>
    <row r="823" spans="2:5" x14ac:dyDescent="0.25">
      <c r="B823" s="91" t="s">
        <v>644</v>
      </c>
      <c r="C823" s="91" t="s">
        <v>4</v>
      </c>
      <c r="D823" s="91" t="s">
        <v>269</v>
      </c>
      <c r="E823" s="92">
        <v>2012.14</v>
      </c>
    </row>
    <row r="824" spans="2:5" x14ac:dyDescent="0.25">
      <c r="B824" s="91" t="s">
        <v>492</v>
      </c>
      <c r="C824" s="91" t="s">
        <v>265</v>
      </c>
      <c r="D824" s="91" t="s">
        <v>269</v>
      </c>
      <c r="E824" s="92">
        <v>10307.01</v>
      </c>
    </row>
    <row r="825" spans="2:5" x14ac:dyDescent="0.25">
      <c r="B825" s="91" t="s">
        <v>346</v>
      </c>
      <c r="C825" s="91" t="s">
        <v>265</v>
      </c>
      <c r="D825" s="91" t="s">
        <v>266</v>
      </c>
      <c r="E825" s="92">
        <v>2531.66</v>
      </c>
    </row>
    <row r="826" spans="2:5" x14ac:dyDescent="0.25">
      <c r="B826" s="91" t="s">
        <v>346</v>
      </c>
      <c r="C826" s="91" t="s">
        <v>265</v>
      </c>
      <c r="D826" s="91" t="s">
        <v>270</v>
      </c>
      <c r="E826" s="92">
        <v>5382.3104999999996</v>
      </c>
    </row>
    <row r="827" spans="2:5" x14ac:dyDescent="0.25">
      <c r="B827" s="91" t="s">
        <v>520</v>
      </c>
      <c r="C827" s="91" t="s">
        <v>276</v>
      </c>
      <c r="D827" s="91" t="s">
        <v>266</v>
      </c>
      <c r="E827" s="92">
        <v>56.73</v>
      </c>
    </row>
    <row r="828" spans="2:5" x14ac:dyDescent="0.25">
      <c r="B828" s="91" t="s">
        <v>645</v>
      </c>
      <c r="C828" s="91" t="s">
        <v>4</v>
      </c>
      <c r="D828" s="91" t="s">
        <v>269</v>
      </c>
      <c r="E828" s="92">
        <v>933.21</v>
      </c>
    </row>
    <row r="829" spans="2:5" x14ac:dyDescent="0.25">
      <c r="B829" s="91" t="s">
        <v>646</v>
      </c>
      <c r="C829" s="91" t="s">
        <v>276</v>
      </c>
      <c r="D829" s="91" t="s">
        <v>270</v>
      </c>
      <c r="E829" s="92">
        <v>813.53499999999997</v>
      </c>
    </row>
    <row r="830" spans="2:5" x14ac:dyDescent="0.25">
      <c r="B830" s="91" t="s">
        <v>320</v>
      </c>
      <c r="C830" s="91" t="s">
        <v>273</v>
      </c>
      <c r="D830" s="91" t="s">
        <v>266</v>
      </c>
      <c r="E830" s="92">
        <v>44.45</v>
      </c>
    </row>
    <row r="831" spans="2:5" x14ac:dyDescent="0.25">
      <c r="B831" s="91" t="s">
        <v>647</v>
      </c>
      <c r="C831" s="91" t="s">
        <v>4</v>
      </c>
      <c r="D831" s="91" t="s">
        <v>266</v>
      </c>
      <c r="E831" s="92">
        <v>384.33</v>
      </c>
    </row>
    <row r="832" spans="2:5" x14ac:dyDescent="0.25">
      <c r="B832" s="91" t="s">
        <v>647</v>
      </c>
      <c r="C832" s="91" t="s">
        <v>4</v>
      </c>
      <c r="D832" s="91" t="s">
        <v>266</v>
      </c>
      <c r="E832" s="92">
        <v>239.03</v>
      </c>
    </row>
    <row r="833" spans="2:5" x14ac:dyDescent="0.25">
      <c r="B833" s="91" t="s">
        <v>648</v>
      </c>
      <c r="C833" s="91" t="s">
        <v>276</v>
      </c>
      <c r="D833" s="91" t="s">
        <v>266</v>
      </c>
      <c r="E833" s="92">
        <v>582.59</v>
      </c>
    </row>
    <row r="834" spans="2:5" x14ac:dyDescent="0.25">
      <c r="B834" s="91" t="s">
        <v>649</v>
      </c>
      <c r="C834" s="91" t="s">
        <v>4</v>
      </c>
      <c r="D834" s="91" t="s">
        <v>266</v>
      </c>
      <c r="E834" s="92">
        <v>384.74</v>
      </c>
    </row>
    <row r="835" spans="2:5" x14ac:dyDescent="0.25">
      <c r="B835" s="91" t="s">
        <v>650</v>
      </c>
      <c r="C835" s="91" t="s">
        <v>273</v>
      </c>
      <c r="D835" s="91" t="s">
        <v>269</v>
      </c>
      <c r="E835" s="92">
        <v>3922.42</v>
      </c>
    </row>
    <row r="836" spans="2:5" x14ac:dyDescent="0.25">
      <c r="B836" s="91" t="s">
        <v>650</v>
      </c>
      <c r="C836" s="91" t="s">
        <v>273</v>
      </c>
      <c r="D836" s="91" t="s">
        <v>270</v>
      </c>
      <c r="E836" s="92">
        <v>1733.3625</v>
      </c>
    </row>
    <row r="837" spans="2:5" x14ac:dyDescent="0.25">
      <c r="B837" s="91" t="s">
        <v>550</v>
      </c>
      <c r="C837" s="91" t="s">
        <v>4</v>
      </c>
      <c r="D837" s="91" t="s">
        <v>270</v>
      </c>
      <c r="E837" s="92">
        <v>18316.3</v>
      </c>
    </row>
    <row r="838" spans="2:5" x14ac:dyDescent="0.25">
      <c r="B838" s="91" t="s">
        <v>382</v>
      </c>
      <c r="C838" s="91" t="s">
        <v>265</v>
      </c>
      <c r="D838" s="91" t="s">
        <v>266</v>
      </c>
      <c r="E838" s="92">
        <v>68.319999999999993</v>
      </c>
    </row>
    <row r="839" spans="2:5" x14ac:dyDescent="0.25">
      <c r="B839" s="91" t="s">
        <v>382</v>
      </c>
      <c r="C839" s="91" t="s">
        <v>265</v>
      </c>
      <c r="D839" s="91" t="s">
        <v>269</v>
      </c>
      <c r="E839" s="92">
        <v>536.38</v>
      </c>
    </row>
    <row r="840" spans="2:5" x14ac:dyDescent="0.25">
      <c r="B840" s="91" t="s">
        <v>382</v>
      </c>
      <c r="C840" s="91" t="s">
        <v>265</v>
      </c>
      <c r="D840" s="91" t="s">
        <v>270</v>
      </c>
      <c r="E840" s="92">
        <v>391.87549999999999</v>
      </c>
    </row>
    <row r="841" spans="2:5" x14ac:dyDescent="0.25">
      <c r="B841" s="91" t="s">
        <v>603</v>
      </c>
      <c r="C841" s="91" t="s">
        <v>265</v>
      </c>
      <c r="D841" s="91" t="s">
        <v>270</v>
      </c>
      <c r="E841" s="92">
        <v>2036.97</v>
      </c>
    </row>
    <row r="842" spans="2:5" x14ac:dyDescent="0.25">
      <c r="B842" s="91" t="s">
        <v>603</v>
      </c>
      <c r="C842" s="91" t="s">
        <v>265</v>
      </c>
      <c r="D842" s="91" t="s">
        <v>269</v>
      </c>
      <c r="E842" s="92">
        <v>2629.6640000000002</v>
      </c>
    </row>
    <row r="843" spans="2:5" x14ac:dyDescent="0.25">
      <c r="B843" s="91" t="s">
        <v>468</v>
      </c>
      <c r="C843" s="91" t="s">
        <v>276</v>
      </c>
      <c r="D843" s="91" t="s">
        <v>266</v>
      </c>
      <c r="E843" s="92">
        <v>394.62</v>
      </c>
    </row>
    <row r="844" spans="2:5" x14ac:dyDescent="0.25">
      <c r="B844" s="91" t="s">
        <v>468</v>
      </c>
      <c r="C844" s="91" t="s">
        <v>276</v>
      </c>
      <c r="D844" s="91" t="s">
        <v>269</v>
      </c>
      <c r="E844" s="92">
        <v>464.64</v>
      </c>
    </row>
    <row r="845" spans="2:5" x14ac:dyDescent="0.25">
      <c r="B845" s="91" t="s">
        <v>468</v>
      </c>
      <c r="C845" s="91" t="s">
        <v>276</v>
      </c>
      <c r="D845" s="91" t="s">
        <v>269</v>
      </c>
      <c r="E845" s="92">
        <v>96.68</v>
      </c>
    </row>
    <row r="846" spans="2:5" x14ac:dyDescent="0.25">
      <c r="B846" s="91" t="s">
        <v>651</v>
      </c>
      <c r="C846" s="91" t="s">
        <v>265</v>
      </c>
      <c r="D846" s="91" t="s">
        <v>266</v>
      </c>
      <c r="E846" s="92">
        <v>5556.18</v>
      </c>
    </row>
    <row r="847" spans="2:5" x14ac:dyDescent="0.25">
      <c r="B847" s="91" t="s">
        <v>651</v>
      </c>
      <c r="C847" s="91" t="s">
        <v>265</v>
      </c>
      <c r="D847" s="91" t="s">
        <v>269</v>
      </c>
      <c r="E847" s="92">
        <v>1021.55</v>
      </c>
    </row>
    <row r="848" spans="2:5" x14ac:dyDescent="0.25">
      <c r="B848" s="91" t="s">
        <v>651</v>
      </c>
      <c r="C848" s="91" t="s">
        <v>265</v>
      </c>
      <c r="D848" s="91" t="s">
        <v>270</v>
      </c>
      <c r="E848" s="92">
        <v>205.24</v>
      </c>
    </row>
    <row r="849" spans="2:5" x14ac:dyDescent="0.25">
      <c r="B849" s="91" t="s">
        <v>302</v>
      </c>
      <c r="C849" s="91" t="s">
        <v>273</v>
      </c>
      <c r="D849" s="91" t="s">
        <v>270</v>
      </c>
      <c r="E849" s="92">
        <v>19109.61</v>
      </c>
    </row>
    <row r="850" spans="2:5" x14ac:dyDescent="0.25">
      <c r="B850" s="91" t="s">
        <v>652</v>
      </c>
      <c r="C850" s="91" t="s">
        <v>4</v>
      </c>
      <c r="D850" s="91" t="s">
        <v>266</v>
      </c>
      <c r="E850" s="92">
        <v>155.47999999999999</v>
      </c>
    </row>
    <row r="851" spans="2:5" x14ac:dyDescent="0.25">
      <c r="B851" s="91" t="s">
        <v>652</v>
      </c>
      <c r="C851" s="91" t="s">
        <v>4</v>
      </c>
      <c r="D851" s="91" t="s">
        <v>266</v>
      </c>
      <c r="E851" s="92">
        <v>56.77</v>
      </c>
    </row>
    <row r="852" spans="2:5" x14ac:dyDescent="0.25">
      <c r="B852" s="91" t="s">
        <v>653</v>
      </c>
      <c r="C852" s="91" t="s">
        <v>273</v>
      </c>
      <c r="D852" s="91" t="s">
        <v>266</v>
      </c>
      <c r="E852" s="92">
        <v>63.91</v>
      </c>
    </row>
    <row r="853" spans="2:5" x14ac:dyDescent="0.25">
      <c r="B853" s="91" t="s">
        <v>654</v>
      </c>
      <c r="C853" s="91" t="s">
        <v>273</v>
      </c>
      <c r="D853" s="91" t="s">
        <v>266</v>
      </c>
      <c r="E853" s="92">
        <v>208.28</v>
      </c>
    </row>
    <row r="854" spans="2:5" x14ac:dyDescent="0.25">
      <c r="B854" s="91" t="s">
        <v>655</v>
      </c>
      <c r="C854" s="91" t="s">
        <v>273</v>
      </c>
      <c r="D854" s="91" t="s">
        <v>269</v>
      </c>
      <c r="E854" s="92">
        <v>206.09</v>
      </c>
    </row>
    <row r="855" spans="2:5" x14ac:dyDescent="0.25">
      <c r="B855" s="91" t="s">
        <v>655</v>
      </c>
      <c r="C855" s="91" t="s">
        <v>273</v>
      </c>
      <c r="D855" s="91" t="s">
        <v>266</v>
      </c>
      <c r="E855" s="92">
        <v>124.25</v>
      </c>
    </row>
    <row r="856" spans="2:5" x14ac:dyDescent="0.25">
      <c r="B856" s="91" t="s">
        <v>656</v>
      </c>
      <c r="C856" s="91" t="s">
        <v>4</v>
      </c>
      <c r="D856" s="91" t="s">
        <v>266</v>
      </c>
      <c r="E856" s="92">
        <v>66.09</v>
      </c>
    </row>
    <row r="857" spans="2:5" x14ac:dyDescent="0.25">
      <c r="B857" s="91" t="s">
        <v>657</v>
      </c>
      <c r="C857" s="91" t="s">
        <v>265</v>
      </c>
      <c r="D857" s="91" t="s">
        <v>270</v>
      </c>
      <c r="E857" s="92">
        <v>261.94</v>
      </c>
    </row>
    <row r="858" spans="2:5" x14ac:dyDescent="0.25">
      <c r="B858" s="91" t="s">
        <v>657</v>
      </c>
      <c r="C858" s="91" t="s">
        <v>265</v>
      </c>
      <c r="D858" s="91" t="s">
        <v>269</v>
      </c>
      <c r="E858" s="92">
        <v>9574.82</v>
      </c>
    </row>
    <row r="859" spans="2:5" x14ac:dyDescent="0.25">
      <c r="B859" s="91" t="s">
        <v>658</v>
      </c>
      <c r="C859" s="91" t="s">
        <v>4</v>
      </c>
      <c r="D859" s="91" t="s">
        <v>266</v>
      </c>
      <c r="E859" s="92">
        <v>16.079999999999998</v>
      </c>
    </row>
    <row r="860" spans="2:5" x14ac:dyDescent="0.25">
      <c r="B860" s="91" t="s">
        <v>419</v>
      </c>
      <c r="C860" s="91" t="s">
        <v>4</v>
      </c>
      <c r="D860" s="91" t="s">
        <v>269</v>
      </c>
      <c r="E860" s="92">
        <v>27.32</v>
      </c>
    </row>
    <row r="861" spans="2:5" x14ac:dyDescent="0.25">
      <c r="B861" s="91" t="s">
        <v>419</v>
      </c>
      <c r="C861" s="91" t="s">
        <v>4</v>
      </c>
      <c r="D861" s="91" t="s">
        <v>266</v>
      </c>
      <c r="E861" s="92">
        <v>643.30999999999995</v>
      </c>
    </row>
    <row r="862" spans="2:5" x14ac:dyDescent="0.25">
      <c r="B862" s="91" t="s">
        <v>659</v>
      </c>
      <c r="C862" s="91" t="s">
        <v>4</v>
      </c>
      <c r="D862" s="91" t="s">
        <v>266</v>
      </c>
      <c r="E862" s="92">
        <v>1734.72</v>
      </c>
    </row>
    <row r="863" spans="2:5" x14ac:dyDescent="0.25">
      <c r="B863" s="91" t="s">
        <v>656</v>
      </c>
      <c r="C863" s="91" t="s">
        <v>4</v>
      </c>
      <c r="D863" s="91" t="s">
        <v>269</v>
      </c>
      <c r="E863" s="92">
        <v>1597.37</v>
      </c>
    </row>
    <row r="864" spans="2:5" x14ac:dyDescent="0.25">
      <c r="B864" s="91" t="s">
        <v>656</v>
      </c>
      <c r="C864" s="91" t="s">
        <v>4</v>
      </c>
      <c r="D864" s="91" t="s">
        <v>270</v>
      </c>
      <c r="E864" s="92">
        <v>1753.9579999999999</v>
      </c>
    </row>
    <row r="865" spans="2:5" x14ac:dyDescent="0.25">
      <c r="B865" s="91" t="s">
        <v>318</v>
      </c>
      <c r="C865" s="91" t="s">
        <v>276</v>
      </c>
      <c r="D865" s="91" t="s">
        <v>269</v>
      </c>
      <c r="E865" s="92">
        <v>409.08</v>
      </c>
    </row>
    <row r="866" spans="2:5" x14ac:dyDescent="0.25">
      <c r="B866" s="91" t="s">
        <v>660</v>
      </c>
      <c r="C866" s="91" t="s">
        <v>4</v>
      </c>
      <c r="D866" s="91" t="s">
        <v>270</v>
      </c>
      <c r="E866" s="92">
        <v>150.77000000000001</v>
      </c>
    </row>
    <row r="867" spans="2:5" x14ac:dyDescent="0.25">
      <c r="B867" s="91" t="s">
        <v>660</v>
      </c>
      <c r="C867" s="91" t="s">
        <v>4</v>
      </c>
      <c r="D867" s="91" t="s">
        <v>266</v>
      </c>
      <c r="E867" s="92">
        <v>9620.82</v>
      </c>
    </row>
    <row r="868" spans="2:5" x14ac:dyDescent="0.25">
      <c r="B868" s="91" t="s">
        <v>520</v>
      </c>
      <c r="C868" s="91" t="s">
        <v>273</v>
      </c>
      <c r="D868" s="91" t="s">
        <v>269</v>
      </c>
      <c r="E868" s="92">
        <v>157.03</v>
      </c>
    </row>
    <row r="869" spans="2:5" x14ac:dyDescent="0.25">
      <c r="B869" s="91" t="s">
        <v>600</v>
      </c>
      <c r="C869" s="91" t="s">
        <v>4</v>
      </c>
      <c r="D869" s="91" t="s">
        <v>266</v>
      </c>
      <c r="E869" s="92">
        <v>67.349999999999994</v>
      </c>
    </row>
    <row r="870" spans="2:5" x14ac:dyDescent="0.25">
      <c r="B870" s="91" t="s">
        <v>600</v>
      </c>
      <c r="C870" s="91" t="s">
        <v>4</v>
      </c>
      <c r="D870" s="91" t="s">
        <v>269</v>
      </c>
      <c r="E870" s="92">
        <v>1472.31</v>
      </c>
    </row>
    <row r="871" spans="2:5" x14ac:dyDescent="0.25">
      <c r="B871" s="91" t="s">
        <v>661</v>
      </c>
      <c r="C871" s="91" t="s">
        <v>265</v>
      </c>
      <c r="D871" s="91" t="s">
        <v>269</v>
      </c>
      <c r="E871" s="92">
        <v>510.56</v>
      </c>
    </row>
    <row r="872" spans="2:5" x14ac:dyDescent="0.25">
      <c r="B872" s="91" t="s">
        <v>661</v>
      </c>
      <c r="C872" s="91" t="s">
        <v>265</v>
      </c>
      <c r="D872" s="91" t="s">
        <v>269</v>
      </c>
      <c r="E872" s="92">
        <v>389.52</v>
      </c>
    </row>
    <row r="873" spans="2:5" x14ac:dyDescent="0.25">
      <c r="B873" s="91" t="s">
        <v>662</v>
      </c>
      <c r="C873" s="91" t="s">
        <v>265</v>
      </c>
      <c r="D873" s="91" t="s">
        <v>266</v>
      </c>
      <c r="E873" s="92">
        <v>191.14</v>
      </c>
    </row>
    <row r="874" spans="2:5" x14ac:dyDescent="0.25">
      <c r="B874" s="91" t="s">
        <v>460</v>
      </c>
      <c r="C874" s="91" t="s">
        <v>276</v>
      </c>
      <c r="D874" s="91" t="s">
        <v>266</v>
      </c>
      <c r="E874" s="92">
        <v>477.53</v>
      </c>
    </row>
    <row r="875" spans="2:5" x14ac:dyDescent="0.25">
      <c r="B875" s="91" t="s">
        <v>460</v>
      </c>
      <c r="C875" s="91" t="s">
        <v>276</v>
      </c>
      <c r="D875" s="91" t="s">
        <v>270</v>
      </c>
      <c r="E875" s="92">
        <v>2690.7514999999999</v>
      </c>
    </row>
    <row r="876" spans="2:5" x14ac:dyDescent="0.25">
      <c r="B876" s="91" t="s">
        <v>326</v>
      </c>
      <c r="C876" s="91" t="s">
        <v>273</v>
      </c>
      <c r="D876" s="91" t="s">
        <v>270</v>
      </c>
      <c r="E876" s="92">
        <v>2443.3420000000001</v>
      </c>
    </row>
    <row r="877" spans="2:5" x14ac:dyDescent="0.25">
      <c r="B877" s="91" t="s">
        <v>463</v>
      </c>
      <c r="C877" s="91" t="s">
        <v>4</v>
      </c>
      <c r="D877" s="91" t="s">
        <v>266</v>
      </c>
      <c r="E877" s="92">
        <v>255.48</v>
      </c>
    </row>
    <row r="878" spans="2:5" x14ac:dyDescent="0.25">
      <c r="B878" s="91" t="s">
        <v>463</v>
      </c>
      <c r="C878" s="91" t="s">
        <v>4</v>
      </c>
      <c r="D878" s="91" t="s">
        <v>266</v>
      </c>
      <c r="E878" s="92">
        <v>130.32</v>
      </c>
    </row>
    <row r="879" spans="2:5" x14ac:dyDescent="0.25">
      <c r="B879" s="91" t="s">
        <v>382</v>
      </c>
      <c r="C879" s="91" t="s">
        <v>265</v>
      </c>
      <c r="D879" s="91" t="s">
        <v>266</v>
      </c>
      <c r="E879" s="92">
        <v>1991.93</v>
      </c>
    </row>
    <row r="880" spans="2:5" x14ac:dyDescent="0.25">
      <c r="B880" s="91" t="s">
        <v>422</v>
      </c>
      <c r="C880" s="91" t="s">
        <v>4</v>
      </c>
      <c r="D880" s="91" t="s">
        <v>266</v>
      </c>
      <c r="E880" s="92">
        <v>67.72</v>
      </c>
    </row>
    <row r="881" spans="2:5" x14ac:dyDescent="0.25">
      <c r="B881" s="91" t="s">
        <v>422</v>
      </c>
      <c r="C881" s="91" t="s">
        <v>4</v>
      </c>
      <c r="D881" s="91" t="s">
        <v>266</v>
      </c>
      <c r="E881" s="92">
        <v>68.64</v>
      </c>
    </row>
    <row r="882" spans="2:5" x14ac:dyDescent="0.25">
      <c r="B882" s="91" t="s">
        <v>663</v>
      </c>
      <c r="C882" s="91" t="s">
        <v>265</v>
      </c>
      <c r="D882" s="91" t="s">
        <v>266</v>
      </c>
      <c r="E882" s="92">
        <v>133.94</v>
      </c>
    </row>
    <row r="883" spans="2:5" x14ac:dyDescent="0.25">
      <c r="B883" s="91" t="s">
        <v>663</v>
      </c>
      <c r="C883" s="91" t="s">
        <v>265</v>
      </c>
      <c r="D883" s="91" t="s">
        <v>270</v>
      </c>
      <c r="E883" s="92">
        <v>5433.0895</v>
      </c>
    </row>
    <row r="884" spans="2:5" x14ac:dyDescent="0.25">
      <c r="B884" s="91" t="s">
        <v>494</v>
      </c>
      <c r="C884" s="91" t="s">
        <v>273</v>
      </c>
      <c r="D884" s="91" t="s">
        <v>266</v>
      </c>
      <c r="E884" s="92">
        <v>52.38</v>
      </c>
    </row>
    <row r="885" spans="2:5" x14ac:dyDescent="0.25">
      <c r="B885" s="91" t="s">
        <v>629</v>
      </c>
      <c r="C885" s="91" t="s">
        <v>4</v>
      </c>
      <c r="D885" s="91" t="s">
        <v>269</v>
      </c>
      <c r="E885" s="92">
        <v>497.4</v>
      </c>
    </row>
    <row r="886" spans="2:5" x14ac:dyDescent="0.25">
      <c r="B886" s="91" t="s">
        <v>629</v>
      </c>
      <c r="C886" s="91" t="s">
        <v>4</v>
      </c>
      <c r="D886" s="91" t="s">
        <v>269</v>
      </c>
      <c r="E886" s="92">
        <v>4965.384</v>
      </c>
    </row>
    <row r="887" spans="2:5" x14ac:dyDescent="0.25">
      <c r="B887" s="91" t="s">
        <v>629</v>
      </c>
      <c r="C887" s="91" t="s">
        <v>4</v>
      </c>
      <c r="D887" s="91" t="s">
        <v>270</v>
      </c>
      <c r="E887" s="92">
        <v>358.41950000000003</v>
      </c>
    </row>
    <row r="888" spans="2:5" x14ac:dyDescent="0.25">
      <c r="B888" s="91" t="s">
        <v>629</v>
      </c>
      <c r="C888" s="91" t="s">
        <v>4</v>
      </c>
      <c r="D888" s="91" t="s">
        <v>269</v>
      </c>
      <c r="E888" s="92">
        <v>3232.68</v>
      </c>
    </row>
    <row r="889" spans="2:5" x14ac:dyDescent="0.25">
      <c r="B889" s="91" t="s">
        <v>354</v>
      </c>
      <c r="C889" s="91" t="s">
        <v>273</v>
      </c>
      <c r="D889" s="91" t="s">
        <v>269</v>
      </c>
      <c r="E889" s="92">
        <v>46.36</v>
      </c>
    </row>
    <row r="890" spans="2:5" x14ac:dyDescent="0.25">
      <c r="B890" s="91" t="s">
        <v>452</v>
      </c>
      <c r="C890" s="91" t="s">
        <v>276</v>
      </c>
      <c r="D890" s="91" t="s">
        <v>266</v>
      </c>
      <c r="E890" s="92">
        <v>3283.74</v>
      </c>
    </row>
    <row r="891" spans="2:5" x14ac:dyDescent="0.25">
      <c r="B891" s="91" t="s">
        <v>664</v>
      </c>
      <c r="C891" s="91" t="s">
        <v>4</v>
      </c>
      <c r="D891" s="91" t="s">
        <v>266</v>
      </c>
      <c r="E891" s="92">
        <v>199.11</v>
      </c>
    </row>
    <row r="892" spans="2:5" x14ac:dyDescent="0.25">
      <c r="B892" s="91" t="s">
        <v>484</v>
      </c>
      <c r="C892" s="91" t="s">
        <v>4</v>
      </c>
      <c r="D892" s="91" t="s">
        <v>266</v>
      </c>
      <c r="E892" s="92">
        <v>29.79</v>
      </c>
    </row>
    <row r="893" spans="2:5" x14ac:dyDescent="0.25">
      <c r="B893" s="91" t="s">
        <v>665</v>
      </c>
      <c r="C893" s="91" t="s">
        <v>276</v>
      </c>
      <c r="D893" s="91" t="s">
        <v>269</v>
      </c>
      <c r="E893" s="92">
        <v>216.95</v>
      </c>
    </row>
    <row r="894" spans="2:5" x14ac:dyDescent="0.25">
      <c r="B894" s="91" t="s">
        <v>631</v>
      </c>
      <c r="C894" s="91" t="s">
        <v>4</v>
      </c>
      <c r="D894" s="91" t="s">
        <v>270</v>
      </c>
      <c r="E894" s="92">
        <v>1297.4485</v>
      </c>
    </row>
    <row r="895" spans="2:5" x14ac:dyDescent="0.25">
      <c r="B895" s="91" t="s">
        <v>666</v>
      </c>
      <c r="C895" s="91" t="s">
        <v>273</v>
      </c>
      <c r="D895" s="91" t="s">
        <v>266</v>
      </c>
      <c r="E895" s="92">
        <v>320.26</v>
      </c>
    </row>
    <row r="896" spans="2:5" x14ac:dyDescent="0.25">
      <c r="B896" s="91" t="s">
        <v>395</v>
      </c>
      <c r="C896" s="91" t="s">
        <v>4</v>
      </c>
      <c r="D896" s="91" t="s">
        <v>269</v>
      </c>
      <c r="E896" s="92">
        <v>3397.72</v>
      </c>
    </row>
    <row r="897" spans="2:5" x14ac:dyDescent="0.25">
      <c r="B897" s="91" t="s">
        <v>395</v>
      </c>
      <c r="C897" s="91" t="s">
        <v>4</v>
      </c>
      <c r="D897" s="91" t="s">
        <v>269</v>
      </c>
      <c r="E897" s="92">
        <v>449.42</v>
      </c>
    </row>
    <row r="898" spans="2:5" x14ac:dyDescent="0.25">
      <c r="B898" s="91" t="s">
        <v>277</v>
      </c>
      <c r="C898" s="91" t="s">
        <v>4</v>
      </c>
      <c r="D898" s="91" t="s">
        <v>266</v>
      </c>
      <c r="E898" s="92">
        <v>303.69</v>
      </c>
    </row>
    <row r="899" spans="2:5" x14ac:dyDescent="0.25">
      <c r="B899" s="91" t="s">
        <v>362</v>
      </c>
      <c r="C899" s="91" t="s">
        <v>4</v>
      </c>
      <c r="D899" s="91" t="s">
        <v>270</v>
      </c>
      <c r="E899" s="92">
        <v>19100.45</v>
      </c>
    </row>
    <row r="900" spans="2:5" x14ac:dyDescent="0.25">
      <c r="B900" s="91" t="s">
        <v>554</v>
      </c>
      <c r="C900" s="91" t="s">
        <v>4</v>
      </c>
      <c r="D900" s="91" t="s">
        <v>269</v>
      </c>
      <c r="E900" s="92">
        <v>14922.16</v>
      </c>
    </row>
    <row r="901" spans="2:5" x14ac:dyDescent="0.25">
      <c r="B901" s="91" t="s">
        <v>554</v>
      </c>
      <c r="C901" s="91" t="s">
        <v>273</v>
      </c>
      <c r="D901" s="91" t="s">
        <v>266</v>
      </c>
      <c r="E901" s="92">
        <v>62.77</v>
      </c>
    </row>
    <row r="902" spans="2:5" x14ac:dyDescent="0.25">
      <c r="B902" s="91" t="s">
        <v>667</v>
      </c>
      <c r="C902" s="91" t="s">
        <v>4</v>
      </c>
      <c r="D902" s="91" t="s">
        <v>270</v>
      </c>
      <c r="E902" s="92">
        <v>857.42</v>
      </c>
    </row>
    <row r="903" spans="2:5" x14ac:dyDescent="0.25">
      <c r="B903" s="91" t="s">
        <v>667</v>
      </c>
      <c r="C903" s="91" t="s">
        <v>4</v>
      </c>
      <c r="D903" s="91" t="s">
        <v>266</v>
      </c>
      <c r="E903" s="92">
        <v>2.2400000000000002</v>
      </c>
    </row>
    <row r="904" spans="2:5" x14ac:dyDescent="0.25">
      <c r="B904" s="91" t="s">
        <v>668</v>
      </c>
      <c r="C904" s="91" t="s">
        <v>4</v>
      </c>
      <c r="D904" s="91" t="s">
        <v>266</v>
      </c>
      <c r="E904" s="92">
        <v>373.33</v>
      </c>
    </row>
    <row r="905" spans="2:5" x14ac:dyDescent="0.25">
      <c r="B905" s="91" t="s">
        <v>421</v>
      </c>
      <c r="C905" s="91" t="s">
        <v>265</v>
      </c>
      <c r="D905" s="91" t="s">
        <v>266</v>
      </c>
      <c r="E905" s="92">
        <v>17874.259999999998</v>
      </c>
    </row>
    <row r="906" spans="2:5" x14ac:dyDescent="0.25">
      <c r="B906" s="91" t="s">
        <v>544</v>
      </c>
      <c r="C906" s="91" t="s">
        <v>273</v>
      </c>
      <c r="D906" s="91" t="s">
        <v>266</v>
      </c>
      <c r="E906" s="92">
        <v>92.63</v>
      </c>
    </row>
    <row r="907" spans="2:5" x14ac:dyDescent="0.25">
      <c r="B907" s="91" t="s">
        <v>393</v>
      </c>
      <c r="C907" s="91" t="s">
        <v>4</v>
      </c>
      <c r="D907" s="91" t="s">
        <v>266</v>
      </c>
      <c r="E907" s="92">
        <v>311.08</v>
      </c>
    </row>
    <row r="908" spans="2:5" x14ac:dyDescent="0.25">
      <c r="B908" s="91" t="s">
        <v>518</v>
      </c>
      <c r="C908" s="91" t="s">
        <v>273</v>
      </c>
      <c r="D908" s="91" t="s">
        <v>266</v>
      </c>
      <c r="E908" s="92">
        <v>159.26</v>
      </c>
    </row>
    <row r="909" spans="2:5" x14ac:dyDescent="0.25">
      <c r="B909" s="91" t="s">
        <v>464</v>
      </c>
      <c r="C909" s="91" t="s">
        <v>4</v>
      </c>
      <c r="D909" s="91" t="s">
        <v>266</v>
      </c>
      <c r="E909" s="92">
        <v>59.58</v>
      </c>
    </row>
    <row r="910" spans="2:5" x14ac:dyDescent="0.25">
      <c r="B910" s="91" t="s">
        <v>669</v>
      </c>
      <c r="C910" s="91" t="s">
        <v>4</v>
      </c>
      <c r="D910" s="91" t="s">
        <v>269</v>
      </c>
      <c r="E910" s="92">
        <v>75.72</v>
      </c>
    </row>
    <row r="911" spans="2:5" x14ac:dyDescent="0.25">
      <c r="B911" s="91" t="s">
        <v>669</v>
      </c>
      <c r="C911" s="91" t="s">
        <v>4</v>
      </c>
      <c r="D911" s="91" t="s">
        <v>266</v>
      </c>
      <c r="E911" s="92">
        <v>225.21</v>
      </c>
    </row>
    <row r="912" spans="2:5" x14ac:dyDescent="0.25">
      <c r="B912" s="91" t="s">
        <v>670</v>
      </c>
      <c r="C912" s="91" t="s">
        <v>276</v>
      </c>
      <c r="D912" s="91" t="s">
        <v>266</v>
      </c>
      <c r="E912" s="92">
        <v>57.84</v>
      </c>
    </row>
    <row r="913" spans="2:5" x14ac:dyDescent="0.25">
      <c r="B913" s="91" t="s">
        <v>670</v>
      </c>
      <c r="C913" s="91" t="s">
        <v>276</v>
      </c>
      <c r="D913" s="91" t="s">
        <v>269</v>
      </c>
      <c r="E913" s="92">
        <v>3991.99</v>
      </c>
    </row>
    <row r="914" spans="2:5" x14ac:dyDescent="0.25">
      <c r="B914" s="91" t="s">
        <v>671</v>
      </c>
      <c r="C914" s="91" t="s">
        <v>265</v>
      </c>
      <c r="D914" s="91" t="s">
        <v>266</v>
      </c>
      <c r="E914" s="92">
        <v>240.14</v>
      </c>
    </row>
    <row r="915" spans="2:5" x14ac:dyDescent="0.25">
      <c r="B915" s="91" t="s">
        <v>672</v>
      </c>
      <c r="C915" s="91" t="s">
        <v>273</v>
      </c>
      <c r="D915" s="91" t="s">
        <v>270</v>
      </c>
      <c r="E915" s="92">
        <v>336.85</v>
      </c>
    </row>
    <row r="916" spans="2:5" x14ac:dyDescent="0.25">
      <c r="B916" s="91" t="s">
        <v>316</v>
      </c>
      <c r="C916" s="91" t="s">
        <v>273</v>
      </c>
      <c r="D916" s="91" t="s">
        <v>270</v>
      </c>
      <c r="E916" s="92">
        <v>448.07</v>
      </c>
    </row>
    <row r="917" spans="2:5" x14ac:dyDescent="0.25">
      <c r="B917" s="91" t="s">
        <v>316</v>
      </c>
      <c r="C917" s="91" t="s">
        <v>273</v>
      </c>
      <c r="D917" s="91" t="s">
        <v>266</v>
      </c>
      <c r="E917" s="92">
        <v>38.29</v>
      </c>
    </row>
    <row r="918" spans="2:5" x14ac:dyDescent="0.25">
      <c r="B918" s="91" t="s">
        <v>656</v>
      </c>
      <c r="C918" s="91" t="s">
        <v>4</v>
      </c>
      <c r="D918" s="91" t="s">
        <v>266</v>
      </c>
      <c r="E918" s="92">
        <v>236.99</v>
      </c>
    </row>
    <row r="919" spans="2:5" x14ac:dyDescent="0.25">
      <c r="B919" s="91" t="s">
        <v>656</v>
      </c>
      <c r="C919" s="91" t="s">
        <v>4</v>
      </c>
      <c r="D919" s="91" t="s">
        <v>270</v>
      </c>
      <c r="E919" s="92">
        <v>4617.3359999999993</v>
      </c>
    </row>
    <row r="920" spans="2:5" x14ac:dyDescent="0.25">
      <c r="B920" s="91" t="s">
        <v>373</v>
      </c>
      <c r="C920" s="91" t="s">
        <v>273</v>
      </c>
      <c r="D920" s="91" t="s">
        <v>266</v>
      </c>
      <c r="E920" s="92">
        <v>116.11</v>
      </c>
    </row>
    <row r="921" spans="2:5" x14ac:dyDescent="0.25">
      <c r="B921" s="91" t="s">
        <v>373</v>
      </c>
      <c r="C921" s="91" t="s">
        <v>273</v>
      </c>
      <c r="D921" s="91" t="s">
        <v>266</v>
      </c>
      <c r="E921" s="92">
        <v>306.92</v>
      </c>
    </row>
    <row r="922" spans="2:5" x14ac:dyDescent="0.25">
      <c r="B922" s="91" t="s">
        <v>673</v>
      </c>
      <c r="C922" s="91" t="s">
        <v>265</v>
      </c>
      <c r="D922" s="91" t="s">
        <v>266</v>
      </c>
      <c r="E922" s="92">
        <v>89.71</v>
      </c>
    </row>
    <row r="923" spans="2:5" x14ac:dyDescent="0.25">
      <c r="B923" s="91" t="s">
        <v>674</v>
      </c>
      <c r="C923" s="91" t="s">
        <v>273</v>
      </c>
      <c r="D923" s="91" t="s">
        <v>266</v>
      </c>
      <c r="E923" s="92">
        <v>188.23</v>
      </c>
    </row>
    <row r="924" spans="2:5" x14ac:dyDescent="0.25">
      <c r="B924" s="91" t="s">
        <v>674</v>
      </c>
      <c r="C924" s="91" t="s">
        <v>273</v>
      </c>
      <c r="D924" s="91" t="s">
        <v>266</v>
      </c>
      <c r="E924" s="92">
        <v>541.95000000000005</v>
      </c>
    </row>
    <row r="925" spans="2:5" x14ac:dyDescent="0.25">
      <c r="B925" s="91" t="s">
        <v>596</v>
      </c>
      <c r="C925" s="91" t="s">
        <v>4</v>
      </c>
      <c r="D925" s="91" t="s">
        <v>266</v>
      </c>
      <c r="E925" s="92">
        <v>312.36</v>
      </c>
    </row>
    <row r="926" spans="2:5" x14ac:dyDescent="0.25">
      <c r="B926" s="91" t="s">
        <v>675</v>
      </c>
      <c r="C926" s="91" t="s">
        <v>4</v>
      </c>
      <c r="D926" s="91" t="s">
        <v>266</v>
      </c>
      <c r="E926" s="92">
        <v>169.18</v>
      </c>
    </row>
    <row r="927" spans="2:5" x14ac:dyDescent="0.25">
      <c r="B927" s="91" t="s">
        <v>675</v>
      </c>
      <c r="C927" s="91" t="s">
        <v>4</v>
      </c>
      <c r="D927" s="91" t="s">
        <v>269</v>
      </c>
      <c r="E927" s="92">
        <v>8252.3919999999998</v>
      </c>
    </row>
    <row r="928" spans="2:5" x14ac:dyDescent="0.25">
      <c r="B928" s="91" t="s">
        <v>622</v>
      </c>
      <c r="C928" s="91" t="s">
        <v>276</v>
      </c>
      <c r="D928" s="91" t="s">
        <v>270</v>
      </c>
      <c r="E928" s="92">
        <v>17274.87</v>
      </c>
    </row>
    <row r="929" spans="2:5" x14ac:dyDescent="0.25">
      <c r="B929" s="91" t="s">
        <v>676</v>
      </c>
      <c r="C929" s="91" t="s">
        <v>276</v>
      </c>
      <c r="D929" s="91" t="s">
        <v>270</v>
      </c>
      <c r="E929" s="92">
        <v>448.23</v>
      </c>
    </row>
    <row r="930" spans="2:5" x14ac:dyDescent="0.25">
      <c r="B930" s="91" t="s">
        <v>437</v>
      </c>
      <c r="C930" s="91" t="s">
        <v>4</v>
      </c>
      <c r="D930" s="91" t="s">
        <v>270</v>
      </c>
      <c r="E930" s="92">
        <v>748.83</v>
      </c>
    </row>
    <row r="931" spans="2:5" x14ac:dyDescent="0.25">
      <c r="B931" s="91" t="s">
        <v>332</v>
      </c>
      <c r="C931" s="91" t="s">
        <v>276</v>
      </c>
      <c r="D931" s="91" t="s">
        <v>266</v>
      </c>
      <c r="E931" s="92">
        <v>194.29</v>
      </c>
    </row>
    <row r="932" spans="2:5" x14ac:dyDescent="0.25">
      <c r="B932" s="91" t="s">
        <v>332</v>
      </c>
      <c r="C932" s="91" t="s">
        <v>276</v>
      </c>
      <c r="D932" s="91" t="s">
        <v>266</v>
      </c>
      <c r="E932" s="92">
        <v>1621.1</v>
      </c>
    </row>
    <row r="933" spans="2:5" x14ac:dyDescent="0.25">
      <c r="B933" s="91" t="s">
        <v>677</v>
      </c>
      <c r="C933" s="91" t="s">
        <v>4</v>
      </c>
      <c r="D933" s="91" t="s">
        <v>270</v>
      </c>
      <c r="E933" s="92">
        <v>18028.07</v>
      </c>
    </row>
    <row r="934" spans="2:5" x14ac:dyDescent="0.25">
      <c r="B934" s="91" t="s">
        <v>545</v>
      </c>
      <c r="C934" s="91" t="s">
        <v>4</v>
      </c>
      <c r="D934" s="91" t="s">
        <v>269</v>
      </c>
      <c r="E934" s="92">
        <v>21062.91</v>
      </c>
    </row>
    <row r="935" spans="2:5" x14ac:dyDescent="0.25">
      <c r="B935" s="91" t="s">
        <v>591</v>
      </c>
      <c r="C935" s="91" t="s">
        <v>265</v>
      </c>
      <c r="D935" s="91" t="s">
        <v>266</v>
      </c>
      <c r="E935" s="92">
        <v>1802</v>
      </c>
    </row>
    <row r="936" spans="2:5" x14ac:dyDescent="0.25">
      <c r="B936" s="91" t="s">
        <v>591</v>
      </c>
      <c r="C936" s="91" t="s">
        <v>265</v>
      </c>
      <c r="D936" s="91" t="s">
        <v>266</v>
      </c>
      <c r="E936" s="92">
        <v>1832.22</v>
      </c>
    </row>
    <row r="937" spans="2:5" x14ac:dyDescent="0.25">
      <c r="B937" s="91" t="s">
        <v>594</v>
      </c>
      <c r="C937" s="91" t="s">
        <v>265</v>
      </c>
      <c r="D937" s="91" t="s">
        <v>270</v>
      </c>
      <c r="E937" s="92">
        <v>19224.919999999998</v>
      </c>
    </row>
    <row r="938" spans="2:5" x14ac:dyDescent="0.25">
      <c r="B938" s="91" t="s">
        <v>594</v>
      </c>
      <c r="C938" s="91" t="s">
        <v>265</v>
      </c>
      <c r="D938" s="91" t="s">
        <v>269</v>
      </c>
      <c r="E938" s="92">
        <v>778.62</v>
      </c>
    </row>
    <row r="939" spans="2:5" x14ac:dyDescent="0.25">
      <c r="B939" s="91" t="s">
        <v>678</v>
      </c>
      <c r="C939" s="91" t="s">
        <v>4</v>
      </c>
      <c r="D939" s="91" t="s">
        <v>266</v>
      </c>
      <c r="E939" s="92">
        <v>40.85</v>
      </c>
    </row>
    <row r="940" spans="2:5" x14ac:dyDescent="0.25">
      <c r="B940" s="91" t="s">
        <v>679</v>
      </c>
      <c r="C940" s="91" t="s">
        <v>4</v>
      </c>
      <c r="D940" s="91" t="s">
        <v>266</v>
      </c>
      <c r="E940" s="92">
        <v>295.24</v>
      </c>
    </row>
    <row r="941" spans="2:5" x14ac:dyDescent="0.25">
      <c r="B941" s="91" t="s">
        <v>546</v>
      </c>
      <c r="C941" s="91" t="s">
        <v>273</v>
      </c>
      <c r="D941" s="91" t="s">
        <v>266</v>
      </c>
      <c r="E941" s="92">
        <v>164.62</v>
      </c>
    </row>
    <row r="942" spans="2:5" x14ac:dyDescent="0.25">
      <c r="B942" s="91" t="s">
        <v>546</v>
      </c>
      <c r="C942" s="91" t="s">
        <v>273</v>
      </c>
      <c r="D942" s="91" t="s">
        <v>269</v>
      </c>
      <c r="E942" s="92">
        <v>4225.7700000000004</v>
      </c>
    </row>
    <row r="943" spans="2:5" x14ac:dyDescent="0.25">
      <c r="B943" s="91" t="s">
        <v>546</v>
      </c>
      <c r="C943" s="91" t="s">
        <v>273</v>
      </c>
      <c r="D943" s="91" t="s">
        <v>266</v>
      </c>
      <c r="E943" s="92">
        <v>53.89</v>
      </c>
    </row>
    <row r="944" spans="2:5" x14ac:dyDescent="0.25">
      <c r="B944" s="91" t="s">
        <v>680</v>
      </c>
      <c r="C944" s="91" t="s">
        <v>276</v>
      </c>
      <c r="D944" s="91" t="s">
        <v>266</v>
      </c>
      <c r="E944" s="92">
        <v>33.43</v>
      </c>
    </row>
    <row r="945" spans="2:5" x14ac:dyDescent="0.25">
      <c r="B945" s="91" t="s">
        <v>315</v>
      </c>
      <c r="C945" s="91" t="s">
        <v>265</v>
      </c>
      <c r="D945" s="91" t="s">
        <v>269</v>
      </c>
      <c r="E945" s="92">
        <v>53.14</v>
      </c>
    </row>
    <row r="946" spans="2:5" x14ac:dyDescent="0.25">
      <c r="B946" s="91" t="s">
        <v>681</v>
      </c>
      <c r="C946" s="91" t="s">
        <v>4</v>
      </c>
      <c r="D946" s="91" t="s">
        <v>270</v>
      </c>
      <c r="E946" s="92">
        <v>2388.636</v>
      </c>
    </row>
    <row r="947" spans="2:5" x14ac:dyDescent="0.25">
      <c r="B947" s="91" t="s">
        <v>371</v>
      </c>
      <c r="C947" s="91" t="s">
        <v>273</v>
      </c>
      <c r="D947" s="91" t="s">
        <v>266</v>
      </c>
      <c r="E947" s="92">
        <v>156.47</v>
      </c>
    </row>
    <row r="948" spans="2:5" x14ac:dyDescent="0.25">
      <c r="B948" s="91" t="s">
        <v>682</v>
      </c>
      <c r="C948" s="91" t="s">
        <v>265</v>
      </c>
      <c r="D948" s="91" t="s">
        <v>266</v>
      </c>
      <c r="E948" s="92">
        <v>869.78</v>
      </c>
    </row>
    <row r="949" spans="2:5" x14ac:dyDescent="0.25">
      <c r="B949" s="91" t="s">
        <v>682</v>
      </c>
      <c r="C949" s="91" t="s">
        <v>265</v>
      </c>
      <c r="D949" s="91" t="s">
        <v>269</v>
      </c>
      <c r="E949" s="92">
        <v>2503.0080000000003</v>
      </c>
    </row>
    <row r="950" spans="2:5" x14ac:dyDescent="0.25">
      <c r="B950" s="91" t="s">
        <v>668</v>
      </c>
      <c r="C950" s="91" t="s">
        <v>273</v>
      </c>
      <c r="D950" s="91" t="s">
        <v>269</v>
      </c>
      <c r="E950" s="92">
        <v>181.32</v>
      </c>
    </row>
    <row r="951" spans="2:5" x14ac:dyDescent="0.25">
      <c r="B951" s="91" t="s">
        <v>478</v>
      </c>
      <c r="C951" s="91" t="s">
        <v>265</v>
      </c>
      <c r="D951" s="91" t="s">
        <v>266</v>
      </c>
      <c r="E951" s="92">
        <v>127.84</v>
      </c>
    </row>
    <row r="952" spans="2:5" x14ac:dyDescent="0.25">
      <c r="B952" s="91" t="s">
        <v>478</v>
      </c>
      <c r="C952" s="91" t="s">
        <v>265</v>
      </c>
      <c r="D952" s="91" t="s">
        <v>266</v>
      </c>
      <c r="E952" s="92">
        <v>11.15</v>
      </c>
    </row>
    <row r="953" spans="2:5" x14ac:dyDescent="0.25">
      <c r="B953" s="91" t="s">
        <v>683</v>
      </c>
      <c r="C953" s="91" t="s">
        <v>265</v>
      </c>
      <c r="D953" s="91" t="s">
        <v>270</v>
      </c>
      <c r="E953" s="92">
        <v>730.33</v>
      </c>
    </row>
    <row r="954" spans="2:5" x14ac:dyDescent="0.25">
      <c r="B954" s="91" t="s">
        <v>451</v>
      </c>
      <c r="C954" s="91" t="s">
        <v>265</v>
      </c>
      <c r="D954" s="91" t="s">
        <v>266</v>
      </c>
      <c r="E954" s="92">
        <v>1262.72</v>
      </c>
    </row>
    <row r="955" spans="2:5" x14ac:dyDescent="0.25">
      <c r="B955" s="91" t="s">
        <v>451</v>
      </c>
      <c r="C955" s="91" t="s">
        <v>265</v>
      </c>
      <c r="D955" s="91" t="s">
        <v>270</v>
      </c>
      <c r="E955" s="92">
        <v>524.19000000000005</v>
      </c>
    </row>
    <row r="956" spans="2:5" x14ac:dyDescent="0.25">
      <c r="B956" s="91" t="s">
        <v>684</v>
      </c>
      <c r="C956" s="91" t="s">
        <v>276</v>
      </c>
      <c r="D956" s="91" t="s">
        <v>266</v>
      </c>
      <c r="E956" s="92">
        <v>116.84</v>
      </c>
    </row>
    <row r="957" spans="2:5" x14ac:dyDescent="0.25">
      <c r="B957" s="91" t="s">
        <v>685</v>
      </c>
      <c r="C957" s="91" t="s">
        <v>4</v>
      </c>
      <c r="D957" s="91" t="s">
        <v>270</v>
      </c>
      <c r="E957" s="92">
        <v>81.56</v>
      </c>
    </row>
    <row r="958" spans="2:5" x14ac:dyDescent="0.25">
      <c r="B958" s="91" t="s">
        <v>685</v>
      </c>
      <c r="C958" s="91" t="s">
        <v>4</v>
      </c>
      <c r="D958" s="91" t="s">
        <v>270</v>
      </c>
      <c r="E958" s="92">
        <v>2088.5</v>
      </c>
    </row>
    <row r="959" spans="2:5" x14ac:dyDescent="0.25">
      <c r="B959" s="91" t="s">
        <v>685</v>
      </c>
      <c r="C959" s="91" t="s">
        <v>4</v>
      </c>
      <c r="D959" s="91" t="s">
        <v>266</v>
      </c>
      <c r="E959" s="92">
        <v>2126.7199999999998</v>
      </c>
    </row>
    <row r="960" spans="2:5" x14ac:dyDescent="0.25">
      <c r="B960" s="91" t="s">
        <v>685</v>
      </c>
      <c r="C960" s="91" t="s">
        <v>4</v>
      </c>
      <c r="D960" s="91" t="s">
        <v>269</v>
      </c>
      <c r="E960" s="92">
        <v>3753.72</v>
      </c>
    </row>
    <row r="961" spans="2:5" x14ac:dyDescent="0.25">
      <c r="B961" s="91" t="s">
        <v>686</v>
      </c>
      <c r="C961" s="91" t="s">
        <v>276</v>
      </c>
      <c r="D961" s="91" t="s">
        <v>266</v>
      </c>
      <c r="E961" s="92">
        <v>22.13</v>
      </c>
    </row>
    <row r="962" spans="2:5" x14ac:dyDescent="0.25">
      <c r="B962" s="91" t="s">
        <v>686</v>
      </c>
      <c r="C962" s="91" t="s">
        <v>276</v>
      </c>
      <c r="D962" s="91" t="s">
        <v>269</v>
      </c>
      <c r="E962" s="92">
        <v>129.84</v>
      </c>
    </row>
    <row r="963" spans="2:5" x14ac:dyDescent="0.25">
      <c r="B963" s="91" t="s">
        <v>687</v>
      </c>
      <c r="C963" s="91" t="s">
        <v>276</v>
      </c>
      <c r="D963" s="91" t="s">
        <v>266</v>
      </c>
      <c r="E963" s="92">
        <v>235.49</v>
      </c>
    </row>
    <row r="964" spans="2:5" x14ac:dyDescent="0.25">
      <c r="B964" s="91" t="s">
        <v>654</v>
      </c>
      <c r="C964" s="91" t="s">
        <v>273</v>
      </c>
      <c r="D964" s="91" t="s">
        <v>266</v>
      </c>
      <c r="E964" s="92">
        <v>217</v>
      </c>
    </row>
    <row r="965" spans="2:5" x14ac:dyDescent="0.25">
      <c r="B965" s="91" t="s">
        <v>654</v>
      </c>
      <c r="C965" s="91" t="s">
        <v>273</v>
      </c>
      <c r="D965" s="91" t="s">
        <v>266</v>
      </c>
      <c r="E965" s="92">
        <v>296.13</v>
      </c>
    </row>
    <row r="966" spans="2:5" x14ac:dyDescent="0.25">
      <c r="B966" s="91" t="s">
        <v>688</v>
      </c>
      <c r="C966" s="91" t="s">
        <v>4</v>
      </c>
      <c r="D966" s="91" t="s">
        <v>269</v>
      </c>
      <c r="E966" s="92">
        <v>481.27</v>
      </c>
    </row>
    <row r="967" spans="2:5" x14ac:dyDescent="0.25">
      <c r="B967" s="91" t="s">
        <v>688</v>
      </c>
      <c r="C967" s="91" t="s">
        <v>4</v>
      </c>
      <c r="D967" s="91" t="s">
        <v>270</v>
      </c>
      <c r="E967" s="92">
        <v>879.54</v>
      </c>
    </row>
    <row r="968" spans="2:5" x14ac:dyDescent="0.25">
      <c r="B968" s="91" t="s">
        <v>370</v>
      </c>
      <c r="C968" s="91" t="s">
        <v>276</v>
      </c>
      <c r="D968" s="91" t="s">
        <v>266</v>
      </c>
      <c r="E968" s="92">
        <v>8177.07</v>
      </c>
    </row>
    <row r="969" spans="2:5" x14ac:dyDescent="0.25">
      <c r="B969" s="91" t="s">
        <v>671</v>
      </c>
      <c r="C969" s="91" t="s">
        <v>265</v>
      </c>
      <c r="D969" s="91" t="s">
        <v>266</v>
      </c>
      <c r="E969" s="92">
        <v>294.52</v>
      </c>
    </row>
    <row r="970" spans="2:5" x14ac:dyDescent="0.25">
      <c r="B970" s="91" t="s">
        <v>689</v>
      </c>
      <c r="C970" s="91" t="s">
        <v>276</v>
      </c>
      <c r="D970" s="91" t="s">
        <v>266</v>
      </c>
      <c r="E970" s="92">
        <v>436.17</v>
      </c>
    </row>
    <row r="971" spans="2:5" x14ac:dyDescent="0.25">
      <c r="B971" s="91" t="s">
        <v>690</v>
      </c>
      <c r="C971" s="91" t="s">
        <v>276</v>
      </c>
      <c r="D971" s="91" t="s">
        <v>270</v>
      </c>
      <c r="E971" s="92">
        <v>1559.5</v>
      </c>
    </row>
    <row r="972" spans="2:5" x14ac:dyDescent="0.25">
      <c r="B972" s="91" t="s">
        <v>691</v>
      </c>
      <c r="C972" s="91" t="s">
        <v>265</v>
      </c>
      <c r="D972" s="91" t="s">
        <v>269</v>
      </c>
      <c r="E972" s="92">
        <v>520.49</v>
      </c>
    </row>
    <row r="973" spans="2:5" x14ac:dyDescent="0.25">
      <c r="B973" s="91" t="s">
        <v>692</v>
      </c>
      <c r="C973" s="91" t="s">
        <v>4</v>
      </c>
      <c r="D973" s="91" t="s">
        <v>270</v>
      </c>
      <c r="E973" s="92">
        <v>1143.8800000000001</v>
      </c>
    </row>
    <row r="974" spans="2:5" x14ac:dyDescent="0.25">
      <c r="B974" s="91" t="s">
        <v>693</v>
      </c>
      <c r="C974" s="91" t="s">
        <v>273</v>
      </c>
      <c r="D974" s="91" t="s">
        <v>270</v>
      </c>
      <c r="E974" s="92">
        <v>187.39949999999999</v>
      </c>
    </row>
    <row r="975" spans="2:5" x14ac:dyDescent="0.25">
      <c r="B975" s="91" t="s">
        <v>320</v>
      </c>
      <c r="C975" s="91" t="s">
        <v>273</v>
      </c>
      <c r="D975" s="91" t="s">
        <v>270</v>
      </c>
      <c r="E975" s="92">
        <v>371.95</v>
      </c>
    </row>
    <row r="976" spans="2:5" x14ac:dyDescent="0.25">
      <c r="B976" s="91" t="s">
        <v>279</v>
      </c>
      <c r="C976" s="91" t="s">
        <v>273</v>
      </c>
      <c r="D976" s="91" t="s">
        <v>270</v>
      </c>
      <c r="E976" s="92">
        <v>334.89</v>
      </c>
    </row>
    <row r="977" spans="2:5" x14ac:dyDescent="0.25">
      <c r="B977" s="91" t="s">
        <v>694</v>
      </c>
      <c r="C977" s="91" t="s">
        <v>276</v>
      </c>
      <c r="D977" s="91" t="s">
        <v>266</v>
      </c>
      <c r="E977" s="92">
        <v>136.29</v>
      </c>
    </row>
    <row r="978" spans="2:5" x14ac:dyDescent="0.25">
      <c r="B978" s="91" t="s">
        <v>569</v>
      </c>
      <c r="C978" s="91" t="s">
        <v>4</v>
      </c>
      <c r="D978" s="91" t="s">
        <v>270</v>
      </c>
      <c r="E978" s="92">
        <v>1311.25</v>
      </c>
    </row>
    <row r="979" spans="2:5" x14ac:dyDescent="0.25">
      <c r="B979" s="91" t="s">
        <v>569</v>
      </c>
      <c r="C979" s="91" t="s">
        <v>4</v>
      </c>
      <c r="D979" s="91" t="s">
        <v>269</v>
      </c>
      <c r="E979" s="92">
        <v>544.41</v>
      </c>
    </row>
    <row r="980" spans="2:5" x14ac:dyDescent="0.25">
      <c r="B980" s="91" t="s">
        <v>569</v>
      </c>
      <c r="C980" s="91" t="s">
        <v>4</v>
      </c>
      <c r="D980" s="91" t="s">
        <v>269</v>
      </c>
      <c r="E980" s="92">
        <v>844.09</v>
      </c>
    </row>
    <row r="981" spans="2:5" x14ac:dyDescent="0.25">
      <c r="B981" s="91" t="s">
        <v>293</v>
      </c>
      <c r="C981" s="91" t="s">
        <v>273</v>
      </c>
      <c r="D981" s="91" t="s">
        <v>270</v>
      </c>
      <c r="E981" s="92">
        <v>1880.8</v>
      </c>
    </row>
    <row r="982" spans="2:5" x14ac:dyDescent="0.25">
      <c r="B982" s="91" t="s">
        <v>293</v>
      </c>
      <c r="C982" s="91" t="s">
        <v>273</v>
      </c>
      <c r="D982" s="91" t="s">
        <v>270</v>
      </c>
      <c r="E982" s="92">
        <v>7143.9270000000006</v>
      </c>
    </row>
    <row r="983" spans="2:5" x14ac:dyDescent="0.25">
      <c r="B983" s="91" t="s">
        <v>695</v>
      </c>
      <c r="C983" s="91" t="s">
        <v>273</v>
      </c>
      <c r="D983" s="91" t="s">
        <v>269</v>
      </c>
      <c r="E983" s="92">
        <v>1187.864</v>
      </c>
    </row>
    <row r="984" spans="2:5" x14ac:dyDescent="0.25">
      <c r="B984" s="91" t="s">
        <v>603</v>
      </c>
      <c r="C984" s="91" t="s">
        <v>4</v>
      </c>
      <c r="D984" s="91" t="s">
        <v>269</v>
      </c>
      <c r="E984" s="92">
        <v>11.08</v>
      </c>
    </row>
    <row r="985" spans="2:5" x14ac:dyDescent="0.25">
      <c r="B985" s="91" t="s">
        <v>658</v>
      </c>
      <c r="C985" s="91" t="s">
        <v>4</v>
      </c>
      <c r="D985" s="91" t="s">
        <v>266</v>
      </c>
      <c r="E985" s="92">
        <v>258.61</v>
      </c>
    </row>
    <row r="986" spans="2:5" x14ac:dyDescent="0.25">
      <c r="B986" s="91" t="s">
        <v>644</v>
      </c>
      <c r="C986" s="91" t="s">
        <v>4</v>
      </c>
      <c r="D986" s="91" t="s">
        <v>266</v>
      </c>
      <c r="E986" s="92">
        <v>241.89</v>
      </c>
    </row>
    <row r="987" spans="2:5" x14ac:dyDescent="0.25">
      <c r="B987" s="91" t="s">
        <v>644</v>
      </c>
      <c r="C987" s="91" t="s">
        <v>4</v>
      </c>
      <c r="D987" s="91" t="s">
        <v>266</v>
      </c>
      <c r="E987" s="92">
        <v>83.34</v>
      </c>
    </row>
    <row r="988" spans="2:5" x14ac:dyDescent="0.25">
      <c r="B988" s="91" t="s">
        <v>696</v>
      </c>
      <c r="C988" s="91" t="s">
        <v>276</v>
      </c>
      <c r="D988" s="91" t="s">
        <v>266</v>
      </c>
      <c r="E988" s="92">
        <v>304.52</v>
      </c>
    </row>
    <row r="989" spans="2:5" x14ac:dyDescent="0.25">
      <c r="B989" s="91" t="s">
        <v>309</v>
      </c>
      <c r="C989" s="91" t="s">
        <v>4</v>
      </c>
      <c r="D989" s="91" t="s">
        <v>266</v>
      </c>
      <c r="E989" s="92">
        <v>112.12</v>
      </c>
    </row>
    <row r="990" spans="2:5" x14ac:dyDescent="0.25">
      <c r="B990" s="91" t="s">
        <v>309</v>
      </c>
      <c r="C990" s="91" t="s">
        <v>4</v>
      </c>
      <c r="D990" s="91" t="s">
        <v>266</v>
      </c>
      <c r="E990" s="92">
        <v>49.58</v>
      </c>
    </row>
    <row r="991" spans="2:5" x14ac:dyDescent="0.25">
      <c r="B991" s="91" t="s">
        <v>309</v>
      </c>
      <c r="C991" s="91" t="s">
        <v>4</v>
      </c>
      <c r="D991" s="91" t="s">
        <v>269</v>
      </c>
      <c r="E991" s="92">
        <v>1939.65</v>
      </c>
    </row>
    <row r="992" spans="2:5" x14ac:dyDescent="0.25">
      <c r="B992" s="91" t="s">
        <v>309</v>
      </c>
      <c r="C992" s="91" t="s">
        <v>4</v>
      </c>
      <c r="D992" s="91" t="s">
        <v>269</v>
      </c>
      <c r="E992" s="92">
        <v>465.52</v>
      </c>
    </row>
    <row r="993" spans="2:5" x14ac:dyDescent="0.25">
      <c r="B993" s="91" t="s">
        <v>482</v>
      </c>
      <c r="C993" s="91" t="s">
        <v>265</v>
      </c>
      <c r="D993" s="91" t="s">
        <v>269</v>
      </c>
      <c r="E993" s="92">
        <v>12296.49</v>
      </c>
    </row>
    <row r="994" spans="2:5" x14ac:dyDescent="0.25">
      <c r="B994" s="91" t="s">
        <v>482</v>
      </c>
      <c r="C994" s="91" t="s">
        <v>265</v>
      </c>
      <c r="D994" s="91" t="s">
        <v>266</v>
      </c>
      <c r="E994" s="92">
        <v>128.13</v>
      </c>
    </row>
    <row r="995" spans="2:5" x14ac:dyDescent="0.25">
      <c r="B995" s="91" t="s">
        <v>441</v>
      </c>
      <c r="C995" s="91" t="s">
        <v>4</v>
      </c>
      <c r="D995" s="91" t="s">
        <v>266</v>
      </c>
      <c r="E995" s="92">
        <v>77.19</v>
      </c>
    </row>
    <row r="996" spans="2:5" x14ac:dyDescent="0.25">
      <c r="B996" s="91" t="s">
        <v>697</v>
      </c>
      <c r="C996" s="91" t="s">
        <v>273</v>
      </c>
      <c r="D996" s="91" t="s">
        <v>266</v>
      </c>
      <c r="E996" s="92">
        <v>118.98</v>
      </c>
    </row>
    <row r="997" spans="2:5" x14ac:dyDescent="0.25">
      <c r="B997" s="91" t="s">
        <v>697</v>
      </c>
      <c r="C997" s="91" t="s">
        <v>273</v>
      </c>
      <c r="D997" s="91" t="s">
        <v>270</v>
      </c>
      <c r="E997" s="92">
        <v>4910.09</v>
      </c>
    </row>
    <row r="998" spans="2:5" x14ac:dyDescent="0.25">
      <c r="B998" s="91" t="s">
        <v>697</v>
      </c>
      <c r="C998" s="91" t="s">
        <v>273</v>
      </c>
      <c r="D998" s="91" t="s">
        <v>266</v>
      </c>
      <c r="E998" s="92">
        <v>1058.45</v>
      </c>
    </row>
    <row r="999" spans="2:5" x14ac:dyDescent="0.25">
      <c r="B999" s="91" t="s">
        <v>698</v>
      </c>
      <c r="C999" s="91" t="s">
        <v>4</v>
      </c>
      <c r="D999" s="91" t="s">
        <v>269</v>
      </c>
      <c r="E999" s="92">
        <v>172.04</v>
      </c>
    </row>
    <row r="1000" spans="2:5" x14ac:dyDescent="0.25">
      <c r="B1000" s="91" t="s">
        <v>698</v>
      </c>
      <c r="C1000" s="91" t="s">
        <v>4</v>
      </c>
      <c r="D1000" s="91" t="s">
        <v>266</v>
      </c>
      <c r="E1000" s="92">
        <v>113.14</v>
      </c>
    </row>
    <row r="1001" spans="2:5" x14ac:dyDescent="0.25">
      <c r="B1001" s="91" t="s">
        <v>698</v>
      </c>
      <c r="C1001" s="91" t="s">
        <v>4</v>
      </c>
      <c r="D1001" s="91" t="s">
        <v>266</v>
      </c>
      <c r="E1001" s="92">
        <v>1724.82</v>
      </c>
    </row>
    <row r="1002" spans="2:5" x14ac:dyDescent="0.25">
      <c r="B1002" s="91" t="s">
        <v>463</v>
      </c>
      <c r="C1002" s="91" t="s">
        <v>4</v>
      </c>
      <c r="D1002" s="91" t="s">
        <v>269</v>
      </c>
      <c r="E1002" s="92">
        <v>6396.2</v>
      </c>
    </row>
    <row r="1003" spans="2:5" x14ac:dyDescent="0.25">
      <c r="B1003" s="91" t="s">
        <v>553</v>
      </c>
      <c r="C1003" s="91" t="s">
        <v>273</v>
      </c>
      <c r="D1003" s="91" t="s">
        <v>270</v>
      </c>
      <c r="E1003" s="92">
        <v>642.9</v>
      </c>
    </row>
    <row r="1004" spans="2:5" x14ac:dyDescent="0.25">
      <c r="B1004" s="91" t="s">
        <v>553</v>
      </c>
      <c r="C1004" s="91" t="s">
        <v>273</v>
      </c>
      <c r="D1004" s="91" t="s">
        <v>266</v>
      </c>
      <c r="E1004" s="92">
        <v>47.28</v>
      </c>
    </row>
    <row r="1005" spans="2:5" x14ac:dyDescent="0.25">
      <c r="B1005" s="91" t="s">
        <v>310</v>
      </c>
      <c r="C1005" s="91" t="s">
        <v>4</v>
      </c>
      <c r="D1005" s="91" t="s">
        <v>266</v>
      </c>
      <c r="E1005" s="92">
        <v>132.86000000000001</v>
      </c>
    </row>
    <row r="1006" spans="2:5" x14ac:dyDescent="0.25">
      <c r="B1006" s="91" t="s">
        <v>388</v>
      </c>
      <c r="C1006" s="91" t="s">
        <v>4</v>
      </c>
      <c r="D1006" s="91" t="s">
        <v>269</v>
      </c>
      <c r="E1006" s="92">
        <v>446.72</v>
      </c>
    </row>
    <row r="1007" spans="2:5" x14ac:dyDescent="0.25">
      <c r="B1007" s="91" t="s">
        <v>388</v>
      </c>
      <c r="C1007" s="91" t="s">
        <v>4</v>
      </c>
      <c r="D1007" s="91" t="s">
        <v>270</v>
      </c>
      <c r="E1007" s="92">
        <v>1580.6005</v>
      </c>
    </row>
    <row r="1008" spans="2:5" x14ac:dyDescent="0.25">
      <c r="B1008" s="91" t="s">
        <v>699</v>
      </c>
      <c r="C1008" s="91" t="s">
        <v>276</v>
      </c>
      <c r="D1008" s="91" t="s">
        <v>270</v>
      </c>
      <c r="E1008" s="92">
        <v>1703.8505</v>
      </c>
    </row>
    <row r="1009" spans="2:5" x14ac:dyDescent="0.25">
      <c r="B1009" s="91" t="s">
        <v>699</v>
      </c>
      <c r="C1009" s="91" t="s">
        <v>276</v>
      </c>
      <c r="D1009" s="91" t="s">
        <v>270</v>
      </c>
      <c r="E1009" s="92">
        <v>303.18649999999997</v>
      </c>
    </row>
    <row r="1010" spans="2:5" x14ac:dyDescent="0.25">
      <c r="B1010" s="91" t="s">
        <v>565</v>
      </c>
      <c r="C1010" s="91" t="s">
        <v>276</v>
      </c>
      <c r="D1010" s="91" t="s">
        <v>269</v>
      </c>
      <c r="E1010" s="92">
        <v>141.91999999999999</v>
      </c>
    </row>
    <row r="1011" spans="2:5" x14ac:dyDescent="0.25">
      <c r="B1011" s="91" t="s">
        <v>515</v>
      </c>
      <c r="C1011" s="91" t="s">
        <v>4</v>
      </c>
      <c r="D1011" s="91" t="s">
        <v>269</v>
      </c>
      <c r="E1011" s="92">
        <v>748.25</v>
      </c>
    </row>
    <row r="1012" spans="2:5" x14ac:dyDescent="0.25">
      <c r="B1012" s="91" t="s">
        <v>267</v>
      </c>
      <c r="C1012" s="91" t="s">
        <v>4</v>
      </c>
      <c r="D1012" s="91" t="s">
        <v>266</v>
      </c>
      <c r="E1012" s="92">
        <v>21752.01</v>
      </c>
    </row>
    <row r="1013" spans="2:5" x14ac:dyDescent="0.25">
      <c r="B1013" s="91" t="s">
        <v>387</v>
      </c>
      <c r="C1013" s="91" t="s">
        <v>265</v>
      </c>
      <c r="D1013" s="91" t="s">
        <v>266</v>
      </c>
      <c r="E1013" s="92">
        <v>6206.16</v>
      </c>
    </row>
    <row r="1048576" spans="1:1" x14ac:dyDescent="0.25">
      <c r="A1048576" t="s">
        <v>798</v>
      </c>
    </row>
  </sheetData>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Introduction of Excel</vt:lpstr>
      <vt:lpstr>Data Creation</vt:lpstr>
      <vt:lpstr>ROW - Col Adjustment</vt:lpstr>
      <vt:lpstr>Insert-Delete-Hide-Un Row - Col</vt:lpstr>
      <vt:lpstr>Alignment - L-R-C</vt:lpstr>
      <vt:lpstr>Grid Lines - Boders</vt:lpstr>
      <vt:lpstr>Merge Cell</vt:lpstr>
      <vt:lpstr>DATA- COPY - CUT - PASTE</vt:lpstr>
      <vt:lpstr>Paste Value</vt:lpstr>
      <vt:lpstr>Transpose</vt:lpstr>
      <vt:lpstr>Range</vt:lpstr>
      <vt:lpstr>Freez</vt:lpstr>
      <vt:lpstr>Find &amp; Replace</vt:lpstr>
      <vt:lpstr>Drop Down</vt:lpstr>
      <vt:lpstr>Filter</vt:lpstr>
      <vt:lpstr>Advanced Filter</vt:lpstr>
      <vt:lpstr>DATA Sort</vt:lpstr>
      <vt:lpstr>DATA Validation</vt:lpstr>
      <vt:lpstr>Date</vt:lpstr>
      <vt:lpstr>DATE-2</vt:lpstr>
      <vt:lpstr>Group-UnGroup</vt:lpstr>
      <vt:lpstr>Page Setup in Excel</vt:lpstr>
      <vt:lpstr>'Advanced Filter'!Criteria</vt:lpstr>
      <vt:lpstr>'Advanced Filter'!Extract</vt:lpstr>
    </vt:vector>
  </TitlesOfParts>
  <Company>Prepared By Inayat Isane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Basic Function of The Excel</dc:title>
  <dc:subject>Basic Functions of Excel</dc:subject>
  <dc:creator>Inayat Isane</dc:creator>
  <dc:description>Do not do any changes without infroming to Inayat Isane</dc:description>
  <cp:lastModifiedBy>nooreelahi786@outlook.com</cp:lastModifiedBy>
  <cp:lastPrinted>2026-05-21T09:15:09Z</cp:lastPrinted>
  <dcterms:created xsi:type="dcterms:W3CDTF">2011-03-29T23:32:58Z</dcterms:created>
  <dcterms:modified xsi:type="dcterms:W3CDTF">2026-08-06T03:48:00Z</dcterms:modified>
  <cp:category>MS Excel </cp:category>
  <cp:contentStatus>Active in OE Batches</cp:contentStatus>
</cp:coreProperties>
</file>